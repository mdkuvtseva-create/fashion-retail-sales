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иана\Desktop\Проекты\Мода\"/>
    </mc:Choice>
  </mc:AlternateContent>
  <xr:revisionPtr revIDLastSave="0" documentId="13_ncr:1_{C81555A6-4CE1-4A55-B496-439E201A8A91}" xr6:coauthVersionLast="47" xr6:coauthVersionMax="47" xr10:uidLastSave="{00000000-0000-0000-0000-000000000000}"/>
  <bookViews>
    <workbookView xWindow="-108" yWindow="-108" windowWidth="23256" windowHeight="12456" firstSheet="7" activeTab="7" xr2:uid="{84F71DCC-DACC-4AFB-BBFC-5FB579C4469D}"/>
  </bookViews>
  <sheets>
    <sheet name="Данные" sheetId="1" r:id="rId1"/>
    <sheet name="Сводка" sheetId="2" r:id="rId2"/>
    <sheet name="Товары" sheetId="3" r:id="rId3"/>
    <sheet name="ABC-анализ" sheetId="4" r:id="rId4"/>
    <sheet name="Оплата" sheetId="8" r:id="rId5"/>
    <sheet name="RFM" sheetId="9" r:id="rId6"/>
    <sheet name="Сводная Парето" sheetId="11" r:id="rId7"/>
    <sheet name="Парето" sheetId="10" r:id="rId8"/>
    <sheet name="Отчет" sheetId="12" r:id="rId9"/>
    <sheet name="Дашборд" sheetId="13" r:id="rId10"/>
    <sheet name="Гипотезы" sheetId="14" r:id="rId11"/>
    <sheet name="Корреляции" sheetId="15" r:id="rId12"/>
    <sheet name="Кластеры" sheetId="16" r:id="rId13"/>
    <sheet name="Прогноз" sheetId="17" r:id="rId14"/>
  </sheets>
  <definedNames>
    <definedName name="clusters" localSheetId="12">Кластеры!$A$1:$A$167</definedName>
    <definedName name="correlations" localSheetId="11">Корреляции!$A$1:$A$5</definedName>
    <definedName name="data_clean" localSheetId="0">Данные!$A$1:$F$3358</definedName>
    <definedName name="forecast" localSheetId="13">Прогноз!$A$1:$A$16</definedName>
    <definedName name="hypotheses" localSheetId="10">Гипотезы!$A$1:$A$8</definedName>
  </definedNames>
  <calcPr calcId="181029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2" l="1"/>
  <c r="B29" i="12"/>
  <c r="B28" i="12"/>
  <c r="B27" i="12"/>
  <c r="B23" i="12"/>
  <c r="B22" i="12"/>
  <c r="B21" i="12"/>
  <c r="B20" i="12"/>
  <c r="B19" i="12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2" i="4"/>
  <c r="B17" i="12"/>
  <c r="B16" i="12"/>
  <c r="B14" i="12"/>
  <c r="B13" i="12"/>
  <c r="B12" i="12"/>
  <c r="B173" i="10"/>
  <c r="B170" i="10"/>
  <c r="B172" i="10"/>
  <c r="B171" i="10"/>
  <c r="B169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2" i="10"/>
  <c r="C4" i="10"/>
  <c r="C5" i="10"/>
  <c r="C6" i="10"/>
  <c r="C7" i="10"/>
  <c r="C8" i="10"/>
  <c r="C9" i="10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3" i="10"/>
  <c r="F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2" i="9"/>
  <c r="E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I26" i="9" s="1"/>
  <c r="H27" i="9"/>
  <c r="I27" i="9" s="1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I41" i="9" s="1"/>
  <c r="H42" i="9"/>
  <c r="I42" i="9" s="1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I77" i="9" s="1"/>
  <c r="H78" i="9"/>
  <c r="I78" i="9" s="1"/>
  <c r="H79" i="9"/>
  <c r="H80" i="9"/>
  <c r="H81" i="9"/>
  <c r="H82" i="9"/>
  <c r="H83" i="9"/>
  <c r="H84" i="9"/>
  <c r="H85" i="9"/>
  <c r="H86" i="9"/>
  <c r="H87" i="9"/>
  <c r="H88" i="9"/>
  <c r="H89" i="9"/>
  <c r="I89" i="9" s="1"/>
  <c r="H90" i="9"/>
  <c r="I90" i="9" s="1"/>
  <c r="H91" i="9"/>
  <c r="I91" i="9" s="1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I124" i="9" s="1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I137" i="9" s="1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I153" i="9" s="1"/>
  <c r="H154" i="9"/>
  <c r="H155" i="9"/>
  <c r="H156" i="9"/>
  <c r="H157" i="9"/>
  <c r="I157" i="9" s="1"/>
  <c r="H158" i="9"/>
  <c r="H159" i="9"/>
  <c r="H160" i="9"/>
  <c r="H161" i="9"/>
  <c r="H162" i="9"/>
  <c r="H163" i="9"/>
  <c r="H164" i="9"/>
  <c r="H165" i="9"/>
  <c r="H166" i="9"/>
  <c r="H167" i="9"/>
  <c r="H168" i="9"/>
  <c r="G3" i="9"/>
  <c r="G4" i="9"/>
  <c r="G5" i="9"/>
  <c r="G6" i="9"/>
  <c r="I6" i="9" s="1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I22" i="9" s="1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I39" i="9" s="1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I58" i="9" s="1"/>
  <c r="G59" i="9"/>
  <c r="G60" i="9"/>
  <c r="I60" i="9" s="1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I86" i="9" s="1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I102" i="9" s="1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I119" i="9" s="1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I133" i="9" s="1"/>
  <c r="G134" i="9"/>
  <c r="I134" i="9" s="1"/>
  <c r="G135" i="9"/>
  <c r="G136" i="9"/>
  <c r="G137" i="9"/>
  <c r="G138" i="9"/>
  <c r="G139" i="9"/>
  <c r="I139" i="9" s="1"/>
  <c r="G140" i="9"/>
  <c r="I140" i="9" s="1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I154" i="9" s="1"/>
  <c r="G155" i="9"/>
  <c r="G156" i="9"/>
  <c r="G157" i="9"/>
  <c r="G158" i="9"/>
  <c r="G159" i="9"/>
  <c r="G160" i="9"/>
  <c r="G161" i="9"/>
  <c r="G162" i="9"/>
  <c r="G163" i="9"/>
  <c r="G164" i="9"/>
  <c r="G165" i="9"/>
  <c r="I165" i="9" s="1"/>
  <c r="G166" i="9"/>
  <c r="G167" i="9"/>
  <c r="G168" i="9"/>
  <c r="F3" i="9"/>
  <c r="F4" i="9"/>
  <c r="F5" i="9"/>
  <c r="F6" i="9"/>
  <c r="F7" i="9"/>
  <c r="I7" i="9" s="1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I54" i="9" s="1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I70" i="9" s="1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I118" i="9" s="1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I150" i="9" s="1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E5" i="9"/>
  <c r="I5" i="9" s="1"/>
  <c r="E6" i="9"/>
  <c r="E7" i="9"/>
  <c r="E8" i="9"/>
  <c r="I8" i="9" s="1"/>
  <c r="E9" i="9"/>
  <c r="I9" i="9"/>
  <c r="E10" i="9"/>
  <c r="I10" i="9"/>
  <c r="E11" i="9"/>
  <c r="I11" i="9"/>
  <c r="E12" i="9"/>
  <c r="E13" i="9"/>
  <c r="E14" i="9"/>
  <c r="E15" i="9"/>
  <c r="E16" i="9"/>
  <c r="E17" i="9"/>
  <c r="E18" i="9"/>
  <c r="E19" i="9"/>
  <c r="I19" i="9"/>
  <c r="E20" i="9"/>
  <c r="I20" i="9"/>
  <c r="E21" i="9"/>
  <c r="E22" i="9"/>
  <c r="E23" i="9"/>
  <c r="I23" i="9"/>
  <c r="E24" i="9"/>
  <c r="E25" i="9"/>
  <c r="I25" i="9"/>
  <c r="E26" i="9"/>
  <c r="E27" i="9"/>
  <c r="E28" i="9"/>
  <c r="E29" i="9"/>
  <c r="E30" i="9"/>
  <c r="E31" i="9"/>
  <c r="E32" i="9"/>
  <c r="E33" i="9"/>
  <c r="E34" i="9"/>
  <c r="E35" i="9"/>
  <c r="I35" i="9"/>
  <c r="E36" i="9"/>
  <c r="I36" i="9"/>
  <c r="E37" i="9"/>
  <c r="I37" i="9" s="1"/>
  <c r="E38" i="9"/>
  <c r="I38" i="9"/>
  <c r="E39" i="9"/>
  <c r="E40" i="9"/>
  <c r="E41" i="9"/>
  <c r="E42" i="9"/>
  <c r="E43" i="9"/>
  <c r="I43" i="9"/>
  <c r="E44" i="9"/>
  <c r="I44" i="9"/>
  <c r="E45" i="9"/>
  <c r="E46" i="9"/>
  <c r="E47" i="9"/>
  <c r="E48" i="9"/>
  <c r="E49" i="9"/>
  <c r="E50" i="9"/>
  <c r="E51" i="9"/>
  <c r="I51" i="9"/>
  <c r="E52" i="9"/>
  <c r="I52" i="9"/>
  <c r="E53" i="9"/>
  <c r="I53" i="9" s="1"/>
  <c r="E54" i="9"/>
  <c r="E55" i="9"/>
  <c r="I55" i="9"/>
  <c r="E56" i="9"/>
  <c r="I56" i="9" s="1"/>
  <c r="E57" i="9"/>
  <c r="E58" i="9"/>
  <c r="E59" i="9"/>
  <c r="E60" i="9"/>
  <c r="E61" i="9"/>
  <c r="E62" i="9"/>
  <c r="E63" i="9"/>
  <c r="E64" i="9"/>
  <c r="E65" i="9"/>
  <c r="E66" i="9"/>
  <c r="E67" i="9"/>
  <c r="I67" i="9"/>
  <c r="E68" i="9"/>
  <c r="I68" i="9"/>
  <c r="E69" i="9"/>
  <c r="I69" i="9" s="1"/>
  <c r="E70" i="9"/>
  <c r="E71" i="9"/>
  <c r="E72" i="9"/>
  <c r="I72" i="9" s="1"/>
  <c r="E73" i="9"/>
  <c r="I73" i="9"/>
  <c r="E74" i="9"/>
  <c r="E75" i="9"/>
  <c r="E76" i="9"/>
  <c r="E77" i="9"/>
  <c r="E78" i="9"/>
  <c r="E79" i="9"/>
  <c r="E80" i="9"/>
  <c r="E81" i="9"/>
  <c r="E82" i="9"/>
  <c r="E83" i="9"/>
  <c r="I83" i="9"/>
  <c r="E84" i="9"/>
  <c r="I84" i="9"/>
  <c r="E85" i="9"/>
  <c r="I85" i="9" s="1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I99" i="9"/>
  <c r="E100" i="9"/>
  <c r="I100" i="9"/>
  <c r="E101" i="9"/>
  <c r="I101" i="9" s="1"/>
  <c r="E102" i="9"/>
  <c r="E103" i="9"/>
  <c r="I103" i="9"/>
  <c r="E104" i="9"/>
  <c r="I104" i="9" s="1"/>
  <c r="E105" i="9"/>
  <c r="I105" i="9"/>
  <c r="E106" i="9"/>
  <c r="I106" i="9"/>
  <c r="E107" i="9"/>
  <c r="I107" i="9"/>
  <c r="E108" i="9"/>
  <c r="E109" i="9"/>
  <c r="E110" i="9"/>
  <c r="E111" i="9"/>
  <c r="E112" i="9"/>
  <c r="E113" i="9"/>
  <c r="E114" i="9"/>
  <c r="E115" i="9"/>
  <c r="I115" i="9"/>
  <c r="E116" i="9"/>
  <c r="I116" i="9"/>
  <c r="E117" i="9"/>
  <c r="E118" i="9"/>
  <c r="E119" i="9"/>
  <c r="E120" i="9"/>
  <c r="I120" i="9" s="1"/>
  <c r="E121" i="9"/>
  <c r="E122" i="9"/>
  <c r="E123" i="9"/>
  <c r="E124" i="9"/>
  <c r="E125" i="9"/>
  <c r="E126" i="9"/>
  <c r="E127" i="9"/>
  <c r="E128" i="9"/>
  <c r="E129" i="9"/>
  <c r="E130" i="9"/>
  <c r="E131" i="9"/>
  <c r="I131" i="9"/>
  <c r="E132" i="9"/>
  <c r="I132" i="9"/>
  <c r="E133" i="9"/>
  <c r="E134" i="9"/>
  <c r="E135" i="9"/>
  <c r="E136" i="9"/>
  <c r="I136" i="9" s="1"/>
  <c r="E137" i="9"/>
  <c r="E138" i="9"/>
  <c r="E139" i="9"/>
  <c r="E140" i="9"/>
  <c r="E141" i="9"/>
  <c r="E142" i="9"/>
  <c r="E143" i="9"/>
  <c r="E144" i="9"/>
  <c r="E145" i="9"/>
  <c r="E146" i="9"/>
  <c r="E147" i="9"/>
  <c r="I147" i="9"/>
  <c r="E148" i="9"/>
  <c r="I148" i="9"/>
  <c r="E149" i="9"/>
  <c r="I149" i="9" s="1"/>
  <c r="E150" i="9"/>
  <c r="E151" i="9"/>
  <c r="I151" i="9"/>
  <c r="E152" i="9"/>
  <c r="E153" i="9"/>
  <c r="E154" i="9"/>
  <c r="E155" i="9"/>
  <c r="E156" i="9"/>
  <c r="E157" i="9"/>
  <c r="E158" i="9"/>
  <c r="I158" i="9"/>
  <c r="E159" i="9"/>
  <c r="E160" i="9"/>
  <c r="E161" i="9"/>
  <c r="E162" i="9"/>
  <c r="E163" i="9"/>
  <c r="I163" i="9"/>
  <c r="E164" i="9"/>
  <c r="I164" i="9"/>
  <c r="E165" i="9"/>
  <c r="E166" i="9"/>
  <c r="I166" i="9"/>
  <c r="E167" i="9"/>
  <c r="E168" i="9"/>
  <c r="I168" i="9" s="1"/>
  <c r="I3" i="9"/>
  <c r="I4" i="9"/>
  <c r="H2" i="9"/>
  <c r="G2" i="9"/>
  <c r="I2" i="9"/>
  <c r="E3" i="9"/>
  <c r="E4" i="9"/>
  <c r="F4" i="8"/>
  <c r="F3" i="8"/>
  <c r="F2" i="8"/>
  <c r="E4" i="8"/>
  <c r="E3" i="8"/>
  <c r="E2" i="8"/>
  <c r="D4" i="8"/>
  <c r="D3" i="8"/>
  <c r="D2" i="8"/>
  <c r="C4" i="8"/>
  <c r="C3" i="8"/>
  <c r="C2" i="8"/>
  <c r="B4" i="8"/>
  <c r="B3" i="8"/>
  <c r="B2" i="8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2" i="1"/>
  <c r="B17" i="2"/>
  <c r="B16" i="2"/>
  <c r="B15" i="2"/>
  <c r="B14" i="2"/>
  <c r="B15" i="12" s="1"/>
  <c r="B13" i="2"/>
  <c r="B12" i="2"/>
  <c r="B11" i="2"/>
  <c r="B10" i="2"/>
  <c r="B9" i="2"/>
  <c r="B8" i="2"/>
  <c r="B7" i="2"/>
  <c r="B6" i="2"/>
  <c r="B5" i="2"/>
  <c r="B4" i="2"/>
  <c r="B3" i="2"/>
  <c r="B2" i="2"/>
  <c r="G3" i="4" l="1"/>
  <c r="G4" i="4"/>
  <c r="I156" i="9"/>
  <c r="I108" i="9"/>
  <c r="I92" i="9"/>
  <c r="I76" i="9"/>
  <c r="I28" i="9"/>
  <c r="I12" i="9"/>
  <c r="I155" i="9"/>
  <c r="I123" i="9"/>
  <c r="I75" i="9"/>
  <c r="I59" i="9"/>
  <c r="I129" i="9"/>
  <c r="I138" i="9"/>
  <c r="I122" i="9"/>
  <c r="I74" i="9"/>
  <c r="I112" i="9"/>
  <c r="I48" i="9"/>
  <c r="I152" i="9"/>
  <c r="I40" i="9"/>
  <c r="I121" i="9"/>
  <c r="I57" i="9"/>
  <c r="I88" i="9"/>
  <c r="I167" i="9"/>
  <c r="I135" i="9"/>
  <c r="I87" i="9"/>
  <c r="I71" i="9"/>
  <c r="I141" i="9"/>
  <c r="I95" i="9"/>
  <c r="I162" i="9"/>
  <c r="I146" i="9"/>
  <c r="I130" i="9"/>
  <c r="I114" i="9"/>
  <c r="I50" i="9"/>
  <c r="I34" i="9"/>
  <c r="I18" i="9"/>
  <c r="I161" i="9"/>
  <c r="I145" i="9"/>
  <c r="I113" i="9"/>
  <c r="I97" i="9"/>
  <c r="I81" i="9"/>
  <c r="I65" i="9"/>
  <c r="I49" i="9"/>
  <c r="I33" i="9"/>
  <c r="I17" i="9"/>
  <c r="I160" i="9"/>
  <c r="I144" i="9"/>
  <c r="I128" i="9"/>
  <c r="I96" i="9"/>
  <c r="I80" i="9"/>
  <c r="I64" i="9"/>
  <c r="I32" i="9"/>
  <c r="I16" i="9"/>
  <c r="I15" i="9"/>
  <c r="I142" i="9"/>
  <c r="I126" i="9"/>
  <c r="I110" i="9"/>
  <c r="I94" i="9"/>
  <c r="I62" i="9"/>
  <c r="I46" i="9"/>
  <c r="I30" i="9"/>
  <c r="I14" i="9"/>
  <c r="I125" i="9"/>
  <c r="I109" i="9"/>
  <c r="I93" i="9"/>
  <c r="I61" i="9"/>
  <c r="I45" i="9"/>
  <c r="I29" i="9"/>
  <c r="I13" i="9"/>
  <c r="I98" i="9"/>
  <c r="I47" i="9"/>
  <c r="I127" i="9"/>
  <c r="I63" i="9"/>
  <c r="I21" i="9"/>
  <c r="I82" i="9"/>
  <c r="I31" i="9"/>
  <c r="I111" i="9"/>
  <c r="I143" i="9"/>
  <c r="I79" i="9"/>
  <c r="I159" i="9"/>
  <c r="I117" i="9"/>
  <c r="I66" i="9"/>
  <c r="I24" i="9"/>
  <c r="G5" i="4" l="1"/>
  <c r="G6" i="4" l="1"/>
  <c r="G7" i="4" l="1"/>
  <c r="G8" i="4" l="1"/>
  <c r="G9" i="4" l="1"/>
  <c r="G10" i="4" l="1"/>
  <c r="G11" i="4" l="1"/>
  <c r="G12" i="4" l="1"/>
  <c r="G13" i="4" l="1"/>
  <c r="G14" i="4" l="1"/>
  <c r="G15" i="4" l="1"/>
  <c r="G16" i="4" l="1"/>
  <c r="G17" i="4" l="1"/>
  <c r="G18" i="4" l="1"/>
  <c r="G19" i="4" l="1"/>
  <c r="G20" i="4" l="1"/>
  <c r="G21" i="4" l="1"/>
  <c r="G22" i="4" l="1"/>
  <c r="G23" i="4" l="1"/>
  <c r="G24" i="4" l="1"/>
  <c r="G25" i="4" l="1"/>
  <c r="G26" i="4" l="1"/>
  <c r="G27" i="4" l="1"/>
  <c r="G28" i="4" l="1"/>
  <c r="G29" i="4" l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91BF2-E581-4D47-9C80-5C667048ABC5}" name="clusters" type="6" refreshedVersion="8" background="1" saveData="1">
    <textPr codePage="65001" sourceFile="C:\Users\Диана\Desktop\Проекты\Мода\clusters.csv" decimal="," thousands=" ">
      <textFields>
        <textField/>
      </textFields>
    </textPr>
  </connection>
  <connection id="2" xr16:uid="{A370E8F5-E23C-4EA2-9A33-F7443362A5E9}" name="correlations" type="6" refreshedVersion="8" background="1" saveData="1">
    <textPr codePage="65001" sourceFile="C:\Users\Диана\Desktop\Проекты\Мода\correlations.csv" decimal="," thousands=" ">
      <textFields count="2">
        <textField/>
        <textField/>
      </textFields>
    </textPr>
  </connection>
  <connection id="3" xr16:uid="{23341654-BB79-4D5E-9629-526B21ED491D}" name="data_clean" type="6" refreshedVersion="8" background="1" saveData="1">
    <textPr codePage="65001" sourceFile="C:\Users\Диана\Desktop\Проекты\Мода\data_clean.csv" decimal="," thousands=" " tab="0" semicolon="1">
      <textFields count="6">
        <textField/>
        <textField/>
        <textField/>
        <textField/>
        <textField/>
        <textField/>
      </textFields>
    </textPr>
  </connection>
  <connection id="4" xr16:uid="{B72DABBF-C976-4D83-9181-346B5211BD1E}" name="forecast" type="6" refreshedVersion="8" background="1" saveData="1">
    <textPr codePage="65001" sourceFile="C:\Users\Диана\Desktop\Проекты\Мода\forecast.csv" decimal="," thousands=" ">
      <textFields>
        <textField/>
      </textFields>
    </textPr>
  </connection>
  <connection id="5" xr16:uid="{4C1A3BE8-CFA1-4983-979A-93125970A785}" name="hypotheses" type="6" refreshedVersion="8" background="1" saveData="1">
    <textPr codePage="65001" sourceFile="C:\Users\Диана\Desktop\Проекты\Мода\hypotheses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<sst xmlns="http://schemas.openxmlformats.org/spreadsheetml/2006/main" count="7328" uniqueCount="412">
  <si>
    <t>Backpack</t>
  </si>
  <si>
    <t>Credit Card</t>
  </si>
  <si>
    <t>Dress</t>
  </si>
  <si>
    <t>Boots</t>
  </si>
  <si>
    <t>Cash</t>
  </si>
  <si>
    <t>Camisole</t>
  </si>
  <si>
    <t>Loafers</t>
  </si>
  <si>
    <t>Bowtie</t>
  </si>
  <si>
    <t>Poncho</t>
  </si>
  <si>
    <t>Trousers</t>
  </si>
  <si>
    <t>Blouse</t>
  </si>
  <si>
    <t>Sneakers</t>
  </si>
  <si>
    <t>Leggings</t>
  </si>
  <si>
    <t>Tunic</t>
  </si>
  <si>
    <t>Flannel Shirt</t>
  </si>
  <si>
    <t>Tie</t>
  </si>
  <si>
    <t>Cardigan</t>
  </si>
  <si>
    <t>Jeans</t>
  </si>
  <si>
    <t>Gloves</t>
  </si>
  <si>
    <t>Scarf</t>
  </si>
  <si>
    <t>Polo Shirt</t>
  </si>
  <si>
    <t>Sweater</t>
  </si>
  <si>
    <t>Wallet</t>
  </si>
  <si>
    <t>Umbrella</t>
  </si>
  <si>
    <t>Tank Top</t>
  </si>
  <si>
    <t>Pajamas</t>
  </si>
  <si>
    <t>Hat</t>
  </si>
  <si>
    <t>Handbag</t>
  </si>
  <si>
    <t>T-shirt</t>
  </si>
  <si>
    <t>Jacket</t>
  </si>
  <si>
    <t>Kimono</t>
  </si>
  <si>
    <t>Socks</t>
  </si>
  <si>
    <t>Pants</t>
  </si>
  <si>
    <t>Hoodie</t>
  </si>
  <si>
    <t>Slippers</t>
  </si>
  <si>
    <t>Sun Hat</t>
  </si>
  <si>
    <t>Trench Coat</t>
  </si>
  <si>
    <t>Belt</t>
  </si>
  <si>
    <t>Overalls</t>
  </si>
  <si>
    <t>Blazer</t>
  </si>
  <si>
    <t>Coat</t>
  </si>
  <si>
    <t>Sunglasses</t>
  </si>
  <si>
    <t>Onesie</t>
  </si>
  <si>
    <t>Swimsuit</t>
  </si>
  <si>
    <t>Vest</t>
  </si>
  <si>
    <t>Flip-Flops</t>
  </si>
  <si>
    <t>Sandals</t>
  </si>
  <si>
    <t>Romper</t>
  </si>
  <si>
    <t>Shorts</t>
  </si>
  <si>
    <t>Jumpsuit</t>
  </si>
  <si>
    <t>Raincoat</t>
  </si>
  <si>
    <t>Skirt</t>
  </si>
  <si>
    <t>ID клиента</t>
  </si>
  <si>
    <t>Товар</t>
  </si>
  <si>
    <t>Сумма</t>
  </si>
  <si>
    <t>Дата</t>
  </si>
  <si>
    <t>Рейтинг</t>
  </si>
  <si>
    <t>Способ оплаты</t>
  </si>
  <si>
    <t>Метрика</t>
  </si>
  <si>
    <t>Значение</t>
  </si>
  <si>
    <t>Всего строк</t>
  </si>
  <si>
    <t>Уникальных клиентов</t>
  </si>
  <si>
    <t>Уникальных товаров</t>
  </si>
  <si>
    <t>Общая выручка</t>
  </si>
  <si>
    <t>Средний чек</t>
  </si>
  <si>
    <t>Медиана чека</t>
  </si>
  <si>
    <t>Ст. отклонение</t>
  </si>
  <si>
    <t>Минимальный чек</t>
  </si>
  <si>
    <t>Максимальный чек</t>
  </si>
  <si>
    <t>Q1 (25%)</t>
  </si>
  <si>
    <t>Q3 (75%)</t>
  </si>
  <si>
    <t>IQR</t>
  </si>
  <si>
    <t>Средний рейтинг</t>
  </si>
  <si>
    <t>Медиана рейтинга</t>
  </si>
  <si>
    <t>Первая покупка</t>
  </si>
  <si>
    <t>Последняя покупка</t>
  </si>
  <si>
    <t>Названия строк</t>
  </si>
  <si>
    <t>Общий итог</t>
  </si>
  <si>
    <t>Кол-во покупок</t>
  </si>
  <si>
    <t>Выручка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</si>
  <si>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</si>
  <si>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</si>
  <si>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</si>
  <si>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</si>
  <si>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</si>
  <si>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</si>
  <si>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</si>
  <si>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</si>
  <si>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</si>
  <si>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</si>
  <si>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</si>
  <si>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</si>
  <si>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Месяц</t>
  </si>
  <si>
    <t>Доля, %</t>
  </si>
  <si>
    <t>Кредитная карта</t>
  </si>
  <si>
    <t>Наличные</t>
  </si>
  <si>
    <t>Итого:</t>
  </si>
  <si>
    <t>Кол-во</t>
  </si>
  <si>
    <t>Частота</t>
  </si>
  <si>
    <t>Сумма покупок</t>
  </si>
  <si>
    <t>R_Дней</t>
  </si>
  <si>
    <t>R_score</t>
  </si>
  <si>
    <t>F_score</t>
  </si>
  <si>
    <t>M_score</t>
  </si>
  <si>
    <t>RFM_score</t>
  </si>
  <si>
    <t>Сегмент</t>
  </si>
  <si>
    <t>Накопленная сумма</t>
  </si>
  <si>
    <t>Накопленная доля</t>
  </si>
  <si>
    <t>Топ-80%</t>
  </si>
  <si>
    <t>Клиентов для 80% выручки:</t>
  </si>
  <si>
    <t>Доля от всех клиентов, %</t>
  </si>
  <si>
    <t>Выручка топ-80%, USD</t>
  </si>
  <si>
    <t>Общая выручка, USD</t>
  </si>
  <si>
    <t>Доля топ-80% в общей выручке, %</t>
  </si>
  <si>
    <t>Да</t>
  </si>
  <si>
    <t>Нет</t>
  </si>
  <si>
    <t>ID</t>
  </si>
  <si>
    <t>Ключевые метрики</t>
  </si>
  <si>
    <t>Средний чек, USD</t>
  </si>
  <si>
    <t>Медиана чека, USD</t>
  </si>
  <si>
    <t>Товары</t>
  </si>
  <si>
    <t>Топ-товар по выручке</t>
  </si>
  <si>
    <t>Выручка топ-товара, USD</t>
  </si>
  <si>
    <t>Товаров класса B</t>
  </si>
  <si>
    <t>Товаров класса C</t>
  </si>
  <si>
    <t>Доля %</t>
  </si>
  <si>
    <t>Накопленная доля %</t>
  </si>
  <si>
    <t>АВС-класс</t>
  </si>
  <si>
    <t>Клиенты</t>
  </si>
  <si>
    <t>Товаров класса A</t>
  </si>
  <si>
    <t>Клиентов для 80% выручки</t>
  </si>
  <si>
    <t>Доля топ-80% в выручке, %</t>
  </si>
  <si>
    <t>Кластеров (K-means)</t>
  </si>
  <si>
    <t>Ключевые выводы:</t>
  </si>
  <si>
    <t>1. Общая выручка за год: 357 025 USD, средний чек 106 USD.</t>
  </si>
  <si>
    <t>2. Товар влияет на чек и рейтинг (ANOVA, p &lt; 0,001).</t>
  </si>
  <si>
    <t>3. Способ оплаты не влияет на чек, рейтинг и выбор товара.</t>
  </si>
  <si>
    <t>4. Пропуски в данных случайны (p = 0,87), заполнение не искажает картину.</t>
  </si>
  <si>
    <t>5. 72% клиентов дают 80% выручки — база равномерная.</t>
  </si>
  <si>
    <t>6. Корреляция суммы и рейтинга отсутствует (r = 0,03).</t>
  </si>
  <si>
    <t>7. Прогноз выручки ненадёжен — R² &lt; 0,05, тренда нет.</t>
  </si>
  <si>
    <t>Структура отчета</t>
  </si>
  <si>
    <t>• Данные — очищенные исходные данные</t>
  </si>
  <si>
    <t>• Сводка — описательная статистика</t>
  </si>
  <si>
    <t>• Товары, ABC-анализ — анализ ассортимента</t>
  </si>
  <si>
    <t>• По месяцам — динамика выручки</t>
  </si>
  <si>
    <t>• Оплата — сравнение способов оплаты</t>
  </si>
  <si>
    <t>• RFM, Кластеры — сегментация клиентов</t>
  </si>
  <si>
    <t>• Парето — распределение выручки</t>
  </si>
  <si>
    <t>• Гипотезы, Корреляции — статистические тесты</t>
  </si>
  <si>
    <t>• Прогноз — прогноз выручки</t>
  </si>
  <si>
    <t>• Дашборд — визуализации</t>
  </si>
  <si>
    <t>АНАЛИЗ ПРОДАЖ FASHION RETAIL</t>
  </si>
  <si>
    <t>Отчёт подготовлен: Кудрявцевой Дианой</t>
  </si>
  <si>
    <t>Дата: 16.09.2026</t>
  </si>
  <si>
    <t>О данных</t>
  </si>
  <si>
    <t>Источник: Fashion_Retail_Sales.csv</t>
  </si>
  <si>
    <t>Период: 2022-10-02 — 2023-10-01</t>
  </si>
  <si>
    <t>Строк: 3357, клиентов: 166, товаров: 50</t>
  </si>
  <si>
    <t>Пропусков после очистки: 0</t>
  </si>
  <si>
    <t>month</t>
  </si>
  <si>
    <t>fact</t>
  </si>
  <si>
    <t>forecast</t>
  </si>
  <si>
    <t>2022-10</t>
  </si>
  <si>
    <t>30615.08</t>
  </si>
  <si>
    <t>2022-11</t>
  </si>
  <si>
    <t>25054.58</t>
  </si>
  <si>
    <t>2022-12</t>
  </si>
  <si>
    <t>32170.75</t>
  </si>
  <si>
    <t>2023-01</t>
  </si>
  <si>
    <t>30472.87</t>
  </si>
  <si>
    <t>2023-02</t>
  </si>
  <si>
    <t>25843.94</t>
  </si>
  <si>
    <t>2023-03</t>
  </si>
  <si>
    <t>30741.29</t>
  </si>
  <si>
    <t>2023-04</t>
  </si>
  <si>
    <t>30732.61</t>
  </si>
  <si>
    <t>2023-05</t>
  </si>
  <si>
    <t>31615.13</t>
  </si>
  <si>
    <t>2023-06</t>
  </si>
  <si>
    <t>29972.7</t>
  </si>
  <si>
    <t>2023-07</t>
  </si>
  <si>
    <t>31332.45</t>
  </si>
  <si>
    <t>2023-08</t>
  </si>
  <si>
    <t>31507.79</t>
  </si>
  <si>
    <t>2023-09</t>
  </si>
  <si>
    <t>26543.44</t>
  </si>
  <si>
    <t>2023-10</t>
  </si>
  <si>
    <t>30222.04</t>
  </si>
  <si>
    <t>2023-11</t>
  </si>
  <si>
    <t>30299.76</t>
  </si>
  <si>
    <t>2023-12</t>
  </si>
  <si>
    <t>30377.47</t>
  </si>
  <si>
    <t>customer_id</t>
  </si>
  <si>
    <t>recency</t>
  </si>
  <si>
    <t>frequency</t>
  </si>
  <si>
    <t>monetary</t>
  </si>
  <si>
    <t>cluster</t>
  </si>
  <si>
    <t>cluster_name</t>
  </si>
  <si>
    <t>1473.97</t>
  </si>
  <si>
    <t>Потерянные</t>
  </si>
  <si>
    <t>1673.53</t>
  </si>
  <si>
    <t>Средние</t>
  </si>
  <si>
    <t>2347.54</t>
  </si>
  <si>
    <t>Активные</t>
  </si>
  <si>
    <t>1723.79</t>
  </si>
  <si>
    <t>2328.67</t>
  </si>
  <si>
    <t>2559.35</t>
  </si>
  <si>
    <t>2203.96</t>
  </si>
  <si>
    <t>2335.79</t>
  </si>
  <si>
    <t>2025.69</t>
  </si>
  <si>
    <t>2166.13</t>
  </si>
  <si>
    <t>2186.86</t>
  </si>
  <si>
    <t>2529.15</t>
  </si>
  <si>
    <t>1232.07</t>
  </si>
  <si>
    <t>2958.88</t>
  </si>
  <si>
    <t>1816.1</t>
  </si>
  <si>
    <t>1779.04</t>
  </si>
  <si>
    <t>3107.07</t>
  </si>
  <si>
    <t>2184.76</t>
  </si>
  <si>
    <t>1332.82</t>
  </si>
  <si>
    <t>2204.65</t>
  </si>
  <si>
    <t>1288.38</t>
  </si>
  <si>
    <t>3436.06</t>
  </si>
  <si>
    <t>2424.85</t>
  </si>
  <si>
    <t>2050.95</t>
  </si>
  <si>
    <t>2099.76</t>
  </si>
  <si>
    <t>2644.74</t>
  </si>
  <si>
    <t>1820.9</t>
  </si>
  <si>
    <t>1963.88</t>
  </si>
  <si>
    <t>2591.23</t>
  </si>
  <si>
    <t>2113.22</t>
  </si>
  <si>
    <t>2855.1</t>
  </si>
  <si>
    <t>2864.19</t>
  </si>
  <si>
    <t>2367.59</t>
  </si>
  <si>
    <t>2262.19</t>
  </si>
  <si>
    <t>1989.02</t>
  </si>
  <si>
    <t>2573.54</t>
  </si>
  <si>
    <t>2289.89</t>
  </si>
  <si>
    <t>2765.02</t>
  </si>
  <si>
    <t>2009.08</t>
  </si>
  <si>
    <t>1608.75</t>
  </si>
  <si>
    <t>1209.62</t>
  </si>
  <si>
    <t>2451.35</t>
  </si>
  <si>
    <t>1982.85</t>
  </si>
  <si>
    <t>2288.41</t>
  </si>
  <si>
    <t>2097.95</t>
  </si>
  <si>
    <t>2905.7</t>
  </si>
  <si>
    <t>2328.2</t>
  </si>
  <si>
    <t>1676.35</t>
  </si>
  <si>
    <t>2406.43</t>
  </si>
  <si>
    <t>2408.3</t>
  </si>
  <si>
    <t>1754.01</t>
  </si>
  <si>
    <t>2730.02</t>
  </si>
  <si>
    <t>1660.81</t>
  </si>
  <si>
    <t>2794.66</t>
  </si>
  <si>
    <t>1952.69</t>
  </si>
  <si>
    <t>1689.28</t>
  </si>
  <si>
    <t>1659.78</t>
  </si>
  <si>
    <t>1216.14</t>
  </si>
  <si>
    <t>1679.53</t>
  </si>
  <si>
    <t>1455.89</t>
  </si>
  <si>
    <t>2313.09</t>
  </si>
  <si>
    <t>1692.06</t>
  </si>
  <si>
    <t>1822.84</t>
  </si>
  <si>
    <t>1973.32</t>
  </si>
  <si>
    <t>1883.97</t>
  </si>
  <si>
    <t>1476.6</t>
  </si>
  <si>
    <t>2764.48</t>
  </si>
  <si>
    <t>1498.22</t>
  </si>
  <si>
    <t>1946.35</t>
  </si>
  <si>
    <t>1595.56</t>
  </si>
  <si>
    <t>1736.45</t>
  </si>
  <si>
    <t>1927.67</t>
  </si>
  <si>
    <t>2236.29</t>
  </si>
  <si>
    <t>1753.61</t>
  </si>
  <si>
    <t>2688.77</t>
  </si>
  <si>
    <t>1846.16</t>
  </si>
  <si>
    <t>2628.42</t>
  </si>
  <si>
    <t>3625.07</t>
  </si>
  <si>
    <t>1376.06</t>
  </si>
  <si>
    <t>2297.81</t>
  </si>
  <si>
    <t>2318.46</t>
  </si>
  <si>
    <t>1767.2</t>
  </si>
  <si>
    <t>1768.92</t>
  </si>
  <si>
    <t>2417.57</t>
  </si>
  <si>
    <t>1399.72</t>
  </si>
  <si>
    <t>2434.98</t>
  </si>
  <si>
    <t>2765.17</t>
  </si>
  <si>
    <t>2490.31</t>
  </si>
  <si>
    <t>1669.07</t>
  </si>
  <si>
    <t>1348.91</t>
  </si>
  <si>
    <t>1948.65</t>
  </si>
  <si>
    <t>2296.06</t>
  </si>
  <si>
    <t>2415.63</t>
  </si>
  <si>
    <t>1420.89</t>
  </si>
  <si>
    <t>2615.89</t>
  </si>
  <si>
    <t>2358.54</t>
  </si>
  <si>
    <t>2283.68</t>
  </si>
  <si>
    <t>2347.15</t>
  </si>
  <si>
    <t>1892.52</t>
  </si>
  <si>
    <t>2390.61</t>
  </si>
  <si>
    <t>2090.47</t>
  </si>
  <si>
    <t>1595.01</t>
  </si>
  <si>
    <t>2222.06</t>
  </si>
  <si>
    <t>1991.72</t>
  </si>
  <si>
    <t>1604.31</t>
  </si>
  <si>
    <t>1891.95</t>
  </si>
  <si>
    <t>2691.96</t>
  </si>
  <si>
    <t>1990.18</t>
  </si>
  <si>
    <t>3374.48</t>
  </si>
  <si>
    <t>1824.94</t>
  </si>
  <si>
    <t>2227.17</t>
  </si>
  <si>
    <t>2425.62</t>
  </si>
  <si>
    <t>1590.49</t>
  </si>
  <si>
    <t>2811.91</t>
  </si>
  <si>
    <t>2348.3</t>
  </si>
  <si>
    <t>2409.83</t>
  </si>
  <si>
    <t>2848.37</t>
  </si>
  <si>
    <t>2421.31</t>
  </si>
  <si>
    <t>3066.51</t>
  </si>
  <si>
    <t>1587.64</t>
  </si>
  <si>
    <t>2700.4</t>
  </si>
  <si>
    <t>3690.7</t>
  </si>
  <si>
    <t>1440.86</t>
  </si>
  <si>
    <t>1574.35</t>
  </si>
  <si>
    <t>2504.29</t>
  </si>
  <si>
    <t>3454.32</t>
  </si>
  <si>
    <t>2621.29</t>
  </si>
  <si>
    <t>2602.81</t>
  </si>
  <si>
    <t>1526.22</t>
  </si>
  <si>
    <t>2495.89</t>
  </si>
  <si>
    <t>1432.24</t>
  </si>
  <si>
    <t>2414.62</t>
  </si>
  <si>
    <t>1982.51</t>
  </si>
  <si>
    <t>2290.44</t>
  </si>
  <si>
    <t>1873.57</t>
  </si>
  <si>
    <t>2037.72</t>
  </si>
  <si>
    <t>2532.93</t>
  </si>
  <si>
    <t>2011.12</t>
  </si>
  <si>
    <t>1943.8</t>
  </si>
  <si>
    <t>1113.67</t>
  </si>
  <si>
    <t>1111.59</t>
  </si>
  <si>
    <t>2139.56</t>
  </si>
  <si>
    <t>1990.73</t>
  </si>
  <si>
    <t>2371.42</t>
  </si>
  <si>
    <t>1488.45</t>
  </si>
  <si>
    <t>2711.83</t>
  </si>
  <si>
    <t>2241.19</t>
  </si>
  <si>
    <t>2149.62</t>
  </si>
  <si>
    <t>2379.59</t>
  </si>
  <si>
    <t>2499.91</t>
  </si>
  <si>
    <t>2288.94</t>
  </si>
  <si>
    <t>2429.49</t>
  </si>
  <si>
    <t>1346.15</t>
  </si>
  <si>
    <t>1914.68</t>
  </si>
  <si>
    <t>2758.25</t>
  </si>
  <si>
    <t>1187.69</t>
  </si>
  <si>
    <t>2456.94</t>
  </si>
  <si>
    <t>1644.59</t>
  </si>
  <si>
    <t>2462.85</t>
  </si>
  <si>
    <t>2193.11</t>
  </si>
  <si>
    <t>2611.83</t>
  </si>
  <si>
    <t>2228.99</t>
  </si>
  <si>
    <t>1648.06</t>
  </si>
  <si>
    <t>2204.22</t>
  </si>
  <si>
    <t>2142.69</t>
  </si>
  <si>
    <t>3196.41</t>
  </si>
  <si>
    <t>Коэффициент</t>
  </si>
  <si>
    <t>p-значение</t>
  </si>
  <si>
    <t>Интерпретация</t>
  </si>
  <si>
    <t>Pearson: Сумма vs Рейтинг</t>
  </si>
  <si>
    <t>0.0279</t>
  </si>
  <si>
    <t>0.1058</t>
  </si>
  <si>
    <t>Связи нет</t>
  </si>
  <si>
    <t>Spearman: Сумма vs Рейтинг</t>
  </si>
  <si>
    <t>0.0275</t>
  </si>
  <si>
    <t>0.1115</t>
  </si>
  <si>
    <t>Cramér's V: Оплата vs Товар</t>
  </si>
  <si>
    <t>0.0</t>
  </si>
  <si>
    <t>Независимы</t>
  </si>
  <si>
    <t>Point-biserial: Оплата vs Сумма</t>
  </si>
  <si>
    <t>-0.0147</t>
  </si>
  <si>
    <t>0.3935</t>
  </si>
  <si>
    <t>Гипотеза</t>
  </si>
  <si>
    <t>Тест</t>
  </si>
  <si>
    <t>Статистика</t>
  </si>
  <si>
    <t>Результат</t>
  </si>
  <si>
    <t>H1: Средний чек отличается у Credit Card vs Cash</t>
  </si>
  <si>
    <t>Welch t-test</t>
  </si>
  <si>
    <t>-0.854</t>
  </si>
  <si>
    <t>0.3932</t>
  </si>
  <si>
    <t>Не отвергаем H0</t>
  </si>
  <si>
    <t>H2: Средний рейтинг отличается у CC vs Cash</t>
  </si>
  <si>
    <t>0.272</t>
  </si>
  <si>
    <t>0.7853</t>
  </si>
  <si>
    <t>H3: Средний чек отличается между товарами</t>
  </si>
  <si>
    <t>One-way ANOVA</t>
  </si>
  <si>
    <t>2.076</t>
  </si>
  <si>
    <t>Отвергаем H0</t>
  </si>
  <si>
    <t>H4: Средний рейтинг отличается между товарами</t>
  </si>
  <si>
    <t>2.062</t>
  </si>
  <si>
    <t>H5: Способ оплаты связан с товаром</t>
  </si>
  <si>
    <t>Chi-square</t>
  </si>
  <si>
    <t>41.908</t>
  </si>
  <si>
    <t>0.7536</t>
  </si>
  <si>
    <t>H7: Средний рейтинг отличается по месяцам</t>
  </si>
  <si>
    <t>1.512</t>
  </si>
  <si>
    <t>0.112</t>
  </si>
  <si>
    <t>H8: Средний чек отличается по дням недели</t>
  </si>
  <si>
    <t>0.528</t>
  </si>
  <si>
    <t>0.7875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</si>
</sst>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%"/>
    <numFmt numFmtId="166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8"/>
      <color rgb="FF0F1115"/>
      <name val="Consolas"/>
      <family val="3"/>
      <charset val="204"/>
    </font>
    <font>
      <sz val="11"/>
      <color rgb="FF0F1115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4" fontId="4" fillId="0" borderId="0" xfId="0" applyNumberFormat="1" applyFont="1"/>
    <xf numFmtId="4" fontId="5" fillId="0" borderId="0" xfId="0" applyNumberFormat="1" applyFont="1"/>
    <xf numFmtId="16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3" fontId="1" fillId="0" borderId="0" xfId="0" applyNumberFormat="1" applyFont="1"/>
    <xf numFmtId="0" fontId="5" fillId="0" borderId="0" xfId="0" applyFont="1"/>
    <xf numFmtId="0" fontId="6" fillId="0" borderId="0" xfId="0" applyFont="1"/>
    <xf numFmtId="3" fontId="4" fillId="0" borderId="0" xfId="0" applyNumberFormat="1" applyFont="1"/>
    <xf numFmtId="3" fontId="5" fillId="0" borderId="0" xfId="0" applyNumberFormat="1" applyFont="1"/>
    <xf numFmtId="49" fontId="0" fillId="0" borderId="0" xfId="0" applyNumberFormat="1"/>
    <xf numFmtId="49" fontId="5" fillId="0" borderId="0" xfId="0" applyNumberFormat="1" applyFont="1"/>
    <xf numFmtId="1" fontId="0" fillId="0" borderId="0" xfId="0" applyNumberFormat="1"/>
    <xf numFmtId="10" fontId="0" fillId="0" borderId="0" xfId="0" applyNumberFormat="1"/>
    <xf numFmtId="0" fontId="4" fillId="0" borderId="0" xfId="0" applyFont="1"/>
    <xf numFmtId="10" fontId="4" fillId="0" borderId="0" xfId="0" applyNumberFormat="1" applyFont="1"/>
    <xf numFmtId="165" fontId="4" fillId="0" borderId="0" xfId="0" applyNumberFormat="1" applyFont="1"/>
    <xf numFmtId="166" fontId="0" fillId="0" borderId="0" xfId="0" applyNumberFormat="1"/>
    <xf numFmtId="2" fontId="1" fillId="0" borderId="0" xfId="0" applyNumberFormat="1" applyFont="1"/>
    <xf numFmtId="10" fontId="1" fillId="0" borderId="0" xfId="0" applyNumberFormat="1" applyFont="1"/>
    <xf numFmtId="10" fontId="3" fillId="0" borderId="0" xfId="0" applyNumberFormat="1" applyFont="1"/>
    <xf numFmtId="2" fontId="3" fillId="0" borderId="0" xfId="0" applyNumberFormat="1" applyFont="1"/>
    <xf numFmtId="0" fontId="1" fillId="2" borderId="0" xfId="0" applyFont="1" applyFill="1"/>
    <xf numFmtId="0" fontId="5" fillId="2" borderId="0" xfId="0" applyFont="1" applyFill="1"/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9"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[Отчет.xlsx]Товары!Сводная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выручки по месяцам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58000"/>
              </a:schemeClr>
            </a:solidFill>
            <a:ln w="9525">
              <a:solidFill>
                <a:schemeClr val="accent1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86000"/>
              </a:schemeClr>
            </a:solidFill>
            <a:ln w="9525">
              <a:solidFill>
                <a:schemeClr val="accent1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86000"/>
              </a:schemeClr>
            </a:solidFill>
            <a:ln w="9525">
              <a:solidFill>
                <a:schemeClr val="accent1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58000"/>
              </a:schemeClr>
            </a:solidFill>
            <a:ln w="9525">
              <a:solidFill>
                <a:schemeClr val="accent1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Товары!$B$1</c:f>
              <c:strCache>
                <c:ptCount val="1"/>
                <c:pt idx="0">
                  <c:v>Средний чек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8000"/>
                </a:schemeClr>
              </a:solidFill>
              <a:ln w="9525">
                <a:solidFill>
                  <a:schemeClr val="accent1">
                    <a:shade val="58000"/>
                  </a:schemeClr>
                </a:solidFill>
              </a:ln>
              <a:effectLst/>
            </c:spPr>
          </c:marker>
          <c:cat>
            <c:strRef>
              <c:f>Товары!$A$2:$A$14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Товары!$B$2:$B$14</c:f>
              <c:numCache>
                <c:formatCode>#,##0.00</c:formatCode>
                <c:ptCount val="12"/>
                <c:pt idx="0">
                  <c:v>105.07887077205885</c:v>
                </c:pt>
                <c:pt idx="1">
                  <c:v>104.63131692515536</c:v>
                </c:pt>
                <c:pt idx="2">
                  <c:v>113.01944780086096</c:v>
                </c:pt>
                <c:pt idx="3">
                  <c:v>105.97453431201158</c:v>
                </c:pt>
                <c:pt idx="4">
                  <c:v>104.68584765201676</c:v>
                </c:pt>
                <c:pt idx="5">
                  <c:v>115.7246951054216</c:v>
                </c:pt>
                <c:pt idx="6">
                  <c:v>104.44149419087866</c:v>
                </c:pt>
                <c:pt idx="7">
                  <c:v>105.73085081694822</c:v>
                </c:pt>
                <c:pt idx="8">
                  <c:v>105.33110580824398</c:v>
                </c:pt>
                <c:pt idx="9">
                  <c:v>99.481022235653654</c:v>
                </c:pt>
                <c:pt idx="10">
                  <c:v>107.07085809428031</c:v>
                </c:pt>
                <c:pt idx="11">
                  <c:v>106.87957546895385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A-4FF8-98BE-FBC406FBDDA1}"/>
            </c:ext>
          </c:extLst>
        </c:ser>
        <c:ser>
          <c:idx val="1"/>
          <c:order val="1"/>
          <c:tx>
            <c:strRef>
              <c:f>Товары!$C$1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cat>
            <c:strRef>
              <c:f>Товары!$A$2:$A$14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Товары!$C$2:$C$14</c:f>
              <c:numCache>
                <c:formatCode>#,##0.00</c:formatCode>
                <c:ptCount val="12"/>
                <c:pt idx="0">
                  <c:v>30472.872523897066</c:v>
                </c:pt>
                <c:pt idx="1">
                  <c:v>25843.935280513375</c:v>
                </c:pt>
                <c:pt idx="2">
                  <c:v>30741.28980183418</c:v>
                </c:pt>
                <c:pt idx="3">
                  <c:v>30732.614950483359</c:v>
                </c:pt>
                <c:pt idx="4">
                  <c:v>31615.125990909062</c:v>
                </c:pt>
                <c:pt idx="5">
                  <c:v>29972.696032304197</c:v>
                </c:pt>
                <c:pt idx="6">
                  <c:v>31332.448257263597</c:v>
                </c:pt>
                <c:pt idx="7">
                  <c:v>31507.793543450571</c:v>
                </c:pt>
                <c:pt idx="8">
                  <c:v>26543.438663677483</c:v>
                </c:pt>
                <c:pt idx="9">
                  <c:v>31038.07893752394</c:v>
                </c:pt>
                <c:pt idx="10">
                  <c:v>25054.580794061592</c:v>
                </c:pt>
                <c:pt idx="11">
                  <c:v>32170.752216155106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A-4FF8-98BE-FBC406FBDDA1}"/>
            </c:ext>
          </c:extLst>
        </c:ser>
        <c:ser>
          <c:idx val="2"/>
          <c:order val="2"/>
          <c:tx>
            <c:strRef>
              <c:f>Товары!$D$1</c:f>
              <c:strCache>
                <c:ptCount val="1"/>
                <c:pt idx="0">
                  <c:v>Средний рейтинг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6000"/>
                </a:schemeClr>
              </a:solidFill>
              <a:ln w="9525">
                <a:solidFill>
                  <a:schemeClr val="accent1">
                    <a:tint val="86000"/>
                  </a:schemeClr>
                </a:solidFill>
              </a:ln>
              <a:effectLst/>
            </c:spPr>
          </c:marker>
          <c:cat>
            <c:strRef>
              <c:f>Товары!$A$2:$A$14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Товары!$D$2:$D$14</c:f>
              <c:numCache>
                <c:formatCode>0.00</c:formatCode>
                <c:ptCount val="12"/>
                <c:pt idx="0">
                  <c:v>2.9806058527884431</c:v>
                </c:pt>
                <c:pt idx="1">
                  <c:v>2.9999084430078429</c:v>
                </c:pt>
                <c:pt idx="2">
                  <c:v>2.9699542626346926</c:v>
                </c:pt>
                <c:pt idx="3">
                  <c:v>3.1045159642138502</c:v>
                </c:pt>
                <c:pt idx="4">
                  <c:v>3.0370073359667482</c:v>
                </c:pt>
                <c:pt idx="5">
                  <c:v>2.9636058101855722</c:v>
                </c:pt>
                <c:pt idx="6">
                  <c:v>3.0464338838893075</c:v>
                </c:pt>
                <c:pt idx="7">
                  <c:v>3.0333347328946516</c:v>
                </c:pt>
                <c:pt idx="8">
                  <c:v>2.8447658672425917</c:v>
                </c:pt>
                <c:pt idx="9">
                  <c:v>3.1138170299509631</c:v>
                </c:pt>
                <c:pt idx="10">
                  <c:v>2.9567883318898383</c:v>
                </c:pt>
                <c:pt idx="11">
                  <c:v>2.8572599756097659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A-4FF8-98BE-FBC406FBDDA1}"/>
            </c:ext>
          </c:extLst>
        </c:ser>
        <c:ser>
          <c:idx val="3"/>
          <c:order val="3"/>
          <c:tx>
            <c:strRef>
              <c:f>Товары!$E$1</c:f>
              <c:strCache>
                <c:ptCount val="1"/>
                <c:pt idx="0">
                  <c:v>Кол-во покупок</c:v>
                </c:pt>
              </c:strCache>
            </c:strRef>
          </c:tx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accent1">
                    <a:tint val="58000"/>
                  </a:schemeClr>
                </a:solidFill>
              </a:ln>
              <a:effectLst/>
            </c:spPr>
          </c:marker>
          <c:cat>
            <c:strRef>
              <c:f>Товары!$A$2:$A$14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Товары!$E$2:$E$14</c:f>
              <c:numCache>
                <c:formatCode>General</c:formatCode>
                <c:ptCount val="12"/>
                <c:pt idx="0">
                  <c:v>290</c:v>
                </c:pt>
                <c:pt idx="1">
                  <c:v>247</c:v>
                </c:pt>
                <c:pt idx="2">
                  <c:v>272</c:v>
                </c:pt>
                <c:pt idx="3">
                  <c:v>290</c:v>
                </c:pt>
                <c:pt idx="4">
                  <c:v>302</c:v>
                </c:pt>
                <c:pt idx="5">
                  <c:v>259</c:v>
                </c:pt>
                <c:pt idx="6">
                  <c:v>300</c:v>
                </c:pt>
                <c:pt idx="7">
                  <c:v>298</c:v>
                </c:pt>
                <c:pt idx="8">
                  <c:v>252</c:v>
                </c:pt>
                <c:pt idx="9">
                  <c:v>312</c:v>
                </c:pt>
                <c:pt idx="10">
                  <c:v>234</c:v>
                </c:pt>
                <c:pt idx="11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0A-4FF8-98BE-FBC406FBD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917072"/>
        <c:axId val="1282682704"/>
      </c:lineChart>
      <c:catAx>
        <c:axId val="79691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2682704"/>
        <c:crosses val="autoZero"/>
        <c:auto val="1"/>
        <c:lblAlgn val="ctr"/>
        <c:lblOffset val="100"/>
        <c:noMultiLvlLbl val="0"/>
      </c:catAx>
      <c:valAx>
        <c:axId val="12826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691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Топ=10 товаров по выручке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'ABC-анализ'!$A$2</c:f>
              <c:strCache>
                <c:ptCount val="1"/>
                <c:pt idx="0">
                  <c:v>Skirt</c:v>
                </c:pt>
              </c:strCache>
            </c:strRef>
          </c:tx>
          <c:spPr>
            <a:solidFill>
              <a:schemeClr val="accent1">
                <a:shade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'ABC-анализ'!$B$2:$J$2</c:f>
              <c:numCache>
                <c:formatCode>0.00</c:formatCode>
                <c:ptCount val="9"/>
                <c:pt idx="0">
                  <c:v>105.10000000000005</c:v>
                </c:pt>
                <c:pt idx="1">
                  <c:v>3.1962962962962931</c:v>
                </c:pt>
                <c:pt idx="2" formatCode="General">
                  <c:v>88</c:v>
                </c:pt>
                <c:pt idx="3" formatCode="#,##0.00">
                  <c:v>9248.8000000000047</c:v>
                </c:pt>
                <c:pt idx="4" formatCode="0.00%">
                  <c:v>2.5905143218767718E-2</c:v>
                </c:pt>
                <c:pt idx="5" formatCode="0.00%">
                  <c:v>2.5905143218767718E-2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E-41C7-9DFC-C610341F3129}"/>
            </c:ext>
          </c:extLst>
        </c:ser>
        <c:ser>
          <c:idx val="1"/>
          <c:order val="1"/>
          <c:tx>
            <c:strRef>
              <c:f>'ABC-анализ'!$A$1</c:f>
              <c:strCache>
                <c:ptCount val="1"/>
                <c:pt idx="0">
                  <c:v>Названия строк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'ABC-анализ'!$B$1:$J$1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E-41C7-9DFC-C610341F3129}"/>
            </c:ext>
          </c:extLst>
        </c:ser>
        <c:ser>
          <c:idx val="2"/>
          <c:order val="2"/>
          <c:tx>
            <c:strRef>
              <c:f>'ABC-анализ'!$A$3</c:f>
              <c:strCache>
                <c:ptCount val="1"/>
                <c:pt idx="0">
                  <c:v>Shorts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'ABC-анализ'!$B$3:$J$3</c:f>
              <c:numCache>
                <c:formatCode>0.00</c:formatCode>
                <c:ptCount val="9"/>
                <c:pt idx="0">
                  <c:v>107.26027397260263</c:v>
                </c:pt>
                <c:pt idx="1">
                  <c:v>2.9000000000000004</c:v>
                </c:pt>
                <c:pt idx="2" formatCode="General">
                  <c:v>86</c:v>
                </c:pt>
                <c:pt idx="3" formatCode="#,##0.00">
                  <c:v>9224.3835616438264</c:v>
                </c:pt>
                <c:pt idx="4" formatCode="0.00%">
                  <c:v>2.5836754743234779E-2</c:v>
                </c:pt>
                <c:pt idx="5" formatCode="0.00%">
                  <c:v>5.17418979620025E-2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E-41C7-9DFC-C610341F3129}"/>
            </c:ext>
          </c:extLst>
        </c:ser>
        <c:ser>
          <c:idx val="3"/>
          <c:order val="3"/>
          <c:tx>
            <c:strRef>
              <c:f>'ABC-анализ'!$A$4</c:f>
              <c:strCache>
                <c:ptCount val="1"/>
                <c:pt idx="0">
                  <c:v>T-shirt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'ABC-анализ'!$B$4:$J$4</c:f>
              <c:numCache>
                <c:formatCode>0.00</c:formatCode>
                <c:ptCount val="9"/>
                <c:pt idx="0">
                  <c:v>111.85483870967734</c:v>
                </c:pt>
                <c:pt idx="1">
                  <c:v>3</c:v>
                </c:pt>
                <c:pt idx="2" formatCode="General">
                  <c:v>81</c:v>
                </c:pt>
                <c:pt idx="3" formatCode="#,##0.00">
                  <c:v>9060.2419354838639</c:v>
                </c:pt>
                <c:pt idx="4" formatCode="0.00%">
                  <c:v>2.5377007280446607E-2</c:v>
                </c:pt>
                <c:pt idx="5" formatCode="0.00%">
                  <c:v>7.7118905242449104E-2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DE-41C7-9DFC-C610341F3129}"/>
            </c:ext>
          </c:extLst>
        </c:ser>
        <c:ser>
          <c:idx val="4"/>
          <c:order val="4"/>
          <c:tx>
            <c:strRef>
              <c:f>'ABC-анализ'!$A$5</c:f>
              <c:strCache>
                <c:ptCount val="1"/>
                <c:pt idx="0">
                  <c:v>Pajamas</c:v>
                </c:pt>
              </c:strCache>
            </c:strRef>
          </c:tx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'ABC-анализ'!$B$5:$J$5</c:f>
              <c:numCache>
                <c:formatCode>0.00</c:formatCode>
                <c:ptCount val="9"/>
                <c:pt idx="0">
                  <c:v>112.74576271186427</c:v>
                </c:pt>
                <c:pt idx="1">
                  <c:v>2.8291666666666702</c:v>
                </c:pt>
                <c:pt idx="2" formatCode="General">
                  <c:v>79</c:v>
                </c:pt>
                <c:pt idx="3" formatCode="#,##0.00">
                  <c:v>8906.9152542372776</c:v>
                </c:pt>
                <c:pt idx="4" formatCode="0.00%">
                  <c:v>2.4947551606526622E-2</c:v>
                </c:pt>
                <c:pt idx="5" formatCode="0.00%">
                  <c:v>0.10206645684897572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DE-41C7-9DFC-C610341F3129}"/>
            </c:ext>
          </c:extLst>
        </c:ser>
        <c:ser>
          <c:idx val="5"/>
          <c:order val="5"/>
          <c:tx>
            <c:strRef>
              <c:f>'ABC-анализ'!$A$6</c:f>
              <c:strCache>
                <c:ptCount val="1"/>
                <c:pt idx="0">
                  <c:v>Belt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'ABC-анализ'!$B$6:$J$6</c:f>
              <c:numCache>
                <c:formatCode>0.00</c:formatCode>
                <c:ptCount val="9"/>
                <c:pt idx="0">
                  <c:v>97.720588235294031</c:v>
                </c:pt>
                <c:pt idx="1">
                  <c:v>3.0156626506024087</c:v>
                </c:pt>
                <c:pt idx="2" formatCode="General">
                  <c:v>89</c:v>
                </c:pt>
                <c:pt idx="3" formatCode="#,##0.00">
                  <c:v>8697.1323529411693</c:v>
                </c:pt>
                <c:pt idx="4" formatCode="0.00%">
                  <c:v>2.4359966611400302E-2</c:v>
                </c:pt>
                <c:pt idx="5" formatCode="0.00%">
                  <c:v>0.12642642346037603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E-41C7-9DFC-C610341F3129}"/>
            </c:ext>
          </c:extLst>
        </c:ser>
        <c:ser>
          <c:idx val="6"/>
          <c:order val="6"/>
          <c:tx>
            <c:strRef>
              <c:f>'ABC-анализ'!$A$7</c:f>
              <c:strCache>
                <c:ptCount val="1"/>
                <c:pt idx="0">
                  <c:v>Blouse</c:v>
                </c:pt>
              </c:strCache>
            </c:strRef>
          </c:tx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'ABC-анализ'!$B$7:$J$7</c:f>
              <c:numCache>
                <c:formatCode>0.00</c:formatCode>
                <c:ptCount val="9"/>
                <c:pt idx="0">
                  <c:v>120.375</c:v>
                </c:pt>
                <c:pt idx="1">
                  <c:v>2.9190476190476167</c:v>
                </c:pt>
                <c:pt idx="2" formatCode="General">
                  <c:v>72</c:v>
                </c:pt>
                <c:pt idx="3" formatCode="#,##0.00">
                  <c:v>8667</c:v>
                </c:pt>
                <c:pt idx="4" formatCode="0.00%">
                  <c:v>2.42755683198966E-2</c:v>
                </c:pt>
                <c:pt idx="5" formatCode="0.00%">
                  <c:v>0.15070199178027263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DE-41C7-9DFC-C610341F3129}"/>
            </c:ext>
          </c:extLst>
        </c:ser>
        <c:ser>
          <c:idx val="7"/>
          <c:order val="7"/>
          <c:tx>
            <c:strRef>
              <c:f>'ABC-анализ'!$A$8</c:f>
              <c:strCache>
                <c:ptCount val="1"/>
                <c:pt idx="0">
                  <c:v>Loafers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'ABC-анализ'!$B$8:$J$8</c:f>
              <c:numCache>
                <c:formatCode>0.00</c:formatCode>
                <c:ptCount val="9"/>
                <c:pt idx="0">
                  <c:v>114.77966101694913</c:v>
                </c:pt>
                <c:pt idx="1">
                  <c:v>2.8333333333333339</c:v>
                </c:pt>
                <c:pt idx="2" formatCode="General">
                  <c:v>75</c:v>
                </c:pt>
                <c:pt idx="3" formatCode="#,##0.00">
                  <c:v>8608.4745762711846</c:v>
                </c:pt>
                <c:pt idx="4" formatCode="0.00%">
                  <c:v>2.4111643325991011E-2</c:v>
                </c:pt>
                <c:pt idx="5" formatCode="0.00%">
                  <c:v>0.17481363510626363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DE-41C7-9DFC-C610341F3129}"/>
            </c:ext>
          </c:extLst>
        </c:ser>
        <c:ser>
          <c:idx val="8"/>
          <c:order val="8"/>
          <c:tx>
            <c:strRef>
              <c:f>'ABC-анализ'!$A$9</c:f>
              <c:strCache>
                <c:ptCount val="1"/>
                <c:pt idx="0">
                  <c:v>Raincoat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'ABC-анализ'!$B$9:$J$9</c:f>
              <c:numCache>
                <c:formatCode>0.00</c:formatCode>
                <c:ptCount val="9"/>
                <c:pt idx="0">
                  <c:v>123.21818181818162</c:v>
                </c:pt>
                <c:pt idx="1">
                  <c:v>2.9999999999999996</c:v>
                </c:pt>
                <c:pt idx="2" formatCode="General">
                  <c:v>69</c:v>
                </c:pt>
                <c:pt idx="3" formatCode="#,##0.00">
                  <c:v>8502.0545454545318</c:v>
                </c:pt>
                <c:pt idx="4" formatCode="0.00%">
                  <c:v>2.3813569398600316E-2</c:v>
                </c:pt>
                <c:pt idx="5" formatCode="0.00%">
                  <c:v>0.19862720450486396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DE-41C7-9DFC-C610341F3129}"/>
            </c:ext>
          </c:extLst>
        </c:ser>
        <c:ser>
          <c:idx val="9"/>
          <c:order val="9"/>
          <c:tx>
            <c:strRef>
              <c:f>'ABC-анализ'!$A$10</c:f>
              <c:strCache>
                <c:ptCount val="1"/>
                <c:pt idx="0">
                  <c:v>Hoodie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'ABC-анализ'!$B$10:$J$10</c:f>
              <c:numCache>
                <c:formatCode>0.00</c:formatCode>
                <c:ptCount val="9"/>
                <c:pt idx="0">
                  <c:v>113.54098360655735</c:v>
                </c:pt>
                <c:pt idx="1">
                  <c:v>2.9647058823529422</c:v>
                </c:pt>
                <c:pt idx="2" formatCode="General">
                  <c:v>74</c:v>
                </c:pt>
                <c:pt idx="3" formatCode="#,##0.00">
                  <c:v>8402.0327868852437</c:v>
                </c:pt>
                <c:pt idx="4" formatCode="0.00%">
                  <c:v>2.3533416515985228E-2</c:v>
                </c:pt>
                <c:pt idx="5" formatCode="0.00%">
                  <c:v>0.22216062102084919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DE-41C7-9DFC-C610341F3129}"/>
            </c:ext>
          </c:extLst>
        </c:ser>
        <c:ser>
          <c:idx val="10"/>
          <c:order val="10"/>
          <c:tx>
            <c:strRef>
              <c:f>'ABC-анализ'!$A$11</c:f>
              <c:strCache>
                <c:ptCount val="1"/>
                <c:pt idx="0">
                  <c:v>Onesie</c:v>
                </c:pt>
              </c:strCache>
            </c:strRef>
          </c:tx>
          <c:spPr>
            <a:solidFill>
              <a:schemeClr val="accent1">
                <a:tint val="42000"/>
              </a:schemeClr>
            </a:solidFill>
            <a:ln>
              <a:noFill/>
            </a:ln>
            <a:effectLst/>
          </c:spPr>
          <c:invertIfNegative val="0"/>
          <c:cat>
            <c:numRef>
              <c:f>'ABC-анализ'!$J$23</c:f>
              <c:numCache>
                <c:formatCode>General</c:formatCode>
                <c:ptCount val="1"/>
              </c:numCache>
            </c:numRef>
          </c:cat>
          <c:val>
            <c:numRef>
              <c:f>'ABC-анализ'!$B$11:$J$11</c:f>
              <c:numCache>
                <c:formatCode>0.00</c:formatCode>
                <c:ptCount val="9"/>
                <c:pt idx="0">
                  <c:v>114.39655172413775</c:v>
                </c:pt>
                <c:pt idx="1">
                  <c:v>2.9761904761904749</c:v>
                </c:pt>
                <c:pt idx="2" formatCode="General">
                  <c:v>70</c:v>
                </c:pt>
                <c:pt idx="3" formatCode="#,##0.00">
                  <c:v>8007.7586206896422</c:v>
                </c:pt>
                <c:pt idx="4" formatCode="0.00%">
                  <c:v>2.242908636042372E-2</c:v>
                </c:pt>
                <c:pt idx="5" formatCode="0.00%">
                  <c:v>0.24458970738127289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DE-41C7-9DFC-C610341F3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427760"/>
        <c:axId val="1282746544"/>
      </c:barChart>
      <c:catAx>
        <c:axId val="13914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2746544"/>
        <c:crosses val="autoZero"/>
        <c:auto val="1"/>
        <c:lblAlgn val="ctr"/>
        <c:lblOffset val="100"/>
        <c:noMultiLvlLbl val="0"/>
      </c:catAx>
      <c:valAx>
        <c:axId val="12827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42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2"/>
          <c:order val="0"/>
          <c:tx>
            <c:v>Способы оплаты</c:v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6-4B4B-BA63-E1B79DE5253E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16-4B4B-BA63-E1B79DE5253E}"/>
              </c:ext>
            </c:extLst>
          </c:dPt>
          <c:val>
            <c:numRef>
              <c:f>Оплата!$C$2:$C$3</c:f>
              <c:numCache>
                <c:formatCode>#,##0.00</c:formatCode>
                <c:ptCount val="2"/>
                <c:pt idx="0">
                  <c:v>184462.15624970585</c:v>
                </c:pt>
                <c:pt idx="1">
                  <c:v>172563.47074236794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16-4B4B-BA63-E1B79DE5253E}"/>
            </c:ext>
          </c:extLst>
        </c:ser>
        <c:ser>
          <c:idx val="3"/>
          <c:order val="1"/>
          <c:tx>
            <c:v>Оплата</c:v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E16-4B4B-BA63-E1B79DE5253E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E16-4B4B-BA63-E1B79DE5253E}"/>
              </c:ext>
            </c:extLst>
          </c:dPt>
          <c:val>
            <c:numRef>
              <c:f>Оплата!$A$2:$A$3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16-4B4B-BA63-E1B79DE52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выручки по клиентам (80/20)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Парето!$A$2:$A$28</c:f>
              <c:numCache>
                <c:formatCode>General</c:formatCode>
                <c:ptCount val="27"/>
                <c:pt idx="0">
                  <c:v>3957</c:v>
                </c:pt>
                <c:pt idx="1">
                  <c:v>3958</c:v>
                </c:pt>
                <c:pt idx="2">
                  <c:v>3959</c:v>
                </c:pt>
                <c:pt idx="3">
                  <c:v>3960</c:v>
                </c:pt>
                <c:pt idx="4">
                  <c:v>3961</c:v>
                </c:pt>
                <c:pt idx="5">
                  <c:v>3962</c:v>
                </c:pt>
                <c:pt idx="6">
                  <c:v>3963</c:v>
                </c:pt>
                <c:pt idx="7">
                  <c:v>3964</c:v>
                </c:pt>
                <c:pt idx="8">
                  <c:v>3965</c:v>
                </c:pt>
                <c:pt idx="9">
                  <c:v>3966</c:v>
                </c:pt>
                <c:pt idx="10">
                  <c:v>3967</c:v>
                </c:pt>
                <c:pt idx="11">
                  <c:v>3968</c:v>
                </c:pt>
                <c:pt idx="12">
                  <c:v>3969</c:v>
                </c:pt>
                <c:pt idx="13">
                  <c:v>3970</c:v>
                </c:pt>
                <c:pt idx="14">
                  <c:v>3971</c:v>
                </c:pt>
                <c:pt idx="15">
                  <c:v>3972</c:v>
                </c:pt>
                <c:pt idx="16">
                  <c:v>3973</c:v>
                </c:pt>
                <c:pt idx="17">
                  <c:v>3974</c:v>
                </c:pt>
                <c:pt idx="18">
                  <c:v>3975</c:v>
                </c:pt>
                <c:pt idx="19">
                  <c:v>3976</c:v>
                </c:pt>
                <c:pt idx="20">
                  <c:v>3977</c:v>
                </c:pt>
                <c:pt idx="21">
                  <c:v>3978</c:v>
                </c:pt>
                <c:pt idx="22">
                  <c:v>3979</c:v>
                </c:pt>
                <c:pt idx="23">
                  <c:v>3980</c:v>
                </c:pt>
                <c:pt idx="24">
                  <c:v>3981</c:v>
                </c:pt>
                <c:pt idx="25">
                  <c:v>3982</c:v>
                </c:pt>
                <c:pt idx="26">
                  <c:v>3983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E-4B5C-85FC-956AFC06838D}"/>
            </c:ext>
          </c:extLst>
        </c:ser>
        <c:ser>
          <c:idx val="1"/>
          <c:order val="1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Парето!$B$2:$B$28</c:f>
              <c:numCache>
                <c:formatCode>#,##0.00</c:formatCode>
                <c:ptCount val="27"/>
                <c:pt idx="0">
                  <c:v>3690.6961836428363</c:v>
                </c:pt>
                <c:pt idx="1">
                  <c:v>3625.0745482821576</c:v>
                </c:pt>
                <c:pt idx="2">
                  <c:v>3454.3155704189498</c:v>
                </c:pt>
                <c:pt idx="3">
                  <c:v>3436.0647607475153</c:v>
                </c:pt>
                <c:pt idx="4">
                  <c:v>3374.475460047538</c:v>
                </c:pt>
                <c:pt idx="5">
                  <c:v>3196.4137475945276</c:v>
                </c:pt>
                <c:pt idx="6">
                  <c:v>3107.066927851633</c:v>
                </c:pt>
                <c:pt idx="7">
                  <c:v>3066.5073880921332</c:v>
                </c:pt>
                <c:pt idx="8">
                  <c:v>2958.8799805592348</c:v>
                </c:pt>
                <c:pt idx="9">
                  <c:v>2905.6980686467232</c:v>
                </c:pt>
                <c:pt idx="10">
                  <c:v>2864.1937452890884</c:v>
                </c:pt>
                <c:pt idx="11">
                  <c:v>2855.1005943841769</c:v>
                </c:pt>
                <c:pt idx="12">
                  <c:v>2848.3669159189094</c:v>
                </c:pt>
                <c:pt idx="13">
                  <c:v>2811.9139846471689</c:v>
                </c:pt>
                <c:pt idx="14">
                  <c:v>2794.6641414141395</c:v>
                </c:pt>
                <c:pt idx="15">
                  <c:v>2765.1747300778093</c:v>
                </c:pt>
                <c:pt idx="16">
                  <c:v>2765.0225404247008</c:v>
                </c:pt>
                <c:pt idx="17">
                  <c:v>2764.4801191586598</c:v>
                </c:pt>
                <c:pt idx="18">
                  <c:v>2758.2520947176677</c:v>
                </c:pt>
                <c:pt idx="19">
                  <c:v>2730.016717089884</c:v>
                </c:pt>
                <c:pt idx="20">
                  <c:v>2711.8346282053267</c:v>
                </c:pt>
                <c:pt idx="21">
                  <c:v>2700.399877414814</c:v>
                </c:pt>
                <c:pt idx="22">
                  <c:v>2691.9616046981023</c:v>
                </c:pt>
                <c:pt idx="23">
                  <c:v>2688.766670190274</c:v>
                </c:pt>
                <c:pt idx="24">
                  <c:v>2644.7351502732222</c:v>
                </c:pt>
                <c:pt idx="25">
                  <c:v>2628.4177662396291</c:v>
                </c:pt>
                <c:pt idx="26">
                  <c:v>2621.2909769741673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E-4B5C-85FC-956AFC06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005776"/>
        <c:axId val="1282714864"/>
      </c:barChart>
      <c:catAx>
        <c:axId val="164100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2714864"/>
        <c:crosses val="autoZero"/>
        <c:auto val="1"/>
        <c:lblAlgn val="ctr"/>
        <c:lblOffset val="100"/>
        <c:noMultiLvlLbl val="0"/>
      </c:catAx>
      <c:valAx>
        <c:axId val="12827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100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AE6F82C7-AB91-215C-35D3-4C9A23674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0</xdr:row>
      <xdr:rowOff>0</xdr:rowOff>
    </xdr:from>
    <xdr:to>
      <xdr:col>15</xdr:col>
      <xdr:colOff>297180</xdr:colOff>
      <xdr:row>15</xdr:row>
      <xdr:rowOff>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C6AD7D77-7FC0-9902-473F-4DCC65ADB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163830</xdr:rowOff>
    </xdr:from>
    <xdr:to>
      <xdr:col>7</xdr:col>
      <xdr:colOff>304800</xdr:colOff>
      <xdr:row>30</xdr:row>
      <xdr:rowOff>163830</xdr:rowOff>
    </xdr:to>
    <xdr:graphicFrame macro="">
      <xdr:nvGraphicFramePr>
        <xdr:cNvPr id="6" name="Диаграмма 8">
          <a:extLst>
            <a:ext uri="{FF2B5EF4-FFF2-40B4-BE49-F238E27FC236}">
              <a16:creationId xmlns:a16="http://schemas.microsoft.com/office/drawing/2014/main" id="{F5700608-4B43-C0EF-03FF-4495EE672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171450</xdr:rowOff>
    </xdr:from>
    <xdr:to>
      <xdr:col>15</xdr:col>
      <xdr:colOff>304800</xdr:colOff>
      <xdr:row>30</xdr:row>
      <xdr:rowOff>171450</xdr:rowOff>
    </xdr:to>
    <xdr:graphicFrame macro="">
      <xdr:nvGraphicFramePr>
        <xdr:cNvPr id="7" name="Диаграмма 2">
          <a:extLst>
            <a:ext uri="{FF2B5EF4-FFF2-40B4-BE49-F238E27FC236}">
              <a16:creationId xmlns:a16="http://schemas.microsoft.com/office/drawing/2014/main" id="{EC1C6A78-D78C-7760-E961-34FB87757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иана" refreshedDate="46279.764990856478" createdVersion="8" refreshedVersion="8" minRefreshableVersion="3" recordCount="3357" xr:uid="{2DE82264-DACD-4B06-AE0B-6475B5117BCF}">
  <cacheSource type="worksheet">
    <worksheetSource ref="A1:F3358" sheet="Данные"/>
  </cacheSource>
  <cacheFields count="9">
    <cacheField name="ID клиента" numFmtId="0">
      <sharedItems containsSemiMixedTypes="0" containsString="0" containsNumber="1" containsInteger="1" minValue="3957" maxValue="4122"/>
    </cacheField>
    <cacheField name="Товар" numFmtId="0">
      <sharedItems count="50">
        <s v="Backpack"/>
        <s v="Dress"/>
        <s v="Boots"/>
        <s v="Camisole"/>
        <s v="Loafers"/>
        <s v="Bowtie"/>
        <s v="Poncho"/>
        <s v="Trousers"/>
        <s v="Blouse"/>
        <s v="Sneakers"/>
        <s v="Leggings"/>
        <s v="Tunic"/>
        <s v="Flannel Shirt"/>
        <s v="Tie"/>
        <s v="Cardigan"/>
        <s v="Jeans"/>
        <s v="Gloves"/>
        <s v="Scarf"/>
        <s v="Polo Shirt"/>
        <s v="Sweater"/>
        <s v="Wallet"/>
        <s v="Umbrella"/>
        <s v="Tank Top"/>
        <s v="Pajamas"/>
        <s v="Hat"/>
        <s v="Handbag"/>
        <s v="T-shirt"/>
        <s v="Jacket"/>
        <s v="Kimono"/>
        <s v="Socks"/>
        <s v="Pants"/>
        <s v="Hoodie"/>
        <s v="Slippers"/>
        <s v="Sun Hat"/>
        <s v="Trench Coat"/>
        <s v="Belt"/>
        <s v="Overalls"/>
        <s v="Blazer"/>
        <s v="Coat"/>
        <s v="Sunglasses"/>
        <s v="Onesie"/>
        <s v="Swimsuit"/>
        <s v="Vest"/>
        <s v="Flip-Flops"/>
        <s v="Sandals"/>
        <s v="Romper"/>
        <s v="Shorts"/>
        <s v="Jumpsuit"/>
        <s v="Raincoat"/>
        <s v="Skirt"/>
      </sharedItems>
    </cacheField>
    <cacheField name="Сумма" numFmtId="0">
      <sharedItems containsSemiMixedTypes="0" containsString="0" containsNumber="1" minValue="10" maxValue="200"/>
    </cacheField>
    <cacheField name="Дата" numFmtId="14">
      <sharedItems containsSemiMixedTypes="0" containsNonDate="0" containsDate="1" containsString="0" minDate="2022-10-02T00:00:00" maxDate="2023-10-02T00:00:00" count="365">
        <d v="2022-12-13T00:00:00"/>
        <d v="2022-10-20T00:00:00"/>
        <d v="2023-04-03T00:00:00"/>
        <d v="2022-11-04T00:00:00"/>
        <d v="2023-05-16T00:00:00"/>
        <d v="2022-11-23T00:00:00"/>
        <d v="2022-10-15T00:00:00"/>
        <d v="2023-05-25T00:00:00"/>
        <d v="2023-01-14T00:00:00"/>
        <d v="2022-11-02T00:00:00"/>
        <d v="2023-06-15T00:00:00"/>
        <d v="2023-05-27T00:00:00"/>
        <d v="2022-12-03T00:00:00"/>
        <d v="2023-04-05T00:00:00"/>
        <d v="2023-04-16T00:00:00"/>
        <d v="2023-02-13T00:00:00"/>
        <d v="2023-08-31T00:00:00"/>
        <d v="2023-06-05T00:00:00"/>
        <d v="2023-07-01T00:00:00"/>
        <d v="2023-08-26T00:00:00"/>
        <d v="2023-01-27T00:00:00"/>
        <d v="2023-09-07T00:00:00"/>
        <d v="2023-01-20T00:00:00"/>
        <d v="2022-11-21T00:00:00"/>
        <d v="2023-06-08T00:00:00"/>
        <d v="2023-03-13T00:00:00"/>
        <d v="2023-03-08T00:00:00"/>
        <d v="2023-01-26T00:00:00"/>
        <d v="2023-06-30T00:00:00"/>
        <d v="2022-10-10T00:00:00"/>
        <d v="2023-01-05T00:00:00"/>
        <d v="2023-03-02T00:00:00"/>
        <d v="2022-11-08T00:00:00"/>
        <d v="2023-03-05T00:00:00"/>
        <d v="2023-06-16T00:00:00"/>
        <d v="2023-03-17T00:00:00"/>
        <d v="2023-09-28T00:00:00"/>
        <d v="2023-09-10T00:00:00"/>
        <d v="2023-01-02T00:00:00"/>
        <d v="2022-10-27T00:00:00"/>
        <d v="2022-12-23T00:00:00"/>
        <d v="2023-07-17T00:00:00"/>
        <d v="2022-12-29T00:00:00"/>
        <d v="2023-03-21T00:00:00"/>
        <d v="2023-02-11T00:00:00"/>
        <d v="2023-04-21T00:00:00"/>
        <d v="2023-09-17T00:00:00"/>
        <d v="2023-06-29T00:00:00"/>
        <d v="2023-04-26T00:00:00"/>
        <d v="2022-12-16T00:00:00"/>
        <d v="2023-05-20T00:00:00"/>
        <d v="2023-07-13T00:00:00"/>
        <d v="2023-06-23T00:00:00"/>
        <d v="2023-03-04T00:00:00"/>
        <d v="2022-10-25T00:00:00"/>
        <d v="2023-05-19T00:00:00"/>
        <d v="2023-05-03T00:00:00"/>
        <d v="2023-05-09T00:00:00"/>
        <d v="2023-02-07T00:00:00"/>
        <d v="2022-12-10T00:00:00"/>
        <d v="2022-10-07T00:00:00"/>
        <d v="2023-05-18T00:00:00"/>
        <d v="2023-09-01T00:00:00"/>
        <d v="2023-04-13T00:00:00"/>
        <d v="2023-09-16T00:00:00"/>
        <d v="2023-01-15T00:00:00"/>
        <d v="2022-12-14T00:00:00"/>
        <d v="2023-06-03T00:00:00"/>
        <d v="2022-11-05T00:00:00"/>
        <d v="2023-03-24T00:00:00"/>
        <d v="2023-01-16T00:00:00"/>
        <d v="2023-07-09T00:00:00"/>
        <d v="2023-04-25T00:00:00"/>
        <d v="2023-06-02T00:00:00"/>
        <d v="2023-09-21T00:00:00"/>
        <d v="2022-12-11T00:00:00"/>
        <d v="2023-08-07T00:00:00"/>
        <d v="2022-12-05T00:00:00"/>
        <d v="2023-01-21T00:00:00"/>
        <d v="2023-05-10T00:00:00"/>
        <d v="2023-06-17T00:00:00"/>
        <d v="2023-08-08T00:00:00"/>
        <d v="2022-10-28T00:00:00"/>
        <d v="2023-04-28T00:00:00"/>
        <d v="2023-09-22T00:00:00"/>
        <d v="2022-10-17T00:00:00"/>
        <d v="2023-06-26T00:00:00"/>
        <d v="2023-07-31T00:00:00"/>
        <d v="2023-09-14T00:00:00"/>
        <d v="2023-01-29T00:00:00"/>
        <d v="2022-12-31T00:00:00"/>
        <d v="2022-10-31T00:00:00"/>
        <d v="2023-03-22T00:00:00"/>
        <d v="2023-04-09T00:00:00"/>
        <d v="2023-01-30T00:00:00"/>
        <d v="2022-10-05T00:00:00"/>
        <d v="2023-03-28T00:00:00"/>
        <d v="2023-09-18T00:00:00"/>
        <d v="2023-06-27T00:00:00"/>
        <d v="2022-12-15T00:00:00"/>
        <d v="2023-06-01T00:00:00"/>
        <d v="2023-01-12T00:00:00"/>
        <d v="2023-07-24T00:00:00"/>
        <d v="2023-05-04T00:00:00"/>
        <d v="2022-11-13T00:00:00"/>
        <d v="2023-03-18T00:00:00"/>
        <d v="2023-08-03T00:00:00"/>
        <d v="2023-02-10T00:00:00"/>
        <d v="2022-10-06T00:00:00"/>
        <d v="2023-03-11T00:00:00"/>
        <d v="2023-01-08T00:00:00"/>
        <d v="2023-09-02T00:00:00"/>
        <d v="2023-03-15T00:00:00"/>
        <d v="2023-04-30T00:00:00"/>
        <d v="2023-08-02T00:00:00"/>
        <d v="2023-06-14T00:00:00"/>
        <d v="2023-09-30T00:00:00"/>
        <d v="2023-03-27T00:00:00"/>
        <d v="2023-02-09T00:00:00"/>
        <d v="2022-12-22T00:00:00"/>
        <d v="2023-05-13T00:00:00"/>
        <d v="2022-11-10T00:00:00"/>
        <d v="2023-07-29T00:00:00"/>
        <d v="2023-09-27T00:00:00"/>
        <d v="2022-10-16T00:00:00"/>
        <d v="2023-02-02T00:00:00"/>
        <d v="2023-06-28T00:00:00"/>
        <d v="2023-01-17T00:00:00"/>
        <d v="2022-12-07T00:00:00"/>
        <d v="2023-05-23T00:00:00"/>
        <d v="2022-11-01T00:00:00"/>
        <d v="2022-12-30T00:00:00"/>
        <d v="2023-08-27T00:00:00"/>
        <d v="2022-11-25T00:00:00"/>
        <d v="2022-11-09T00:00:00"/>
        <d v="2023-06-09T00:00:00"/>
        <d v="2023-05-08T00:00:00"/>
        <d v="2022-12-02T00:00:00"/>
        <d v="2023-06-10T00:00:00"/>
        <d v="2023-05-06T00:00:00"/>
        <d v="2022-12-25T00:00:00"/>
        <d v="2023-03-01T00:00:00"/>
        <d v="2022-12-21T00:00:00"/>
        <d v="2023-08-13T00:00:00"/>
        <d v="2023-07-07T00:00:00"/>
        <d v="2023-04-10T00:00:00"/>
        <d v="2022-11-29T00:00:00"/>
        <d v="2023-02-26T00:00:00"/>
        <d v="2023-02-16T00:00:00"/>
        <d v="2023-07-11T00:00:00"/>
        <d v="2023-07-12T00:00:00"/>
        <d v="2022-10-18T00:00:00"/>
        <d v="2023-04-11T00:00:00"/>
        <d v="2022-11-24T00:00:00"/>
        <d v="2023-05-07T00:00:00"/>
        <d v="2023-07-25T00:00:00"/>
        <d v="2023-07-28T00:00:00"/>
        <d v="2023-01-01T00:00:00"/>
        <d v="2023-05-01T00:00:00"/>
        <d v="2023-07-20T00:00:00"/>
        <d v="2023-07-10T00:00:00"/>
        <d v="2022-10-09T00:00:00"/>
        <d v="2022-11-19T00:00:00"/>
        <d v="2023-02-15T00:00:00"/>
        <d v="2023-01-04T00:00:00"/>
        <d v="2023-04-23T00:00:00"/>
        <d v="2023-06-12T00:00:00"/>
        <d v="2023-07-08T00:00:00"/>
        <d v="2022-10-14T00:00:00"/>
        <d v="2022-11-07T00:00:00"/>
        <d v="2022-10-11T00:00:00"/>
        <d v="2022-11-12T00:00:00"/>
        <d v="2023-04-24T00:00:00"/>
        <d v="2023-01-09T00:00:00"/>
        <d v="2022-10-22T00:00:00"/>
        <d v="2023-03-26T00:00:00"/>
        <d v="2023-02-28T00:00:00"/>
        <d v="2023-07-27T00:00:00"/>
        <d v="2023-01-11T00:00:00"/>
        <d v="2023-05-24T00:00:00"/>
        <d v="2023-01-03T00:00:00"/>
        <d v="2023-02-08T00:00:00"/>
        <d v="2023-02-22T00:00:00"/>
        <d v="2023-04-12T00:00:00"/>
        <d v="2023-01-24T00:00:00"/>
        <d v="2022-11-28T00:00:00"/>
        <d v="2023-05-15T00:00:00"/>
        <d v="2023-02-21T00:00:00"/>
        <d v="2023-05-17T00:00:00"/>
        <d v="2023-05-11T00:00:00"/>
        <d v="2022-10-04T00:00:00"/>
        <d v="2023-07-05T00:00:00"/>
        <d v="2023-01-23T00:00:00"/>
        <d v="2023-02-12T00:00:00"/>
        <d v="2023-03-30T00:00:00"/>
        <d v="2023-08-11T00:00:00"/>
        <d v="2022-11-26T00:00:00"/>
        <d v="2023-09-24T00:00:00"/>
        <d v="2023-01-22T00:00:00"/>
        <d v="2023-01-25T00:00:00"/>
        <d v="2022-12-06T00:00:00"/>
        <d v="2023-05-26T00:00:00"/>
        <d v="2023-09-25T00:00:00"/>
        <d v="2023-06-11T00:00:00"/>
        <d v="2022-11-15T00:00:00"/>
        <d v="2023-07-22T00:00:00"/>
        <d v="2022-12-01T00:00:00"/>
        <d v="2023-04-18T00:00:00"/>
        <d v="2023-03-29T00:00:00"/>
        <d v="2022-10-26T00:00:00"/>
        <d v="2023-03-03T00:00:00"/>
        <d v="2023-05-21T00:00:00"/>
        <d v="2023-04-22T00:00:00"/>
        <d v="2023-08-28T00:00:00"/>
        <d v="2023-03-20T00:00:00"/>
        <d v="2022-12-28T00:00:00"/>
        <d v="2023-05-22T00:00:00"/>
        <d v="2022-12-26T00:00:00"/>
        <d v="2023-03-06T00:00:00"/>
        <d v="2023-04-02T00:00:00"/>
        <d v="2023-07-30T00:00:00"/>
        <d v="2023-02-14T00:00:00"/>
        <d v="2023-08-17T00:00:00"/>
        <d v="2023-08-18T00:00:00"/>
        <d v="2022-10-13T00:00:00"/>
        <d v="2022-10-02T00:00:00"/>
        <d v="2023-05-12T00:00:00"/>
        <d v="2022-10-03T00:00:00"/>
        <d v="2023-04-06T00:00:00"/>
        <d v="2022-12-27T00:00:00"/>
        <d v="2022-10-24T00:00:00"/>
        <d v="2023-07-18T00:00:00"/>
        <d v="2023-01-31T00:00:00"/>
        <d v="2023-08-15T00:00:00"/>
        <d v="2023-07-06T00:00:00"/>
        <d v="2022-10-19T00:00:00"/>
        <d v="2023-02-05T00:00:00"/>
        <d v="2023-02-04T00:00:00"/>
        <d v="2022-12-19T00:00:00"/>
        <d v="2023-08-14T00:00:00"/>
        <d v="2023-03-23T00:00:00"/>
        <d v="2023-02-24T00:00:00"/>
        <d v="2023-03-19T00:00:00"/>
        <d v="2023-04-27T00:00:00"/>
        <d v="2023-07-26T00:00:00"/>
        <d v="2023-07-15T00:00:00"/>
        <d v="2022-12-24T00:00:00"/>
        <d v="2023-08-01T00:00:00"/>
        <d v="2022-12-08T00:00:00"/>
        <d v="2023-07-04T00:00:00"/>
        <d v="2023-01-28T00:00:00"/>
        <d v="2023-02-17T00:00:00"/>
        <d v="2022-11-17T00:00:00"/>
        <d v="2023-08-04T00:00:00"/>
        <d v="2023-08-05T00:00:00"/>
        <d v="2023-08-12T00:00:00"/>
        <d v="2022-12-09T00:00:00"/>
        <d v="2022-10-30T00:00:00"/>
        <d v="2023-02-03T00:00:00"/>
        <d v="2023-06-13T00:00:00"/>
        <d v="2023-03-09T00:00:00"/>
        <d v="2022-11-18T00:00:00"/>
        <d v="2023-08-16T00:00:00"/>
        <d v="2023-09-26T00:00:00"/>
        <d v="2022-11-22T00:00:00"/>
        <d v="2023-02-19T00:00:00"/>
        <d v="2023-03-14T00:00:00"/>
        <d v="2022-12-18T00:00:00"/>
        <d v="2023-09-08T00:00:00"/>
        <d v="2023-06-19T00:00:00"/>
        <d v="2023-08-20T00:00:00"/>
        <d v="2023-07-21T00:00:00"/>
        <d v="2023-09-04T00:00:00"/>
        <d v="2023-03-12T00:00:00"/>
        <d v="2023-01-07T00:00:00"/>
        <d v="2022-11-03T00:00:00"/>
        <d v="2023-04-01T00:00:00"/>
        <d v="2023-09-20T00:00:00"/>
        <d v="2022-12-12T00:00:00"/>
        <d v="2023-08-25T00:00:00"/>
        <d v="2023-06-07T00:00:00"/>
        <d v="2023-08-24T00:00:00"/>
        <d v="2023-05-28T00:00:00"/>
        <d v="2023-09-29T00:00:00"/>
        <d v="2023-08-19T00:00:00"/>
        <d v="2023-09-12T00:00:00"/>
        <d v="2022-11-27T00:00:00"/>
        <d v="2023-06-06T00:00:00"/>
        <d v="2022-10-23T00:00:00"/>
        <d v="2023-08-22T00:00:00"/>
        <d v="2023-04-15T00:00:00"/>
        <d v="2023-07-23T00:00:00"/>
        <d v="2023-07-14T00:00:00"/>
        <d v="2023-03-25T00:00:00"/>
        <d v="2023-05-29T00:00:00"/>
        <d v="2023-02-27T00:00:00"/>
        <d v="2023-06-25T00:00:00"/>
        <d v="2023-08-23T00:00:00"/>
        <d v="2023-03-07T00:00:00"/>
        <d v="2023-04-20T00:00:00"/>
        <d v="2023-07-02T00:00:00"/>
        <d v="2023-03-31T00:00:00"/>
        <d v="2023-09-06T00:00:00"/>
        <d v="2023-01-06T00:00:00"/>
        <d v="2022-10-08T00:00:00"/>
        <d v="2023-04-29T00:00:00"/>
        <d v="2023-04-04T00:00:00"/>
        <d v="2023-08-29T00:00:00"/>
        <d v="2022-11-14T00:00:00"/>
        <d v="2022-10-12T00:00:00"/>
        <d v="2022-10-21T00:00:00"/>
        <d v="2023-02-23T00:00:00"/>
        <d v="2023-09-11T00:00:00"/>
        <d v="2023-10-01T00:00:00"/>
        <d v="2023-04-19T00:00:00"/>
        <d v="2023-02-20T00:00:00"/>
        <d v="2022-11-30T00:00:00"/>
        <d v="2023-01-10T00:00:00"/>
        <d v="2023-05-30T00:00:00"/>
        <d v="2023-05-05T00:00:00"/>
        <d v="2022-11-06T00:00:00"/>
        <d v="2023-06-20T00:00:00"/>
        <d v="2023-02-25T00:00:00"/>
        <d v="2023-07-03T00:00:00"/>
        <d v="2023-07-19T00:00:00"/>
        <d v="2023-09-19T00:00:00"/>
        <d v="2023-08-06T00:00:00"/>
        <d v="2023-01-18T00:00:00"/>
        <d v="2023-05-02T00:00:00"/>
        <d v="2023-04-08T00:00:00"/>
        <d v="2023-06-24T00:00:00"/>
        <d v="2023-08-09T00:00:00"/>
        <d v="2022-12-17T00:00:00"/>
        <d v="2023-09-23T00:00:00"/>
        <d v="2023-08-30T00:00:00"/>
        <d v="2023-07-16T00:00:00"/>
        <d v="2023-04-17T00:00:00"/>
        <d v="2023-05-31T00:00:00"/>
        <d v="2023-06-21T00:00:00"/>
        <d v="2023-06-18T00:00:00"/>
        <d v="2023-09-13T00:00:00"/>
        <d v="2023-09-15T00:00:00"/>
        <d v="2023-06-22T00:00:00"/>
        <d v="2023-03-16T00:00:00"/>
        <d v="2023-08-10T00:00:00"/>
        <d v="2023-04-14T00:00:00"/>
        <d v="2023-05-14T00:00:00"/>
        <d v="2023-02-18T00:00:00"/>
        <d v="2022-10-29T00:00:00"/>
        <d v="2023-09-03T00:00:00"/>
        <d v="2022-12-20T00:00:00"/>
        <d v="2023-09-05T00:00:00"/>
        <d v="2023-08-21T00:00:00"/>
        <d v="2022-11-16T00:00:00"/>
        <d v="2023-02-01T00:00:00"/>
        <d v="2023-02-06T00:00:00"/>
        <d v="2022-11-11T00:00:00"/>
        <d v="2023-06-04T00:00:00"/>
        <d v="2022-11-20T00:00:00"/>
        <d v="2023-09-09T00:00:00"/>
        <d v="2023-04-07T00:00:00"/>
        <d v="2023-03-10T00:00:00"/>
        <d v="2022-12-04T00:00:00"/>
        <d v="2023-01-19T00:00:00"/>
        <d v="2023-01-13T00:00:00"/>
      </sharedItems>
      <fieldGroup par="8"/>
    </cacheField>
    <cacheField name="Рейтинг" numFmtId="0">
      <sharedItems containsSemiMixedTypes="0" containsString="0" containsNumber="1" minValue="1" maxValue="5"/>
    </cacheField>
    <cacheField name="Способ оплаты" numFmtId="0">
      <sharedItems/>
    </cacheField>
    <cacheField name="Месяцы (Дата)" numFmtId="0" databaseField="0">
      <fieldGroup base="3">
        <rangePr groupBy="months" startDate="2022-10-02T00:00:00" endDate="2023-10-02T00:00:00"/>
        <groupItems count="14">
          <s v="&lt;02.10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10.2023"/>
        </groupItems>
      </fieldGroup>
    </cacheField>
    <cacheField name="Кварталы (Дата)" numFmtId="0" databaseField="0">
      <fieldGroup base="3">
        <rangePr groupBy="quarters" startDate="2022-10-02T00:00:00" endDate="2023-10-02T00:00:00"/>
        <groupItems count="6">
          <s v="&lt;02.10.2022"/>
          <s v="Кв-л1"/>
          <s v="Кв-л2"/>
          <s v="Кв-л3"/>
          <s v="Кв-л4"/>
          <s v="&gt;02.10.2023"/>
        </groupItems>
      </fieldGroup>
    </cacheField>
    <cacheField name="Годы (Дата)" numFmtId="0" databaseField="0">
      <fieldGroup base="3">
        <rangePr groupBy="years" startDate="2022-10-02T00:00:00" endDate="2023-10-02T00:00:00"/>
        <groupItems count="4">
          <s v="&lt;02.10.2022"/>
          <s v="2022"/>
          <s v="2023"/>
          <s v="&gt;02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иана" refreshedDate="46281.822984259263" createdVersion="8" refreshedVersion="8" minRefreshableVersion="3" recordCount="166" xr:uid="{E33FB2EF-AC6F-4C21-A17B-CAE5E96AEE89}">
  <cacheSource type="worksheet">
    <worksheetSource ref="A1:E167" sheet="Парето"/>
  </cacheSource>
  <cacheFields count="5">
    <cacheField name="ID клиента" numFmtId="0">
      <sharedItems containsSemiMixedTypes="0" containsString="0" containsNumber="1" containsInteger="1" minValue="3957" maxValue="4122"/>
    </cacheField>
    <cacheField name="Сумма покупок" numFmtId="4">
      <sharedItems containsSemiMixedTypes="0" containsString="0" containsNumber="1" minValue="1111.5921473225635" maxValue="3690.6961836428363"/>
    </cacheField>
    <cacheField name="Накопленная сумма" numFmtId="4">
      <sharedItems containsSemiMixedTypes="0" containsString="0" containsNumber="1" minValue="3690.6961836428363" maxValue="357025.62699207361"/>
    </cacheField>
    <cacheField name="Накопленная доля" numFmtId="10">
      <sharedItems containsSemiMixedTypes="0" containsString="0" containsNumber="1" minValue="1.0337342489212333E-2" maxValue="1"/>
    </cacheField>
    <cacheField name="Топ-80%" numFmtId="0">
      <sharedItems count="2">
        <s v="Да"/>
        <s v="Нет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7">
  <r>
    <n v="3992"/>
    <x v="0"/>
    <n v="101"/>
    <x v="0"/>
    <n v="1.3"/>
    <s v="Credit Card"/>
  </r>
  <r>
    <n v="4105"/>
    <x v="1"/>
    <n v="164"/>
    <x v="1"/>
    <n v="3.2"/>
    <s v="Credit Card"/>
  </r>
  <r>
    <n v="4119"/>
    <x v="2"/>
    <n v="21"/>
    <x v="2"/>
    <n v="3.9"/>
    <s v="Cash"/>
  </r>
  <r>
    <n v="3957"/>
    <x v="3"/>
    <n v="147"/>
    <x v="3"/>
    <n v="4.7"/>
    <s v="Cash"/>
  </r>
  <r>
    <n v="3994"/>
    <x v="4"/>
    <n v="114.77966101694901"/>
    <x v="4"/>
    <n v="3.9"/>
    <s v="Cash"/>
  </r>
  <r>
    <n v="3995"/>
    <x v="5"/>
    <n v="30"/>
    <x v="5"/>
    <n v="4.0999999999999996"/>
    <s v="Cash"/>
  </r>
  <r>
    <n v="4072"/>
    <x v="6"/>
    <n v="170"/>
    <x v="6"/>
    <n v="3.6"/>
    <s v="Credit Card"/>
  </r>
  <r>
    <n v="4093"/>
    <x v="7"/>
    <n v="102"/>
    <x v="7"/>
    <n v="2.1"/>
    <s v="Cash"/>
  </r>
  <r>
    <n v="4031"/>
    <x v="8"/>
    <n v="190"/>
    <x v="8"/>
    <n v="3"/>
    <s v="Cash"/>
  </r>
  <r>
    <n v="4056"/>
    <x v="9"/>
    <n v="109.08474576271099"/>
    <x v="9"/>
    <n v="3.0693548387096699"/>
    <s v="Credit Card"/>
  </r>
  <r>
    <n v="4114"/>
    <x v="10"/>
    <n v="84"/>
    <x v="10"/>
    <n v="3.8"/>
    <s v="Cash"/>
  </r>
  <r>
    <n v="4104"/>
    <x v="0"/>
    <n v="69"/>
    <x v="11"/>
    <n v="2.1"/>
    <s v="Cash"/>
  </r>
  <r>
    <n v="4071"/>
    <x v="11"/>
    <n v="107"/>
    <x v="12"/>
    <n v="1.5"/>
    <s v="Cash"/>
  </r>
  <r>
    <n v="4007"/>
    <x v="1"/>
    <n v="172"/>
    <x v="13"/>
    <n v="1.9"/>
    <s v="Cash"/>
  </r>
  <r>
    <n v="4009"/>
    <x v="12"/>
    <n v="51"/>
    <x v="14"/>
    <n v="1.8"/>
    <s v="Cash"/>
  </r>
  <r>
    <n v="4038"/>
    <x v="13"/>
    <n v="63"/>
    <x v="15"/>
    <n v="4.3"/>
    <s v="Cash"/>
  </r>
  <r>
    <n v="4033"/>
    <x v="0"/>
    <n v="189"/>
    <x v="16"/>
    <n v="4.9000000000000004"/>
    <s v="Cash"/>
  </r>
  <r>
    <n v="4102"/>
    <x v="14"/>
    <n v="175"/>
    <x v="17"/>
    <n v="3.6"/>
    <s v="Credit Card"/>
  </r>
  <r>
    <n v="4034"/>
    <x v="11"/>
    <n v="112.64705882352899"/>
    <x v="18"/>
    <n v="1.5"/>
    <s v="Credit Card"/>
  </r>
  <r>
    <n v="4068"/>
    <x v="15"/>
    <n v="146"/>
    <x v="19"/>
    <n v="1.1000000000000001"/>
    <s v="Cash"/>
  </r>
  <r>
    <n v="4045"/>
    <x v="16"/>
    <n v="51"/>
    <x v="20"/>
    <n v="2.5"/>
    <s v="Credit Card"/>
  </r>
  <r>
    <n v="3979"/>
    <x v="3"/>
    <n v="79"/>
    <x v="17"/>
    <n v="1.3"/>
    <s v="Cash"/>
  </r>
  <r>
    <n v="4106"/>
    <x v="7"/>
    <n v="173"/>
    <x v="21"/>
    <n v="3.4"/>
    <s v="Credit Card"/>
  </r>
  <r>
    <n v="3959"/>
    <x v="7"/>
    <n v="66"/>
    <x v="9"/>
    <n v="4.5"/>
    <s v="Cash"/>
  </r>
  <r>
    <n v="4113"/>
    <x v="2"/>
    <n v="24"/>
    <x v="22"/>
    <n v="1.2"/>
    <s v="Credit Card"/>
  </r>
  <r>
    <n v="4087"/>
    <x v="17"/>
    <n v="18"/>
    <x v="23"/>
    <n v="1.7"/>
    <s v="Credit Card"/>
  </r>
  <r>
    <n v="4060"/>
    <x v="18"/>
    <n v="112"/>
    <x v="24"/>
    <n v="1.2"/>
    <s v="Cash"/>
  </r>
  <r>
    <n v="3989"/>
    <x v="19"/>
    <n v="64"/>
    <x v="25"/>
    <n v="3.2"/>
    <s v="Credit Card"/>
  </r>
  <r>
    <n v="4032"/>
    <x v="20"/>
    <n v="155"/>
    <x v="26"/>
    <n v="1.1000000000000001"/>
    <s v="Credit Card"/>
  </r>
  <r>
    <n v="3972"/>
    <x v="2"/>
    <n v="90"/>
    <x v="27"/>
    <n v="4.5999999999999996"/>
    <s v="Credit Card"/>
  </r>
  <r>
    <n v="4051"/>
    <x v="21"/>
    <n v="137"/>
    <x v="28"/>
    <n v="4.5999999999999996"/>
    <s v="Cash"/>
  </r>
  <r>
    <n v="4097"/>
    <x v="22"/>
    <n v="174"/>
    <x v="29"/>
    <n v="3.4"/>
    <s v="Cash"/>
  </r>
  <r>
    <n v="3970"/>
    <x v="3"/>
    <n v="77"/>
    <x v="30"/>
    <n v="2.4"/>
    <s v="Cash"/>
  </r>
  <r>
    <n v="3957"/>
    <x v="16"/>
    <n v="102.74"/>
    <x v="4"/>
    <n v="2.7"/>
    <s v="Cash"/>
  </r>
  <r>
    <n v="4100"/>
    <x v="4"/>
    <n v="147"/>
    <x v="31"/>
    <n v="3.9"/>
    <s v="Credit Card"/>
  </r>
  <r>
    <n v="4048"/>
    <x v="23"/>
    <n v="159"/>
    <x v="32"/>
    <n v="1.2"/>
    <s v="Credit Card"/>
  </r>
  <r>
    <n v="3985"/>
    <x v="12"/>
    <n v="159"/>
    <x v="33"/>
    <n v="2.6"/>
    <s v="Cash"/>
  </r>
  <r>
    <n v="4029"/>
    <x v="10"/>
    <n v="66"/>
    <x v="34"/>
    <n v="3.7"/>
    <s v="Cash"/>
  </r>
  <r>
    <n v="3964"/>
    <x v="24"/>
    <n v="45"/>
    <x v="35"/>
    <n v="4.8"/>
    <s v="Cash"/>
  </r>
  <r>
    <n v="4017"/>
    <x v="5"/>
    <n v="33"/>
    <x v="36"/>
    <n v="3.3"/>
    <s v="Credit Card"/>
  </r>
  <r>
    <n v="4067"/>
    <x v="25"/>
    <n v="38"/>
    <x v="7"/>
    <n v="3.1"/>
    <s v="Cash"/>
  </r>
  <r>
    <n v="4108"/>
    <x v="26"/>
    <n v="111.854838709677"/>
    <x v="37"/>
    <n v="2.5"/>
    <s v="Credit Card"/>
  </r>
  <r>
    <n v="4057"/>
    <x v="27"/>
    <n v="108.734693877551"/>
    <x v="38"/>
    <n v="4.7"/>
    <s v="Cash"/>
  </r>
  <r>
    <n v="4117"/>
    <x v="28"/>
    <n v="162"/>
    <x v="14"/>
    <n v="1.1000000000000001"/>
    <s v="Cash"/>
  </r>
  <r>
    <n v="4038"/>
    <x v="27"/>
    <n v="108.734693877551"/>
    <x v="39"/>
    <n v="4.8"/>
    <s v="Credit Card"/>
  </r>
  <r>
    <n v="4054"/>
    <x v="29"/>
    <n v="129"/>
    <x v="40"/>
    <n v="2.6590163934426201"/>
    <s v="Cash"/>
  </r>
  <r>
    <n v="4060"/>
    <x v="19"/>
    <n v="151"/>
    <x v="41"/>
    <n v="3.2"/>
    <s v="Cash"/>
  </r>
  <r>
    <n v="4054"/>
    <x v="25"/>
    <n v="12"/>
    <x v="42"/>
    <n v="2.6"/>
    <s v="Credit Card"/>
  </r>
  <r>
    <n v="4068"/>
    <x v="30"/>
    <n v="39"/>
    <x v="43"/>
    <n v="2.4"/>
    <s v="Credit Card"/>
  </r>
  <r>
    <n v="4096"/>
    <x v="17"/>
    <n v="147"/>
    <x v="44"/>
    <n v="4.0999999999999996"/>
    <s v="Credit Card"/>
  </r>
  <r>
    <n v="4011"/>
    <x v="8"/>
    <n v="174"/>
    <x v="45"/>
    <n v="3.4"/>
    <s v="Cash"/>
  </r>
  <r>
    <n v="4001"/>
    <x v="31"/>
    <n v="85"/>
    <x v="46"/>
    <n v="3.3"/>
    <s v="Cash"/>
  </r>
  <r>
    <n v="4078"/>
    <x v="24"/>
    <n v="126"/>
    <x v="47"/>
    <n v="2.1"/>
    <s v="Credit Card"/>
  </r>
  <r>
    <n v="3992"/>
    <x v="32"/>
    <n v="110.431818181818"/>
    <x v="48"/>
    <n v="2.9"/>
    <s v="Cash"/>
  </r>
  <r>
    <n v="4005"/>
    <x v="33"/>
    <n v="194"/>
    <x v="49"/>
    <n v="2.9"/>
    <s v="Credit Card"/>
  </r>
  <r>
    <n v="4099"/>
    <x v="17"/>
    <n v="138"/>
    <x v="50"/>
    <n v="2.9"/>
    <s v="Credit Card"/>
  </r>
  <r>
    <n v="4055"/>
    <x v="2"/>
    <n v="139"/>
    <x v="30"/>
    <n v="1.9"/>
    <s v="Credit Card"/>
  </r>
  <r>
    <n v="4049"/>
    <x v="34"/>
    <n v="170"/>
    <x v="51"/>
    <n v="3.1546875000000001"/>
    <s v="Cash"/>
  </r>
  <r>
    <n v="4063"/>
    <x v="31"/>
    <n v="173"/>
    <x v="52"/>
    <n v="2.1"/>
    <s v="Credit Card"/>
  </r>
  <r>
    <n v="3996"/>
    <x v="35"/>
    <n v="60"/>
    <x v="53"/>
    <n v="2.2999999999999998"/>
    <s v="Credit Card"/>
  </r>
  <r>
    <n v="4030"/>
    <x v="3"/>
    <n v="98.967741935483801"/>
    <x v="54"/>
    <n v="2.6520547945205402"/>
    <s v="Credit Card"/>
  </r>
  <r>
    <n v="3989"/>
    <x v="36"/>
    <n v="148"/>
    <x v="55"/>
    <n v="4.0999999999999996"/>
    <s v="Credit Card"/>
  </r>
  <r>
    <n v="3991"/>
    <x v="37"/>
    <n v="145"/>
    <x v="56"/>
    <n v="4.5"/>
    <s v="Credit Card"/>
  </r>
  <r>
    <n v="3959"/>
    <x v="38"/>
    <n v="163"/>
    <x v="57"/>
    <n v="3.5"/>
    <s v="Credit Card"/>
  </r>
  <r>
    <n v="3975"/>
    <x v="3"/>
    <n v="14"/>
    <x v="58"/>
    <n v="3.5"/>
    <s v="Cash"/>
  </r>
  <r>
    <n v="4122"/>
    <x v="29"/>
    <n v="88.827586206896498"/>
    <x v="59"/>
    <n v="2.6590163934426201"/>
    <s v="Credit Card"/>
  </r>
  <r>
    <n v="3961"/>
    <x v="2"/>
    <n v="88"/>
    <x v="60"/>
    <n v="1.2"/>
    <s v="Cash"/>
  </r>
  <r>
    <n v="3993"/>
    <x v="35"/>
    <n v="71"/>
    <x v="61"/>
    <n v="4.4000000000000004"/>
    <s v="Credit Card"/>
  </r>
  <r>
    <n v="4081"/>
    <x v="24"/>
    <n v="30"/>
    <x v="62"/>
    <n v="1.2"/>
    <s v="Credit Card"/>
  </r>
  <r>
    <n v="4068"/>
    <x v="4"/>
    <n v="114.77966101694901"/>
    <x v="63"/>
    <n v="1.2"/>
    <s v="Credit Card"/>
  </r>
  <r>
    <n v="3991"/>
    <x v="2"/>
    <n v="27"/>
    <x v="64"/>
    <n v="2"/>
    <s v="Credit Card"/>
  </r>
  <r>
    <n v="3978"/>
    <x v="37"/>
    <n v="146"/>
    <x v="65"/>
    <n v="3.7"/>
    <s v="Credit Card"/>
  </r>
  <r>
    <n v="3992"/>
    <x v="14"/>
    <n v="42"/>
    <x v="66"/>
    <n v="2.4"/>
    <s v="Credit Card"/>
  </r>
  <r>
    <n v="4121"/>
    <x v="39"/>
    <n v="150"/>
    <x v="67"/>
    <n v="3.4"/>
    <s v="Credit Card"/>
  </r>
  <r>
    <n v="4063"/>
    <x v="5"/>
    <n v="99.697674418604606"/>
    <x v="68"/>
    <n v="1.3"/>
    <s v="Credit Card"/>
  </r>
  <r>
    <n v="4073"/>
    <x v="25"/>
    <n v="165"/>
    <x v="36"/>
    <n v="3"/>
    <s v="Credit Card"/>
  </r>
  <r>
    <n v="4111"/>
    <x v="29"/>
    <n v="64"/>
    <x v="65"/>
    <n v="2.2999999999999998"/>
    <s v="Credit Card"/>
  </r>
  <r>
    <n v="4065"/>
    <x v="9"/>
    <n v="196"/>
    <x v="69"/>
    <n v="4.3"/>
    <s v="Credit Card"/>
  </r>
  <r>
    <n v="4116"/>
    <x v="40"/>
    <n v="192"/>
    <x v="70"/>
    <n v="3.6"/>
    <s v="Credit Card"/>
  </r>
  <r>
    <n v="4003"/>
    <x v="31"/>
    <n v="181"/>
    <x v="71"/>
    <n v="1.6"/>
    <s v="Credit Card"/>
  </r>
  <r>
    <n v="4073"/>
    <x v="41"/>
    <n v="122"/>
    <x v="72"/>
    <n v="4.2"/>
    <s v="Credit Card"/>
  </r>
  <r>
    <n v="4087"/>
    <x v="42"/>
    <n v="125"/>
    <x v="73"/>
    <n v="2.6"/>
    <s v="Credit Card"/>
  </r>
  <r>
    <n v="4065"/>
    <x v="23"/>
    <n v="112.745762711864"/>
    <x v="56"/>
    <n v="2.9"/>
    <s v="Credit Card"/>
  </r>
  <r>
    <n v="4098"/>
    <x v="38"/>
    <n v="96"/>
    <x v="74"/>
    <n v="3.5"/>
    <s v="Credit Card"/>
  </r>
  <r>
    <n v="4072"/>
    <x v="40"/>
    <n v="114.396551724137"/>
    <x v="75"/>
    <n v="1.2"/>
    <s v="Cash"/>
  </r>
  <r>
    <n v="4055"/>
    <x v="5"/>
    <n v="160"/>
    <x v="2"/>
    <n v="4.5999999999999996"/>
    <s v="Cash"/>
  </r>
  <r>
    <n v="4047"/>
    <x v="35"/>
    <n v="28"/>
    <x v="76"/>
    <n v="3.0156626506023998"/>
    <s v="Cash"/>
  </r>
  <r>
    <n v="4014"/>
    <x v="34"/>
    <n v="25"/>
    <x v="77"/>
    <n v="4.2"/>
    <s v="Cash"/>
  </r>
  <r>
    <n v="4004"/>
    <x v="43"/>
    <n v="18"/>
    <x v="78"/>
    <n v="4.0999999999999996"/>
    <s v="Credit Card"/>
  </r>
  <r>
    <n v="4065"/>
    <x v="6"/>
    <n v="28"/>
    <x v="47"/>
    <n v="3.3"/>
    <s v="Credit Card"/>
  </r>
  <r>
    <n v="4111"/>
    <x v="35"/>
    <n v="81"/>
    <x v="79"/>
    <n v="1.9"/>
    <s v="Credit Card"/>
  </r>
  <r>
    <n v="3958"/>
    <x v="11"/>
    <n v="64"/>
    <x v="80"/>
    <n v="1.1000000000000001"/>
    <s v="Cash"/>
  </r>
  <r>
    <n v="4104"/>
    <x v="30"/>
    <n v="195"/>
    <x v="73"/>
    <n v="2.5"/>
    <s v="Cash"/>
  </r>
  <r>
    <n v="4084"/>
    <x v="40"/>
    <n v="156"/>
    <x v="81"/>
    <n v="1.3"/>
    <s v="Credit Card"/>
  </r>
  <r>
    <n v="4017"/>
    <x v="15"/>
    <n v="72"/>
    <x v="82"/>
    <n v="3.22399999999999"/>
    <s v="Credit Card"/>
  </r>
  <r>
    <n v="4085"/>
    <x v="11"/>
    <n v="114"/>
    <x v="83"/>
    <n v="1.9"/>
    <s v="Credit Card"/>
  </r>
  <r>
    <n v="4025"/>
    <x v="23"/>
    <n v="112.745762711864"/>
    <x v="37"/>
    <n v="3.3"/>
    <s v="Cash"/>
  </r>
  <r>
    <n v="4062"/>
    <x v="35"/>
    <n v="97.720588235294102"/>
    <x v="84"/>
    <n v="2.7"/>
    <s v="Credit Card"/>
  </r>
  <r>
    <n v="4096"/>
    <x v="31"/>
    <n v="118"/>
    <x v="85"/>
    <n v="4.4000000000000004"/>
    <s v="Cash"/>
  </r>
  <r>
    <n v="4104"/>
    <x v="11"/>
    <n v="196"/>
    <x v="15"/>
    <n v="1.2"/>
    <s v="Cash"/>
  </r>
  <r>
    <n v="4050"/>
    <x v="37"/>
    <n v="108.54716981132"/>
    <x v="52"/>
    <n v="3.1"/>
    <s v="Credit Card"/>
  </r>
  <r>
    <n v="3965"/>
    <x v="4"/>
    <n v="175"/>
    <x v="86"/>
    <n v="2.1"/>
    <s v="Cash"/>
  </r>
  <r>
    <n v="3966"/>
    <x v="18"/>
    <n v="105.95348837209301"/>
    <x v="45"/>
    <n v="2.2000000000000002"/>
    <s v="Credit Card"/>
  </r>
  <r>
    <n v="4102"/>
    <x v="30"/>
    <n v="96"/>
    <x v="87"/>
    <n v="2"/>
    <s v="Credit Card"/>
  </r>
  <r>
    <n v="4080"/>
    <x v="33"/>
    <n v="37"/>
    <x v="88"/>
    <n v="2.4"/>
    <s v="Cash"/>
  </r>
  <r>
    <n v="4051"/>
    <x v="3"/>
    <n v="58"/>
    <x v="89"/>
    <n v="4"/>
    <s v="Cash"/>
  </r>
  <r>
    <n v="3985"/>
    <x v="24"/>
    <n v="45"/>
    <x v="90"/>
    <n v="2"/>
    <s v="Credit Card"/>
  </r>
  <r>
    <n v="4105"/>
    <x v="44"/>
    <n v="81"/>
    <x v="91"/>
    <n v="4.5"/>
    <s v="Credit Card"/>
  </r>
  <r>
    <n v="4080"/>
    <x v="23"/>
    <n v="29"/>
    <x v="84"/>
    <n v="2.4"/>
    <s v="Credit Card"/>
  </r>
  <r>
    <n v="3977"/>
    <x v="36"/>
    <n v="150"/>
    <x v="92"/>
    <n v="4.7"/>
    <s v="Cash"/>
  </r>
  <r>
    <n v="3993"/>
    <x v="37"/>
    <n v="108.54716981132"/>
    <x v="93"/>
    <n v="3.4"/>
    <s v="Cash"/>
  </r>
  <r>
    <n v="4091"/>
    <x v="36"/>
    <n v="148"/>
    <x v="94"/>
    <n v="2.7"/>
    <s v="Cash"/>
  </r>
  <r>
    <n v="4028"/>
    <x v="14"/>
    <n v="33"/>
    <x v="44"/>
    <n v="4.3"/>
    <s v="Credit Card"/>
  </r>
  <r>
    <n v="4076"/>
    <x v="23"/>
    <n v="70"/>
    <x v="95"/>
    <n v="3.2"/>
    <s v="Credit Card"/>
  </r>
  <r>
    <n v="4089"/>
    <x v="33"/>
    <n v="97.071428571428498"/>
    <x v="96"/>
    <n v="2.6"/>
    <s v="Cash"/>
  </r>
  <r>
    <n v="3977"/>
    <x v="4"/>
    <n v="64"/>
    <x v="6"/>
    <n v="1.6"/>
    <s v="Cash"/>
  </r>
  <r>
    <n v="4090"/>
    <x v="40"/>
    <n v="25"/>
    <x v="97"/>
    <n v="2.1"/>
    <s v="Cash"/>
  </r>
  <r>
    <n v="4113"/>
    <x v="27"/>
    <n v="108.734693877551"/>
    <x v="98"/>
    <n v="1.3"/>
    <s v="Cash"/>
  </r>
  <r>
    <n v="3979"/>
    <x v="7"/>
    <n v="103.564102564102"/>
    <x v="76"/>
    <n v="4.9000000000000004"/>
    <s v="Credit Card"/>
  </r>
  <r>
    <n v="4019"/>
    <x v="8"/>
    <n v="126"/>
    <x v="99"/>
    <n v="3.5"/>
    <s v="Credit Card"/>
  </r>
  <r>
    <n v="4077"/>
    <x v="45"/>
    <n v="188"/>
    <x v="100"/>
    <n v="4.5999999999999996"/>
    <s v="Credit Card"/>
  </r>
  <r>
    <n v="4118"/>
    <x v="40"/>
    <n v="152"/>
    <x v="101"/>
    <n v="1.1000000000000001"/>
    <s v="Credit Card"/>
  </r>
  <r>
    <n v="3976"/>
    <x v="29"/>
    <n v="134"/>
    <x v="102"/>
    <n v="2.1"/>
    <s v="Credit Card"/>
  </r>
  <r>
    <n v="4119"/>
    <x v="30"/>
    <n v="84.528571428571396"/>
    <x v="103"/>
    <n v="4.7"/>
    <s v="Cash"/>
  </r>
  <r>
    <n v="4095"/>
    <x v="29"/>
    <n v="24"/>
    <x v="104"/>
    <n v="1.5"/>
    <s v="Cash"/>
  </r>
  <r>
    <n v="4105"/>
    <x v="26"/>
    <n v="148"/>
    <x v="105"/>
    <n v="3"/>
    <s v="Credit Card"/>
  </r>
  <r>
    <n v="4036"/>
    <x v="26"/>
    <n v="111.854838709677"/>
    <x v="106"/>
    <n v="3.8"/>
    <s v="Credit Card"/>
  </r>
  <r>
    <n v="4113"/>
    <x v="34"/>
    <n v="22"/>
    <x v="50"/>
    <n v="1.5"/>
    <s v="Cash"/>
  </r>
  <r>
    <n v="3970"/>
    <x v="3"/>
    <n v="138"/>
    <x v="57"/>
    <n v="4.7"/>
    <s v="Cash"/>
  </r>
  <r>
    <n v="4044"/>
    <x v="3"/>
    <n v="145"/>
    <x v="107"/>
    <n v="2.4"/>
    <s v="Cash"/>
  </r>
  <r>
    <n v="4093"/>
    <x v="41"/>
    <n v="117.354166666666"/>
    <x v="108"/>
    <n v="3.2"/>
    <s v="Cash"/>
  </r>
  <r>
    <n v="3959"/>
    <x v="28"/>
    <n v="30"/>
    <x v="109"/>
    <n v="1.5"/>
    <s v="Cash"/>
  </r>
  <r>
    <n v="4077"/>
    <x v="42"/>
    <n v="27"/>
    <x v="110"/>
    <n v="4.5999999999999996"/>
    <s v="Credit Card"/>
  </r>
  <r>
    <n v="4073"/>
    <x v="13"/>
    <n v="182"/>
    <x v="64"/>
    <n v="3.5"/>
    <s v="Cash"/>
  </r>
  <r>
    <n v="4088"/>
    <x v="42"/>
    <n v="113"/>
    <x v="111"/>
    <n v="1.2"/>
    <s v="Credit Card"/>
  </r>
  <r>
    <n v="4077"/>
    <x v="6"/>
    <n v="105.81034482758599"/>
    <x v="112"/>
    <n v="2.4"/>
    <s v="Credit Card"/>
  </r>
  <r>
    <n v="4103"/>
    <x v="41"/>
    <n v="73"/>
    <x v="113"/>
    <n v="2.6"/>
    <s v="Cash"/>
  </r>
  <r>
    <n v="4041"/>
    <x v="23"/>
    <n v="20"/>
    <x v="50"/>
    <n v="4.3"/>
    <s v="Cash"/>
  </r>
  <r>
    <n v="4064"/>
    <x v="28"/>
    <n v="117"/>
    <x v="91"/>
    <n v="2.9"/>
    <s v="Cash"/>
  </r>
  <r>
    <n v="4047"/>
    <x v="37"/>
    <n v="154"/>
    <x v="100"/>
    <n v="1.7"/>
    <s v="Cash"/>
  </r>
  <r>
    <n v="4032"/>
    <x v="0"/>
    <n v="76"/>
    <x v="10"/>
    <n v="4.7"/>
    <s v="Cash"/>
  </r>
  <r>
    <n v="4031"/>
    <x v="32"/>
    <n v="193"/>
    <x v="114"/>
    <n v="1.3"/>
    <s v="Credit Card"/>
  </r>
  <r>
    <n v="3999"/>
    <x v="27"/>
    <n v="77"/>
    <x v="11"/>
    <n v="3.4"/>
    <s v="Credit Card"/>
  </r>
  <r>
    <n v="3966"/>
    <x v="13"/>
    <n v="181"/>
    <x v="115"/>
    <n v="3.6"/>
    <s v="Credit Card"/>
  </r>
  <r>
    <n v="4109"/>
    <x v="1"/>
    <n v="127"/>
    <x v="116"/>
    <n v="2.8"/>
    <s v="Cash"/>
  </r>
  <r>
    <n v="4034"/>
    <x v="46"/>
    <n v="28"/>
    <x v="69"/>
    <n v="3.4"/>
    <s v="Cash"/>
  </r>
  <r>
    <n v="4101"/>
    <x v="23"/>
    <n v="112.745762711864"/>
    <x v="117"/>
    <n v="1.4"/>
    <s v="Cash"/>
  </r>
  <r>
    <n v="4023"/>
    <x v="39"/>
    <n v="154"/>
    <x v="118"/>
    <n v="2.4"/>
    <s v="Credit Card"/>
  </r>
  <r>
    <n v="3972"/>
    <x v="38"/>
    <n v="28"/>
    <x v="119"/>
    <n v="4.5999999999999996"/>
    <s v="Credit Card"/>
  </r>
  <r>
    <n v="4118"/>
    <x v="29"/>
    <n v="139"/>
    <x v="120"/>
    <n v="4.4000000000000004"/>
    <s v="Credit Card"/>
  </r>
  <r>
    <n v="4078"/>
    <x v="11"/>
    <n v="99"/>
    <x v="121"/>
    <n v="2.2999999999999998"/>
    <s v="Cash"/>
  </r>
  <r>
    <n v="4105"/>
    <x v="35"/>
    <n v="72"/>
    <x v="122"/>
    <n v="1.7"/>
    <s v="Credit Card"/>
  </r>
  <r>
    <n v="4000"/>
    <x v="44"/>
    <n v="50"/>
    <x v="123"/>
    <n v="4.3"/>
    <s v="Cash"/>
  </r>
  <r>
    <n v="4103"/>
    <x v="47"/>
    <n v="149"/>
    <x v="124"/>
    <n v="5"/>
    <s v="Cash"/>
  </r>
  <r>
    <n v="3970"/>
    <x v="11"/>
    <n v="166"/>
    <x v="125"/>
    <n v="3.1"/>
    <s v="Credit Card"/>
  </r>
  <r>
    <n v="4031"/>
    <x v="3"/>
    <n v="177"/>
    <x v="126"/>
    <n v="3.5"/>
    <s v="Cash"/>
  </r>
  <r>
    <n v="4116"/>
    <x v="48"/>
    <n v="180"/>
    <x v="44"/>
    <n v="3"/>
    <s v="Cash"/>
  </r>
  <r>
    <n v="3963"/>
    <x v="34"/>
    <n v="86"/>
    <x v="49"/>
    <n v="1.5"/>
    <s v="Cash"/>
  </r>
  <r>
    <n v="4030"/>
    <x v="45"/>
    <n v="36"/>
    <x v="38"/>
    <n v="2.8"/>
    <s v="Credit Card"/>
  </r>
  <r>
    <n v="4081"/>
    <x v="28"/>
    <n v="44"/>
    <x v="67"/>
    <n v="2.2000000000000002"/>
    <s v="Credit Card"/>
  </r>
  <r>
    <n v="3978"/>
    <x v="25"/>
    <n v="37"/>
    <x v="127"/>
    <n v="5"/>
    <s v="Cash"/>
  </r>
  <r>
    <n v="3989"/>
    <x v="22"/>
    <n v="49"/>
    <x v="48"/>
    <n v="4.7"/>
    <s v="Credit Card"/>
  </r>
  <r>
    <n v="4086"/>
    <x v="41"/>
    <n v="164"/>
    <x v="128"/>
    <n v="1.6"/>
    <s v="Cash"/>
  </r>
  <r>
    <n v="3976"/>
    <x v="22"/>
    <n v="97"/>
    <x v="129"/>
    <n v="4.4000000000000004"/>
    <s v="Cash"/>
  </r>
  <r>
    <n v="4028"/>
    <x v="19"/>
    <n v="172"/>
    <x v="65"/>
    <n v="1.1000000000000001"/>
    <s v="Credit Card"/>
  </r>
  <r>
    <n v="4021"/>
    <x v="0"/>
    <n v="139"/>
    <x v="38"/>
    <n v="4.8"/>
    <s v="Cash"/>
  </r>
  <r>
    <n v="3990"/>
    <x v="23"/>
    <n v="23"/>
    <x v="130"/>
    <n v="4.2"/>
    <s v="Credit Card"/>
  </r>
  <r>
    <n v="4114"/>
    <x v="35"/>
    <n v="97.720588235294102"/>
    <x v="36"/>
    <n v="3.0156626506023998"/>
    <s v="Cash"/>
  </r>
  <r>
    <n v="4028"/>
    <x v="6"/>
    <n v="80"/>
    <x v="90"/>
    <n v="1.1000000000000001"/>
    <s v="Cash"/>
  </r>
  <r>
    <n v="4027"/>
    <x v="2"/>
    <n v="100.68"/>
    <x v="131"/>
    <n v="4.8"/>
    <s v="Credit Card"/>
  </r>
  <r>
    <n v="4022"/>
    <x v="2"/>
    <n v="43"/>
    <x v="132"/>
    <n v="3.9"/>
    <s v="Cash"/>
  </r>
  <r>
    <n v="3960"/>
    <x v="40"/>
    <n v="77"/>
    <x v="49"/>
    <n v="4.3"/>
    <s v="Cash"/>
  </r>
  <r>
    <n v="3985"/>
    <x v="1"/>
    <n v="93.340909090909093"/>
    <x v="17"/>
    <n v="1.4"/>
    <s v="Credit Card"/>
  </r>
  <r>
    <n v="4111"/>
    <x v="41"/>
    <n v="190"/>
    <x v="5"/>
    <n v="4.4000000000000004"/>
    <s v="Credit Card"/>
  </r>
  <r>
    <n v="4001"/>
    <x v="25"/>
    <n v="12"/>
    <x v="133"/>
    <n v="2.7"/>
    <s v="Cash"/>
  </r>
  <r>
    <n v="4108"/>
    <x v="45"/>
    <n v="106.297872340425"/>
    <x v="134"/>
    <n v="4.5"/>
    <s v="Credit Card"/>
  </r>
  <r>
    <n v="3995"/>
    <x v="21"/>
    <n v="186"/>
    <x v="11"/>
    <n v="3.9"/>
    <s v="Cash"/>
  </r>
  <r>
    <n v="4071"/>
    <x v="15"/>
    <n v="149"/>
    <x v="93"/>
    <n v="2.4"/>
    <s v="Cash"/>
  </r>
  <r>
    <n v="4051"/>
    <x v="22"/>
    <n v="95.292307692307602"/>
    <x v="16"/>
    <n v="3.1712328767123199"/>
    <s v="Credit Card"/>
  </r>
  <r>
    <n v="4001"/>
    <x v="20"/>
    <n v="151"/>
    <x v="135"/>
    <n v="3.9"/>
    <s v="Cash"/>
  </r>
  <r>
    <n v="4023"/>
    <x v="0"/>
    <n v="112.145454545454"/>
    <x v="136"/>
    <n v="3"/>
    <s v="Credit Card"/>
  </r>
  <r>
    <n v="4017"/>
    <x v="30"/>
    <n v="84.528571428571396"/>
    <x v="81"/>
    <n v="3.5"/>
    <s v="Cash"/>
  </r>
  <r>
    <n v="4081"/>
    <x v="44"/>
    <n v="20"/>
    <x v="137"/>
    <n v="4.0999999999999996"/>
    <s v="Cash"/>
  </r>
  <r>
    <n v="4003"/>
    <x v="4"/>
    <n v="63"/>
    <x v="138"/>
    <n v="2.2999999999999998"/>
    <s v="Credit Card"/>
  </r>
  <r>
    <n v="4092"/>
    <x v="36"/>
    <n v="180"/>
    <x v="133"/>
    <n v="2.7"/>
    <s v="Cash"/>
  </r>
  <r>
    <n v="3965"/>
    <x v="21"/>
    <n v="107.68518518518501"/>
    <x v="139"/>
    <n v="4.2"/>
    <s v="Cash"/>
  </r>
  <r>
    <n v="4044"/>
    <x v="30"/>
    <n v="114"/>
    <x v="140"/>
    <n v="4.4000000000000004"/>
    <s v="Credit Card"/>
  </r>
  <r>
    <n v="3978"/>
    <x v="44"/>
    <n v="49"/>
    <x v="91"/>
    <n v="4.5"/>
    <s v="Cash"/>
  </r>
  <r>
    <n v="3994"/>
    <x v="2"/>
    <n v="70"/>
    <x v="141"/>
    <n v="3.2285714285714202"/>
    <s v="Cash"/>
  </r>
  <r>
    <n v="4109"/>
    <x v="4"/>
    <n v="55"/>
    <x v="142"/>
    <n v="1"/>
    <s v="Credit Card"/>
  </r>
  <r>
    <n v="3996"/>
    <x v="32"/>
    <n v="16"/>
    <x v="143"/>
    <n v="2.5"/>
    <s v="Credit Card"/>
  </r>
  <r>
    <n v="4083"/>
    <x v="20"/>
    <n v="107.949152542372"/>
    <x v="144"/>
    <n v="3.7"/>
    <s v="Credit Card"/>
  </r>
  <r>
    <n v="4062"/>
    <x v="38"/>
    <n v="115"/>
    <x v="145"/>
    <n v="1.6"/>
    <s v="Credit Card"/>
  </r>
  <r>
    <n v="4055"/>
    <x v="26"/>
    <n v="198"/>
    <x v="146"/>
    <n v="3.9"/>
    <s v="Credit Card"/>
  </r>
  <r>
    <n v="4017"/>
    <x v="46"/>
    <n v="78"/>
    <x v="147"/>
    <n v="1.8"/>
    <s v="Credit Card"/>
  </r>
  <r>
    <n v="4069"/>
    <x v="47"/>
    <n v="114.217391304347"/>
    <x v="148"/>
    <n v="4.8"/>
    <s v="Cash"/>
  </r>
  <r>
    <n v="4120"/>
    <x v="31"/>
    <n v="107"/>
    <x v="149"/>
    <n v="4"/>
    <s v="Cash"/>
  </r>
  <r>
    <n v="3999"/>
    <x v="0"/>
    <n v="130"/>
    <x v="48"/>
    <n v="3.0636363636363599"/>
    <s v="Cash"/>
  </r>
  <r>
    <n v="4010"/>
    <x v="45"/>
    <n v="127"/>
    <x v="102"/>
    <n v="3.1235294117647001"/>
    <s v="Credit Card"/>
  </r>
  <r>
    <n v="4104"/>
    <x v="23"/>
    <n v="68"/>
    <x v="150"/>
    <n v="1.8"/>
    <s v="Cash"/>
  </r>
  <r>
    <n v="4045"/>
    <x v="42"/>
    <n v="178"/>
    <x v="89"/>
    <n v="2.7"/>
    <s v="Credit Card"/>
  </r>
  <r>
    <n v="3970"/>
    <x v="45"/>
    <n v="106.297872340425"/>
    <x v="151"/>
    <n v="2.5"/>
    <s v="Cash"/>
  </r>
  <r>
    <n v="4121"/>
    <x v="32"/>
    <n v="27"/>
    <x v="152"/>
    <n v="3.6"/>
    <s v="Credit Card"/>
  </r>
  <r>
    <n v="4024"/>
    <x v="31"/>
    <n v="81"/>
    <x v="131"/>
    <n v="3.6"/>
    <s v="Credit Card"/>
  </r>
  <r>
    <n v="3986"/>
    <x v="12"/>
    <n v="140"/>
    <x v="153"/>
    <n v="2.2000000000000002"/>
    <s v="Cash"/>
  </r>
  <r>
    <n v="3970"/>
    <x v="29"/>
    <n v="147"/>
    <x v="154"/>
    <n v="2.2000000000000002"/>
    <s v="Credit Card"/>
  </r>
  <r>
    <n v="3999"/>
    <x v="35"/>
    <n v="17"/>
    <x v="155"/>
    <n v="4.2"/>
    <s v="Credit Card"/>
  </r>
  <r>
    <n v="4075"/>
    <x v="38"/>
    <n v="106.80769230769199"/>
    <x v="108"/>
    <n v="2.4"/>
    <s v="Cash"/>
  </r>
  <r>
    <n v="4059"/>
    <x v="35"/>
    <n v="55"/>
    <x v="70"/>
    <n v="1.4"/>
    <s v="Cash"/>
  </r>
  <r>
    <n v="4078"/>
    <x v="44"/>
    <n v="77"/>
    <x v="156"/>
    <n v="4.5"/>
    <s v="Cash"/>
  </r>
  <r>
    <n v="4034"/>
    <x v="22"/>
    <n v="95.292307692307702"/>
    <x v="157"/>
    <n v="2.1"/>
    <s v="Cash"/>
  </r>
  <r>
    <n v="4078"/>
    <x v="37"/>
    <n v="98"/>
    <x v="30"/>
    <n v="2.2999999999999998"/>
    <s v="Credit Card"/>
  </r>
  <r>
    <n v="4093"/>
    <x v="34"/>
    <n v="90"/>
    <x v="85"/>
    <n v="1.5"/>
    <s v="Cash"/>
  </r>
  <r>
    <n v="4016"/>
    <x v="18"/>
    <n v="140"/>
    <x v="38"/>
    <n v="2.2999999999999998"/>
    <s v="Cash"/>
  </r>
  <r>
    <n v="4054"/>
    <x v="20"/>
    <n v="107.949152542372"/>
    <x v="158"/>
    <n v="3.8"/>
    <s v="Cash"/>
  </r>
  <r>
    <n v="4056"/>
    <x v="23"/>
    <n v="58"/>
    <x v="159"/>
    <n v="4.0999999999999996"/>
    <s v="Cash"/>
  </r>
  <r>
    <n v="4078"/>
    <x v="32"/>
    <n v="191"/>
    <x v="160"/>
    <n v="4.2"/>
    <s v="Credit Card"/>
  </r>
  <r>
    <n v="4024"/>
    <x v="37"/>
    <n v="143"/>
    <x v="161"/>
    <n v="2.6"/>
    <s v="Credit Card"/>
  </r>
  <r>
    <n v="3994"/>
    <x v="3"/>
    <n v="147"/>
    <x v="162"/>
    <n v="2.2000000000000002"/>
    <s v="Cash"/>
  </r>
  <r>
    <n v="4092"/>
    <x v="13"/>
    <n v="199"/>
    <x v="163"/>
    <n v="4.5999999999999996"/>
    <s v="Cash"/>
  </r>
  <r>
    <n v="4068"/>
    <x v="11"/>
    <n v="60"/>
    <x v="164"/>
    <n v="1.2"/>
    <s v="Cash"/>
  </r>
  <r>
    <n v="3960"/>
    <x v="3"/>
    <n v="27"/>
    <x v="88"/>
    <n v="2"/>
    <s v="Credit Card"/>
  </r>
  <r>
    <n v="4030"/>
    <x v="31"/>
    <n v="94"/>
    <x v="165"/>
    <n v="2.6"/>
    <s v="Credit Card"/>
  </r>
  <r>
    <n v="4071"/>
    <x v="49"/>
    <n v="179"/>
    <x v="148"/>
    <n v="2.6"/>
    <s v="Credit Card"/>
  </r>
  <r>
    <n v="4054"/>
    <x v="25"/>
    <n v="194"/>
    <x v="166"/>
    <n v="2.1"/>
    <s v="Credit Card"/>
  </r>
  <r>
    <n v="4037"/>
    <x v="39"/>
    <n v="139"/>
    <x v="121"/>
    <n v="2.4"/>
    <s v="Cash"/>
  </r>
  <r>
    <n v="4092"/>
    <x v="47"/>
    <n v="114"/>
    <x v="9"/>
    <n v="2.2000000000000002"/>
    <s v="Credit Card"/>
  </r>
  <r>
    <n v="3967"/>
    <x v="48"/>
    <n v="188"/>
    <x v="139"/>
    <n v="3.3"/>
    <s v="Cash"/>
  </r>
  <r>
    <n v="3981"/>
    <x v="30"/>
    <n v="42"/>
    <x v="167"/>
    <n v="1.8"/>
    <s v="Credit Card"/>
  </r>
  <r>
    <n v="4093"/>
    <x v="9"/>
    <n v="109.08474576271099"/>
    <x v="168"/>
    <n v="4.8"/>
    <s v="Cash"/>
  </r>
  <r>
    <n v="4120"/>
    <x v="6"/>
    <n v="107"/>
    <x v="169"/>
    <n v="2.2999999999999998"/>
    <s v="Cash"/>
  </r>
  <r>
    <n v="4047"/>
    <x v="17"/>
    <n v="54"/>
    <x v="50"/>
    <n v="1.1000000000000001"/>
    <s v="Credit Card"/>
  </r>
  <r>
    <n v="4067"/>
    <x v="6"/>
    <n v="87"/>
    <x v="11"/>
    <n v="4.2"/>
    <s v="Credit Card"/>
  </r>
  <r>
    <n v="4113"/>
    <x v="42"/>
    <n v="10"/>
    <x v="170"/>
    <n v="2.92063492063492"/>
    <s v="Credit Card"/>
  </r>
  <r>
    <n v="4026"/>
    <x v="22"/>
    <n v="63"/>
    <x v="22"/>
    <n v="4.5999999999999996"/>
    <s v="Cash"/>
  </r>
  <r>
    <n v="4042"/>
    <x v="37"/>
    <n v="158"/>
    <x v="171"/>
    <n v="3.2"/>
    <s v="Cash"/>
  </r>
  <r>
    <n v="4026"/>
    <x v="26"/>
    <n v="92"/>
    <x v="172"/>
    <n v="3.1"/>
    <s v="Credit Card"/>
  </r>
  <r>
    <n v="4025"/>
    <x v="38"/>
    <n v="123"/>
    <x v="173"/>
    <n v="1.8"/>
    <s v="Cash"/>
  </r>
  <r>
    <n v="3982"/>
    <x v="28"/>
    <n v="140"/>
    <x v="61"/>
    <n v="3.1"/>
    <s v="Credit Card"/>
  </r>
  <r>
    <n v="4022"/>
    <x v="26"/>
    <n v="198"/>
    <x v="174"/>
    <n v="1.9"/>
    <s v="Cash"/>
  </r>
  <r>
    <n v="4106"/>
    <x v="49"/>
    <n v="105.1"/>
    <x v="175"/>
    <n v="4.5999999999999996"/>
    <s v="Cash"/>
  </r>
  <r>
    <n v="4057"/>
    <x v="27"/>
    <n v="108.734693877551"/>
    <x v="46"/>
    <n v="1.9"/>
    <s v="Cash"/>
  </r>
  <r>
    <n v="4075"/>
    <x v="47"/>
    <n v="172"/>
    <x v="60"/>
    <n v="4.8"/>
    <s v="Credit Card"/>
  </r>
  <r>
    <n v="4018"/>
    <x v="22"/>
    <n v="33"/>
    <x v="151"/>
    <n v="3.1712328767123199"/>
    <s v="Credit Card"/>
  </r>
  <r>
    <n v="4107"/>
    <x v="13"/>
    <n v="70"/>
    <x v="176"/>
    <n v="3.04897959183673"/>
    <s v="Cash"/>
  </r>
  <r>
    <n v="4006"/>
    <x v="12"/>
    <n v="67"/>
    <x v="177"/>
    <n v="1.4"/>
    <s v="Cash"/>
  </r>
  <r>
    <n v="4090"/>
    <x v="13"/>
    <n v="47"/>
    <x v="178"/>
    <n v="2.9"/>
    <s v="Cash"/>
  </r>
  <r>
    <n v="4043"/>
    <x v="0"/>
    <n v="112.145454545454"/>
    <x v="70"/>
    <n v="2.2000000000000002"/>
    <s v="Cash"/>
  </r>
  <r>
    <n v="4003"/>
    <x v="14"/>
    <n v="131"/>
    <x v="164"/>
    <n v="4.0999999999999996"/>
    <s v="Credit Card"/>
  </r>
  <r>
    <n v="4037"/>
    <x v="3"/>
    <n v="28"/>
    <x v="158"/>
    <n v="2.1"/>
    <s v="Cash"/>
  </r>
  <r>
    <n v="4097"/>
    <x v="35"/>
    <n v="171"/>
    <x v="179"/>
    <n v="4.0999999999999996"/>
    <s v="Cash"/>
  </r>
  <r>
    <n v="3959"/>
    <x v="38"/>
    <n v="193"/>
    <x v="180"/>
    <n v="1.5"/>
    <s v="Credit Card"/>
  </r>
  <r>
    <n v="3959"/>
    <x v="24"/>
    <n v="136"/>
    <x v="181"/>
    <n v="2.1"/>
    <s v="Credit Card"/>
  </r>
  <r>
    <n v="3974"/>
    <x v="41"/>
    <n v="47"/>
    <x v="182"/>
    <n v="3.07213114754098"/>
    <s v="Credit Card"/>
  </r>
  <r>
    <n v="3960"/>
    <x v="24"/>
    <n v="11"/>
    <x v="183"/>
    <n v="2.88305084745762"/>
    <s v="Credit Card"/>
  </r>
  <r>
    <n v="4062"/>
    <x v="45"/>
    <n v="37"/>
    <x v="102"/>
    <n v="4"/>
    <s v="Cash"/>
  </r>
  <r>
    <n v="3982"/>
    <x v="8"/>
    <n v="66"/>
    <x v="184"/>
    <n v="1.1000000000000001"/>
    <s v="Cash"/>
  </r>
  <r>
    <n v="4091"/>
    <x v="29"/>
    <n v="88.827586206896498"/>
    <x v="185"/>
    <n v="3.4"/>
    <s v="Credit Card"/>
  </r>
  <r>
    <n v="3983"/>
    <x v="28"/>
    <n v="142"/>
    <x v="186"/>
    <n v="3.9"/>
    <s v="Credit Card"/>
  </r>
  <r>
    <n v="4071"/>
    <x v="24"/>
    <n v="152"/>
    <x v="119"/>
    <n v="1.8"/>
    <s v="Credit Card"/>
  </r>
  <r>
    <n v="4046"/>
    <x v="34"/>
    <n v="41"/>
    <x v="41"/>
    <n v="2.2000000000000002"/>
    <s v="Credit Card"/>
  </r>
  <r>
    <n v="4013"/>
    <x v="46"/>
    <n v="128"/>
    <x v="187"/>
    <n v="3"/>
    <s v="Cash"/>
  </r>
  <r>
    <n v="4029"/>
    <x v="5"/>
    <n v="153"/>
    <x v="188"/>
    <n v="2.8953488372092999"/>
    <s v="Credit Card"/>
  </r>
  <r>
    <n v="4021"/>
    <x v="39"/>
    <n v="123"/>
    <x v="189"/>
    <n v="1.8"/>
    <s v="Cash"/>
  </r>
  <r>
    <n v="4006"/>
    <x v="17"/>
    <n v="194"/>
    <x v="125"/>
    <n v="3.6"/>
    <s v="Cash"/>
  </r>
  <r>
    <n v="3965"/>
    <x v="24"/>
    <n v="119"/>
    <x v="51"/>
    <n v="2.2000000000000002"/>
    <s v="Cash"/>
  </r>
  <r>
    <n v="3963"/>
    <x v="29"/>
    <n v="150"/>
    <x v="190"/>
    <n v="2.6590163934426201"/>
    <s v="Credit Card"/>
  </r>
  <r>
    <n v="4115"/>
    <x v="19"/>
    <n v="50"/>
    <x v="191"/>
    <n v="3.2"/>
    <s v="Cash"/>
  </r>
  <r>
    <n v="3980"/>
    <x v="6"/>
    <n v="131"/>
    <x v="192"/>
    <n v="4.5999999999999996"/>
    <s v="Credit Card"/>
  </r>
  <r>
    <n v="3971"/>
    <x v="24"/>
    <n v="73"/>
    <x v="41"/>
    <n v="2"/>
    <s v="Credit Card"/>
  </r>
  <r>
    <n v="4109"/>
    <x v="11"/>
    <n v="80"/>
    <x v="151"/>
    <n v="2.45818181818181"/>
    <s v="Credit Card"/>
  </r>
  <r>
    <n v="4012"/>
    <x v="29"/>
    <n v="143"/>
    <x v="165"/>
    <n v="2.6"/>
    <s v="Cash"/>
  </r>
  <r>
    <n v="4110"/>
    <x v="44"/>
    <n v="71"/>
    <x v="35"/>
    <n v="3.2"/>
    <s v="Cash"/>
  </r>
  <r>
    <n v="4120"/>
    <x v="13"/>
    <n v="29"/>
    <x v="193"/>
    <n v="1.9"/>
    <s v="Credit Card"/>
  </r>
  <r>
    <n v="3988"/>
    <x v="5"/>
    <n v="70"/>
    <x v="9"/>
    <n v="2.6"/>
    <s v="Credit Card"/>
  </r>
  <r>
    <n v="3987"/>
    <x v="25"/>
    <n v="91"/>
    <x v="142"/>
    <n v="2.5"/>
    <s v="Cash"/>
  </r>
  <r>
    <n v="3979"/>
    <x v="43"/>
    <n v="30"/>
    <x v="194"/>
    <n v="3.6"/>
    <s v="Cash"/>
  </r>
  <r>
    <n v="4111"/>
    <x v="49"/>
    <n v="105.1"/>
    <x v="143"/>
    <n v="4.2"/>
    <s v="Credit Card"/>
  </r>
  <r>
    <n v="3990"/>
    <x v="25"/>
    <n v="187"/>
    <x v="195"/>
    <n v="1.4"/>
    <s v="Credit Card"/>
  </r>
  <r>
    <n v="4053"/>
    <x v="38"/>
    <n v="106.80769230769199"/>
    <x v="160"/>
    <n v="4.5"/>
    <s v="Credit Card"/>
  </r>
  <r>
    <n v="4122"/>
    <x v="31"/>
    <n v="116"/>
    <x v="35"/>
    <n v="2"/>
    <s v="Cash"/>
  </r>
  <r>
    <n v="4101"/>
    <x v="14"/>
    <n v="148"/>
    <x v="196"/>
    <n v="3.5"/>
    <s v="Credit Card"/>
  </r>
  <r>
    <n v="4004"/>
    <x v="31"/>
    <n v="25"/>
    <x v="197"/>
    <n v="3.9"/>
    <s v="Credit Card"/>
  </r>
  <r>
    <n v="3985"/>
    <x v="23"/>
    <n v="117"/>
    <x v="76"/>
    <n v="1.9"/>
    <s v="Cash"/>
  </r>
  <r>
    <n v="4004"/>
    <x v="46"/>
    <n v="159"/>
    <x v="198"/>
    <n v="2"/>
    <s v="Cash"/>
  </r>
  <r>
    <n v="4021"/>
    <x v="9"/>
    <n v="15"/>
    <x v="76"/>
    <n v="2.4"/>
    <s v="Credit Card"/>
  </r>
  <r>
    <n v="4032"/>
    <x v="27"/>
    <n v="157"/>
    <x v="199"/>
    <n v="2.2999999999999998"/>
    <s v="Credit Card"/>
  </r>
  <r>
    <n v="4076"/>
    <x v="7"/>
    <n v="11"/>
    <x v="200"/>
    <n v="2.6"/>
    <s v="Credit Card"/>
  </r>
  <r>
    <n v="3976"/>
    <x v="15"/>
    <n v="86"/>
    <x v="201"/>
    <n v="3.2240000000000002"/>
    <s v="Cash"/>
  </r>
  <r>
    <n v="4120"/>
    <x v="32"/>
    <n v="117"/>
    <x v="202"/>
    <n v="4"/>
    <s v="Credit Card"/>
  </r>
  <r>
    <n v="4073"/>
    <x v="2"/>
    <n v="198"/>
    <x v="142"/>
    <n v="3.2"/>
    <s v="Cash"/>
  </r>
  <r>
    <n v="4027"/>
    <x v="40"/>
    <n v="164"/>
    <x v="203"/>
    <n v="3.6"/>
    <s v="Cash"/>
  </r>
  <r>
    <n v="4066"/>
    <x v="28"/>
    <n v="134"/>
    <x v="38"/>
    <n v="3.8"/>
    <s v="Credit Card"/>
  </r>
  <r>
    <n v="4039"/>
    <x v="21"/>
    <n v="121"/>
    <x v="191"/>
    <n v="4.4000000000000004"/>
    <s v="Cash"/>
  </r>
  <r>
    <n v="4022"/>
    <x v="11"/>
    <n v="109"/>
    <x v="204"/>
    <n v="1.3"/>
    <s v="Credit Card"/>
  </r>
  <r>
    <n v="3998"/>
    <x v="49"/>
    <n v="183"/>
    <x v="119"/>
    <n v="3.8"/>
    <s v="Credit Card"/>
  </r>
  <r>
    <n v="3975"/>
    <x v="26"/>
    <n v="195"/>
    <x v="205"/>
    <n v="4"/>
    <s v="Cash"/>
  </r>
  <r>
    <n v="4027"/>
    <x v="19"/>
    <n v="120.22"/>
    <x v="206"/>
    <n v="4"/>
    <s v="Credit Card"/>
  </r>
  <r>
    <n v="3972"/>
    <x v="9"/>
    <n v="42"/>
    <x v="207"/>
    <n v="2.8"/>
    <s v="Credit Card"/>
  </r>
  <r>
    <n v="4054"/>
    <x v="11"/>
    <n v="146"/>
    <x v="192"/>
    <n v="1.2"/>
    <s v="Credit Card"/>
  </r>
  <r>
    <n v="4056"/>
    <x v="26"/>
    <n v="111.854838709677"/>
    <x v="208"/>
    <n v="1.7"/>
    <s v="Cash"/>
  </r>
  <r>
    <n v="4042"/>
    <x v="20"/>
    <n v="154"/>
    <x v="16"/>
    <n v="2.9"/>
    <s v="Credit Card"/>
  </r>
  <r>
    <n v="3972"/>
    <x v="32"/>
    <n v="31"/>
    <x v="209"/>
    <n v="3.2"/>
    <s v="Credit Card"/>
  </r>
  <r>
    <n v="4023"/>
    <x v="1"/>
    <n v="44"/>
    <x v="210"/>
    <n v="2.2000000000000002"/>
    <s v="Cash"/>
  </r>
  <r>
    <n v="4024"/>
    <x v="49"/>
    <n v="56"/>
    <x v="41"/>
    <n v="2.2000000000000002"/>
    <s v="Credit Card"/>
  </r>
  <r>
    <n v="4002"/>
    <x v="17"/>
    <n v="117.172413793103"/>
    <x v="57"/>
    <n v="3.7"/>
    <s v="Credit Card"/>
  </r>
  <r>
    <n v="4069"/>
    <x v="12"/>
    <n v="64"/>
    <x v="130"/>
    <n v="3.5"/>
    <s v="Cash"/>
  </r>
  <r>
    <n v="3974"/>
    <x v="26"/>
    <n v="96"/>
    <x v="77"/>
    <n v="3.6"/>
    <s v="Credit Card"/>
  </r>
  <r>
    <n v="4082"/>
    <x v="23"/>
    <n v="107"/>
    <x v="79"/>
    <n v="3.1"/>
    <s v="Cash"/>
  </r>
  <r>
    <n v="4008"/>
    <x v="4"/>
    <n v="117"/>
    <x v="103"/>
    <n v="3.5"/>
    <s v="Credit Card"/>
  </r>
  <r>
    <n v="4113"/>
    <x v="12"/>
    <n v="30"/>
    <x v="211"/>
    <n v="3.1"/>
    <s v="Credit Card"/>
  </r>
  <r>
    <n v="4057"/>
    <x v="11"/>
    <n v="148"/>
    <x v="212"/>
    <n v="2.9"/>
    <s v="Cash"/>
  </r>
  <r>
    <n v="4002"/>
    <x v="9"/>
    <n v="109.08474576271099"/>
    <x v="213"/>
    <n v="4.7"/>
    <s v="Credit Card"/>
  </r>
  <r>
    <n v="4122"/>
    <x v="28"/>
    <n v="67"/>
    <x v="214"/>
    <n v="4.4000000000000004"/>
    <s v="Cash"/>
  </r>
  <r>
    <n v="4082"/>
    <x v="40"/>
    <n v="176"/>
    <x v="215"/>
    <n v="3.1"/>
    <s v="Credit Card"/>
  </r>
  <r>
    <n v="3984"/>
    <x v="11"/>
    <n v="112.64705882352899"/>
    <x v="216"/>
    <n v="1"/>
    <s v="Credit Card"/>
  </r>
  <r>
    <n v="3993"/>
    <x v="7"/>
    <n v="103.564102564102"/>
    <x v="217"/>
    <n v="1.6"/>
    <s v="Credit Card"/>
  </r>
  <r>
    <n v="4095"/>
    <x v="4"/>
    <n v="15"/>
    <x v="150"/>
    <n v="2.8333333333333299"/>
    <s v="Credit Card"/>
  </r>
  <r>
    <n v="4067"/>
    <x v="35"/>
    <n v="71"/>
    <x v="132"/>
    <n v="2.2000000000000002"/>
    <s v="Credit Card"/>
  </r>
  <r>
    <n v="4012"/>
    <x v="7"/>
    <n v="103.564102564102"/>
    <x v="218"/>
    <n v="3.8"/>
    <s v="Cash"/>
  </r>
  <r>
    <n v="4114"/>
    <x v="41"/>
    <n v="154"/>
    <x v="219"/>
    <n v="2.2999999999999998"/>
    <s v="Credit Card"/>
  </r>
  <r>
    <n v="4121"/>
    <x v="21"/>
    <n v="129"/>
    <x v="65"/>
    <n v="3.1303030303030299"/>
    <s v="Cash"/>
  </r>
  <r>
    <n v="3984"/>
    <x v="7"/>
    <n v="104"/>
    <x v="220"/>
    <n v="1.6"/>
    <s v="Cash"/>
  </r>
  <r>
    <n v="4070"/>
    <x v="10"/>
    <n v="103.354166666666"/>
    <x v="135"/>
    <n v="3.2"/>
    <s v="Credit Card"/>
  </r>
  <r>
    <n v="4023"/>
    <x v="2"/>
    <n v="193"/>
    <x v="221"/>
    <n v="3.5"/>
    <s v="Credit Card"/>
  </r>
  <r>
    <n v="3983"/>
    <x v="41"/>
    <n v="117.354166666666"/>
    <x v="222"/>
    <n v="2.1"/>
    <s v="Cash"/>
  </r>
  <r>
    <n v="3965"/>
    <x v="20"/>
    <n v="89"/>
    <x v="223"/>
    <n v="4.5"/>
    <s v="Cash"/>
  </r>
  <r>
    <n v="3975"/>
    <x v="42"/>
    <n v="106.72413793103399"/>
    <x v="122"/>
    <n v="2.2000000000000002"/>
    <s v="Credit Card"/>
  </r>
  <r>
    <n v="3975"/>
    <x v="23"/>
    <n v="112.745762711864"/>
    <x v="152"/>
    <n v="2.6"/>
    <s v="Cash"/>
  </r>
  <r>
    <n v="4103"/>
    <x v="43"/>
    <n v="183"/>
    <x v="224"/>
    <n v="3.2"/>
    <s v="Cash"/>
  </r>
  <r>
    <n v="4021"/>
    <x v="19"/>
    <n v="106"/>
    <x v="211"/>
    <n v="1.3"/>
    <s v="Cash"/>
  </r>
  <r>
    <n v="4071"/>
    <x v="48"/>
    <n v="193"/>
    <x v="225"/>
    <n v="3.9"/>
    <s v="Credit Card"/>
  </r>
  <r>
    <n v="3961"/>
    <x v="7"/>
    <n v="103.564102564102"/>
    <x v="80"/>
    <n v="2.1"/>
    <s v="Credit Card"/>
  </r>
  <r>
    <n v="4084"/>
    <x v="49"/>
    <n v="170"/>
    <x v="167"/>
    <n v="4.2"/>
    <s v="Cash"/>
  </r>
  <r>
    <n v="3995"/>
    <x v="26"/>
    <n v="188"/>
    <x v="226"/>
    <n v="4.0999999999999996"/>
    <s v="Cash"/>
  </r>
  <r>
    <n v="4120"/>
    <x v="36"/>
    <n v="185"/>
    <x v="33"/>
    <n v="4.0999999999999996"/>
    <s v="Credit Card"/>
  </r>
  <r>
    <n v="3957"/>
    <x v="22"/>
    <n v="40"/>
    <x v="227"/>
    <n v="2.1"/>
    <s v="Cash"/>
  </r>
  <r>
    <n v="3966"/>
    <x v="42"/>
    <n v="154"/>
    <x v="103"/>
    <n v="4.5"/>
    <s v="Cash"/>
  </r>
  <r>
    <n v="4056"/>
    <x v="3"/>
    <n v="98"/>
    <x v="166"/>
    <n v="2.9"/>
    <s v="Credit Card"/>
  </r>
  <r>
    <n v="4025"/>
    <x v="8"/>
    <n v="179"/>
    <x v="228"/>
    <n v="4.0999999999999996"/>
    <s v="Cash"/>
  </r>
  <r>
    <n v="3995"/>
    <x v="15"/>
    <n v="139"/>
    <x v="158"/>
    <n v="1.4"/>
    <s v="Cash"/>
  </r>
  <r>
    <n v="4041"/>
    <x v="4"/>
    <n v="13"/>
    <x v="224"/>
    <n v="1.6"/>
    <s v="Cash"/>
  </r>
  <r>
    <n v="4057"/>
    <x v="46"/>
    <n v="135"/>
    <x v="229"/>
    <n v="4.5"/>
    <s v="Credit Card"/>
  </r>
  <r>
    <n v="4104"/>
    <x v="12"/>
    <n v="102.377358490566"/>
    <x v="230"/>
    <n v="4.5999999999999996"/>
    <s v="Cash"/>
  </r>
  <r>
    <n v="3957"/>
    <x v="9"/>
    <n v="172"/>
    <x v="167"/>
    <n v="3.0693548387096699"/>
    <s v="Credit Card"/>
  </r>
  <r>
    <n v="4088"/>
    <x v="22"/>
    <n v="127"/>
    <x v="60"/>
    <n v="2.8"/>
    <s v="Credit Card"/>
  </r>
  <r>
    <n v="4082"/>
    <x v="11"/>
    <n v="121"/>
    <x v="21"/>
    <n v="2.2999999999999998"/>
    <s v="Cash"/>
  </r>
  <r>
    <n v="4079"/>
    <x v="2"/>
    <n v="100.68"/>
    <x v="5"/>
    <n v="1.5"/>
    <s v="Credit Card"/>
  </r>
  <r>
    <n v="4068"/>
    <x v="41"/>
    <n v="176"/>
    <x v="231"/>
    <n v="2.5"/>
    <s v="Cash"/>
  </r>
  <r>
    <n v="4060"/>
    <x v="5"/>
    <n v="147"/>
    <x v="215"/>
    <n v="2.9"/>
    <s v="Credit Card"/>
  </r>
  <r>
    <n v="3974"/>
    <x v="43"/>
    <n v="129"/>
    <x v="114"/>
    <n v="3.1"/>
    <s v="Credit Card"/>
  </r>
  <r>
    <n v="4095"/>
    <x v="21"/>
    <n v="197"/>
    <x v="54"/>
    <n v="4.5"/>
    <s v="Credit Card"/>
  </r>
  <r>
    <n v="4014"/>
    <x v="20"/>
    <n v="92"/>
    <x v="140"/>
    <n v="4.8"/>
    <s v="Credit Card"/>
  </r>
  <r>
    <n v="3957"/>
    <x v="40"/>
    <n v="32"/>
    <x v="30"/>
    <n v="4.3"/>
    <s v="Cash"/>
  </r>
  <r>
    <n v="4055"/>
    <x v="34"/>
    <n v="125"/>
    <x v="121"/>
    <n v="4.4000000000000004"/>
    <s v="Cash"/>
  </r>
  <r>
    <n v="4080"/>
    <x v="13"/>
    <n v="128"/>
    <x v="145"/>
    <n v="3"/>
    <s v="Credit Card"/>
  </r>
  <r>
    <n v="3988"/>
    <x v="20"/>
    <n v="181"/>
    <x v="53"/>
    <n v="3.7"/>
    <s v="Credit Card"/>
  </r>
  <r>
    <n v="4102"/>
    <x v="29"/>
    <n v="17"/>
    <x v="232"/>
    <n v="2.7"/>
    <s v="Cash"/>
  </r>
  <r>
    <n v="4094"/>
    <x v="26"/>
    <n v="93"/>
    <x v="233"/>
    <n v="1.1000000000000001"/>
    <s v="Cash"/>
  </r>
  <r>
    <n v="4048"/>
    <x v="25"/>
    <n v="103.98245614035"/>
    <x v="151"/>
    <n v="2.9"/>
    <s v="Credit Card"/>
  </r>
  <r>
    <n v="4042"/>
    <x v="10"/>
    <n v="76"/>
    <x v="182"/>
    <n v="3.9"/>
    <s v="Credit Card"/>
  </r>
  <r>
    <n v="4034"/>
    <x v="15"/>
    <n v="162"/>
    <x v="44"/>
    <n v="3.2"/>
    <s v="Credit Card"/>
  </r>
  <r>
    <n v="4059"/>
    <x v="25"/>
    <n v="80"/>
    <x v="234"/>
    <n v="4.8"/>
    <s v="Cash"/>
  </r>
  <r>
    <n v="3971"/>
    <x v="41"/>
    <n v="142"/>
    <x v="205"/>
    <n v="1.7"/>
    <s v="Cash"/>
  </r>
  <r>
    <n v="4118"/>
    <x v="1"/>
    <n v="31"/>
    <x v="235"/>
    <n v="1"/>
    <s v="Credit Card"/>
  </r>
  <r>
    <n v="4122"/>
    <x v="6"/>
    <n v="114"/>
    <x v="156"/>
    <n v="3.1"/>
    <s v="Cash"/>
  </r>
  <r>
    <n v="3980"/>
    <x v="10"/>
    <n v="71"/>
    <x v="199"/>
    <n v="2.7471698113207501"/>
    <s v="Cash"/>
  </r>
  <r>
    <n v="4050"/>
    <x v="21"/>
    <n v="175"/>
    <x v="42"/>
    <n v="1.4"/>
    <s v="Cash"/>
  </r>
  <r>
    <n v="4093"/>
    <x v="5"/>
    <n v="124"/>
    <x v="142"/>
    <n v="2"/>
    <s v="Credit Card"/>
  </r>
  <r>
    <n v="4044"/>
    <x v="16"/>
    <n v="33"/>
    <x v="208"/>
    <n v="3.4"/>
    <s v="Cash"/>
  </r>
  <r>
    <n v="3977"/>
    <x v="4"/>
    <n v="113"/>
    <x v="110"/>
    <n v="2.8333333333333299"/>
    <s v="Credit Card"/>
  </r>
  <r>
    <n v="4074"/>
    <x v="28"/>
    <n v="88"/>
    <x v="236"/>
    <n v="2.9"/>
    <s v="Cash"/>
  </r>
  <r>
    <n v="4031"/>
    <x v="42"/>
    <n v="104"/>
    <x v="65"/>
    <n v="2.92063492063492"/>
    <s v="Credit Card"/>
  </r>
  <r>
    <n v="4122"/>
    <x v="6"/>
    <n v="145"/>
    <x v="42"/>
    <n v="2"/>
    <s v="Cash"/>
  </r>
  <r>
    <n v="4008"/>
    <x v="43"/>
    <n v="200"/>
    <x v="95"/>
    <n v="4.9000000000000004"/>
    <s v="Cash"/>
  </r>
  <r>
    <n v="4002"/>
    <x v="31"/>
    <n v="100"/>
    <x v="217"/>
    <n v="4.5"/>
    <s v="Cash"/>
  </r>
  <r>
    <n v="4098"/>
    <x v="48"/>
    <n v="79"/>
    <x v="237"/>
    <n v="5"/>
    <s v="Credit Card"/>
  </r>
  <r>
    <n v="3967"/>
    <x v="35"/>
    <n v="69"/>
    <x v="2"/>
    <n v="3"/>
    <s v="Cash"/>
  </r>
  <r>
    <n v="4055"/>
    <x v="40"/>
    <n v="114.396551724137"/>
    <x v="68"/>
    <n v="4.5"/>
    <s v="Cash"/>
  </r>
  <r>
    <n v="4005"/>
    <x v="20"/>
    <n v="107.949152542372"/>
    <x v="174"/>
    <n v="4.2"/>
    <s v="Credit Card"/>
  </r>
  <r>
    <n v="4033"/>
    <x v="22"/>
    <n v="95.292307692307602"/>
    <x v="238"/>
    <n v="3.1712328767123199"/>
    <s v="Credit Card"/>
  </r>
  <r>
    <n v="4056"/>
    <x v="49"/>
    <n v="186"/>
    <x v="152"/>
    <n v="3.19629629629629"/>
    <s v="Cash"/>
  </r>
  <r>
    <n v="3984"/>
    <x v="3"/>
    <n v="98.967741935483801"/>
    <x v="16"/>
    <n v="1.6"/>
    <s v="Cash"/>
  </r>
  <r>
    <n v="4118"/>
    <x v="23"/>
    <n v="133"/>
    <x v="214"/>
    <n v="4.5"/>
    <s v="Credit Card"/>
  </r>
  <r>
    <n v="4048"/>
    <x v="14"/>
    <n v="160"/>
    <x v="117"/>
    <n v="2.7"/>
    <s v="Cash"/>
  </r>
  <r>
    <n v="4081"/>
    <x v="4"/>
    <n v="144"/>
    <x v="130"/>
    <n v="1.2"/>
    <s v="Credit Card"/>
  </r>
  <r>
    <n v="3978"/>
    <x v="29"/>
    <n v="35"/>
    <x v="146"/>
    <n v="1.2"/>
    <s v="Cash"/>
  </r>
  <r>
    <n v="4118"/>
    <x v="45"/>
    <n v="85"/>
    <x v="239"/>
    <n v="3.1235294117647001"/>
    <s v="Credit Card"/>
  </r>
  <r>
    <n v="4069"/>
    <x v="30"/>
    <n v="55"/>
    <x v="199"/>
    <n v="4.9000000000000004"/>
    <s v="Cash"/>
  </r>
  <r>
    <n v="4005"/>
    <x v="12"/>
    <n v="191"/>
    <x v="240"/>
    <n v="3.5"/>
    <s v="Cash"/>
  </r>
  <r>
    <n v="3992"/>
    <x v="39"/>
    <n v="80"/>
    <x v="241"/>
    <n v="2.70806451612903"/>
    <s v="Cash"/>
  </r>
  <r>
    <n v="3966"/>
    <x v="45"/>
    <n v="106.297872340425"/>
    <x v="242"/>
    <n v="4.4000000000000004"/>
    <s v="Credit Card"/>
  </r>
  <r>
    <n v="4006"/>
    <x v="34"/>
    <n v="90.925925925925895"/>
    <x v="64"/>
    <n v="3.8"/>
    <s v="Credit Card"/>
  </r>
  <r>
    <n v="3963"/>
    <x v="1"/>
    <n v="42"/>
    <x v="235"/>
    <n v="3.3"/>
    <s v="Cash"/>
  </r>
  <r>
    <n v="4108"/>
    <x v="8"/>
    <n v="135"/>
    <x v="199"/>
    <n v="3.1"/>
    <s v="Cash"/>
  </r>
  <r>
    <n v="4018"/>
    <x v="28"/>
    <n v="99.866666666666603"/>
    <x v="243"/>
    <n v="2.6"/>
    <s v="Credit Card"/>
  </r>
  <r>
    <n v="4082"/>
    <x v="31"/>
    <n v="113.54098360655701"/>
    <x v="244"/>
    <n v="3.7"/>
    <s v="Cash"/>
  </r>
  <r>
    <n v="4056"/>
    <x v="37"/>
    <n v="132"/>
    <x v="80"/>
    <n v="3.0546875"/>
    <s v="Cash"/>
  </r>
  <r>
    <n v="3973"/>
    <x v="21"/>
    <n v="57"/>
    <x v="150"/>
    <n v="3"/>
    <s v="Cash"/>
  </r>
  <r>
    <n v="4095"/>
    <x v="33"/>
    <n v="74"/>
    <x v="245"/>
    <n v="1.3"/>
    <s v="Credit Card"/>
  </r>
  <r>
    <n v="4121"/>
    <x v="36"/>
    <n v="132"/>
    <x v="241"/>
    <n v="2.1"/>
    <s v="Cash"/>
  </r>
  <r>
    <n v="4035"/>
    <x v="38"/>
    <n v="106.80769230769199"/>
    <x v="84"/>
    <n v="3"/>
    <s v="Cash"/>
  </r>
  <r>
    <n v="4084"/>
    <x v="5"/>
    <n v="99.697674418604606"/>
    <x v="70"/>
    <n v="4"/>
    <s v="Cash"/>
  </r>
  <r>
    <n v="4093"/>
    <x v="46"/>
    <n v="157"/>
    <x v="222"/>
    <n v="1"/>
    <s v="Cash"/>
  </r>
  <r>
    <n v="4072"/>
    <x v="40"/>
    <n v="23"/>
    <x v="173"/>
    <n v="2.4"/>
    <s v="Cash"/>
  </r>
  <r>
    <n v="3961"/>
    <x v="20"/>
    <n v="107.949152542372"/>
    <x v="237"/>
    <n v="3.3"/>
    <s v="Credit Card"/>
  </r>
  <r>
    <n v="3966"/>
    <x v="18"/>
    <n v="87"/>
    <x v="110"/>
    <n v="3.3"/>
    <s v="Cash"/>
  </r>
  <r>
    <n v="4043"/>
    <x v="2"/>
    <n v="100.679999999999"/>
    <x v="246"/>
    <n v="1.5"/>
    <s v="Cash"/>
  </r>
  <r>
    <n v="3971"/>
    <x v="2"/>
    <n v="152"/>
    <x v="141"/>
    <n v="3.2285714285714202"/>
    <s v="Credit Card"/>
  </r>
  <r>
    <n v="4043"/>
    <x v="17"/>
    <n v="165"/>
    <x v="236"/>
    <n v="1.7"/>
    <s v="Credit Card"/>
  </r>
  <r>
    <n v="3967"/>
    <x v="38"/>
    <n v="168"/>
    <x v="45"/>
    <n v="4.9000000000000004"/>
    <s v="Credit Card"/>
  </r>
  <r>
    <n v="4060"/>
    <x v="11"/>
    <n v="143"/>
    <x v="246"/>
    <n v="4.2"/>
    <s v="Credit Card"/>
  </r>
  <r>
    <n v="3987"/>
    <x v="20"/>
    <n v="123"/>
    <x v="247"/>
    <n v="2.5"/>
    <s v="Credit Card"/>
  </r>
  <r>
    <n v="4011"/>
    <x v="22"/>
    <n v="160"/>
    <x v="136"/>
    <n v="3.1712328767123199"/>
    <s v="Cash"/>
  </r>
  <r>
    <n v="4090"/>
    <x v="31"/>
    <n v="88"/>
    <x v="248"/>
    <n v="2"/>
    <s v="Cash"/>
  </r>
  <r>
    <n v="4074"/>
    <x v="49"/>
    <n v="25"/>
    <x v="95"/>
    <n v="3.6"/>
    <s v="Credit Card"/>
  </r>
  <r>
    <n v="4094"/>
    <x v="35"/>
    <n v="199"/>
    <x v="249"/>
    <n v="1.8"/>
    <s v="Credit Card"/>
  </r>
  <r>
    <n v="3995"/>
    <x v="45"/>
    <n v="106.297872340425"/>
    <x v="6"/>
    <n v="1.5"/>
    <s v="Cash"/>
  </r>
  <r>
    <n v="4105"/>
    <x v="15"/>
    <n v="170"/>
    <x v="96"/>
    <n v="3.22399999999999"/>
    <s v="Cash"/>
  </r>
  <r>
    <n v="4016"/>
    <x v="38"/>
    <n v="179"/>
    <x v="41"/>
    <n v="1.7"/>
    <s v="Credit Card"/>
  </r>
  <r>
    <n v="3975"/>
    <x v="10"/>
    <n v="103.354166666666"/>
    <x v="249"/>
    <n v="2.2999999999999998"/>
    <s v="Credit Card"/>
  </r>
  <r>
    <n v="3966"/>
    <x v="23"/>
    <n v="151"/>
    <x v="213"/>
    <n v="1.8"/>
    <s v="Credit Card"/>
  </r>
  <r>
    <n v="3993"/>
    <x v="47"/>
    <n v="114.217391304347"/>
    <x v="250"/>
    <n v="1.7"/>
    <s v="Credit Card"/>
  </r>
  <r>
    <n v="4082"/>
    <x v="9"/>
    <n v="109.08474576271099"/>
    <x v="12"/>
    <n v="3.8"/>
    <s v="Credit Card"/>
  </r>
  <r>
    <n v="3961"/>
    <x v="16"/>
    <n v="162"/>
    <x v="77"/>
    <n v="3"/>
    <s v="Credit Card"/>
  </r>
  <r>
    <n v="4077"/>
    <x v="3"/>
    <n v="18"/>
    <x v="148"/>
    <n v="2.4"/>
    <s v="Cash"/>
  </r>
  <r>
    <n v="4115"/>
    <x v="44"/>
    <n v="190"/>
    <x v="251"/>
    <n v="2.8"/>
    <s v="Cash"/>
  </r>
  <r>
    <n v="3968"/>
    <x v="20"/>
    <n v="126"/>
    <x v="252"/>
    <n v="4.3"/>
    <s v="Credit Card"/>
  </r>
  <r>
    <n v="4019"/>
    <x v="40"/>
    <n v="114.396551724137"/>
    <x v="40"/>
    <n v="2.9761904761904701"/>
    <s v="Credit Card"/>
  </r>
  <r>
    <n v="3990"/>
    <x v="20"/>
    <n v="77"/>
    <x v="155"/>
    <n v="2.5"/>
    <s v="Credit Card"/>
  </r>
  <r>
    <n v="3960"/>
    <x v="46"/>
    <n v="170"/>
    <x v="91"/>
    <n v="1.8"/>
    <s v="Cash"/>
  </r>
  <r>
    <n v="4001"/>
    <x v="20"/>
    <n v="60"/>
    <x v="188"/>
    <n v="2.4"/>
    <s v="Cash"/>
  </r>
  <r>
    <n v="4118"/>
    <x v="8"/>
    <n v="149"/>
    <x v="43"/>
    <n v="4.2"/>
    <s v="Cash"/>
  </r>
  <r>
    <n v="3969"/>
    <x v="18"/>
    <n v="48"/>
    <x v="253"/>
    <n v="3.8"/>
    <s v="Cash"/>
  </r>
  <r>
    <n v="4035"/>
    <x v="25"/>
    <n v="46"/>
    <x v="45"/>
    <n v="4.3"/>
    <s v="Credit Card"/>
  </r>
  <r>
    <n v="3981"/>
    <x v="3"/>
    <n v="98.967741935483801"/>
    <x v="109"/>
    <n v="1.4"/>
    <s v="Credit Card"/>
  </r>
  <r>
    <n v="4073"/>
    <x v="28"/>
    <n v="99.866666666666603"/>
    <x v="195"/>
    <n v="2"/>
    <s v="Credit Card"/>
  </r>
  <r>
    <n v="4113"/>
    <x v="31"/>
    <n v="155"/>
    <x v="254"/>
    <n v="1.1000000000000001"/>
    <s v="Credit Card"/>
  </r>
  <r>
    <n v="4000"/>
    <x v="22"/>
    <n v="122"/>
    <x v="255"/>
    <n v="3.6"/>
    <s v="Cash"/>
  </r>
  <r>
    <n v="4108"/>
    <x v="7"/>
    <n v="103.564102564102"/>
    <x v="256"/>
    <n v="1.6"/>
    <s v="Cash"/>
  </r>
  <r>
    <n v="3973"/>
    <x v="16"/>
    <n v="189"/>
    <x v="257"/>
    <n v="2.5"/>
    <s v="Credit Card"/>
  </r>
  <r>
    <n v="3984"/>
    <x v="39"/>
    <n v="79"/>
    <x v="206"/>
    <n v="3.4"/>
    <s v="Cash"/>
  </r>
  <r>
    <n v="3986"/>
    <x v="47"/>
    <n v="136"/>
    <x v="66"/>
    <n v="3.2020408163265301"/>
    <s v="Cash"/>
  </r>
  <r>
    <n v="4084"/>
    <x v="4"/>
    <n v="163"/>
    <x v="258"/>
    <n v="3.5"/>
    <s v="Credit Card"/>
  </r>
  <r>
    <n v="4109"/>
    <x v="27"/>
    <n v="108.734693877551"/>
    <x v="259"/>
    <n v="1"/>
    <s v="Credit Card"/>
  </r>
  <r>
    <n v="4114"/>
    <x v="0"/>
    <n v="92"/>
    <x v="72"/>
    <n v="2.2999999999999998"/>
    <s v="Credit Card"/>
  </r>
  <r>
    <n v="4013"/>
    <x v="7"/>
    <n v="16"/>
    <x v="178"/>
    <n v="1.4"/>
    <s v="Credit Card"/>
  </r>
  <r>
    <n v="3973"/>
    <x v="23"/>
    <n v="112.745762711864"/>
    <x v="134"/>
    <n v="2.2000000000000002"/>
    <s v="Credit Card"/>
  </r>
  <r>
    <n v="4008"/>
    <x v="45"/>
    <n v="157"/>
    <x v="17"/>
    <n v="1.7"/>
    <s v="Credit Card"/>
  </r>
  <r>
    <n v="4066"/>
    <x v="6"/>
    <n v="15"/>
    <x v="7"/>
    <n v="2.9230769230769198"/>
    <s v="Cash"/>
  </r>
  <r>
    <n v="4043"/>
    <x v="6"/>
    <n v="182"/>
    <x v="260"/>
    <n v="2.8"/>
    <s v="Cash"/>
  </r>
  <r>
    <n v="4059"/>
    <x v="3"/>
    <n v="157"/>
    <x v="220"/>
    <n v="2.7"/>
    <s v="Cash"/>
  </r>
  <r>
    <n v="4040"/>
    <x v="23"/>
    <n v="112.745762711864"/>
    <x v="145"/>
    <n v="4.3"/>
    <s v="Credit Card"/>
  </r>
  <r>
    <n v="3987"/>
    <x v="0"/>
    <n v="130"/>
    <x v="187"/>
    <n v="2.5"/>
    <s v="Credit Card"/>
  </r>
  <r>
    <n v="4104"/>
    <x v="0"/>
    <n v="123"/>
    <x v="119"/>
    <n v="3.7"/>
    <s v="Credit Card"/>
  </r>
  <r>
    <n v="4096"/>
    <x v="33"/>
    <n v="56"/>
    <x v="3"/>
    <n v="4.9000000000000004"/>
    <s v="Cash"/>
  </r>
  <r>
    <n v="3992"/>
    <x v="35"/>
    <n v="121"/>
    <x v="161"/>
    <n v="4.0999999999999996"/>
    <s v="Credit Card"/>
  </r>
  <r>
    <n v="4039"/>
    <x v="16"/>
    <n v="135"/>
    <x v="14"/>
    <n v="3"/>
    <s v="Credit Card"/>
  </r>
  <r>
    <n v="4011"/>
    <x v="16"/>
    <n v="130"/>
    <x v="180"/>
    <n v="4.0999999999999996"/>
    <s v="Cash"/>
  </r>
  <r>
    <n v="3968"/>
    <x v="44"/>
    <n v="95"/>
    <x v="114"/>
    <n v="2.6"/>
    <s v="Credit Card"/>
  </r>
  <r>
    <n v="4108"/>
    <x v="46"/>
    <n v="36"/>
    <x v="148"/>
    <n v="2.9"/>
    <s v="Cash"/>
  </r>
  <r>
    <n v="4001"/>
    <x v="14"/>
    <n v="94"/>
    <x v="19"/>
    <n v="4.7"/>
    <s v="Credit Card"/>
  </r>
  <r>
    <n v="4042"/>
    <x v="31"/>
    <n v="136"/>
    <x v="261"/>
    <n v="4.9000000000000004"/>
    <s v="Credit Card"/>
  </r>
  <r>
    <n v="3973"/>
    <x v="46"/>
    <n v="112"/>
    <x v="231"/>
    <n v="1.8"/>
    <s v="Cash"/>
  </r>
  <r>
    <n v="3987"/>
    <x v="31"/>
    <n v="150"/>
    <x v="8"/>
    <n v="4"/>
    <s v="Cash"/>
  </r>
  <r>
    <n v="4027"/>
    <x v="7"/>
    <n v="103.564102564102"/>
    <x v="55"/>
    <n v="2.2999999999999998"/>
    <s v="Cash"/>
  </r>
  <r>
    <n v="3993"/>
    <x v="6"/>
    <n v="105.81034482758599"/>
    <x v="175"/>
    <n v="4.9000000000000004"/>
    <s v="Cash"/>
  </r>
  <r>
    <n v="4063"/>
    <x v="32"/>
    <n v="39"/>
    <x v="262"/>
    <n v="4.0999999999999996"/>
    <s v="Credit Card"/>
  </r>
  <r>
    <n v="4000"/>
    <x v="29"/>
    <n v="113"/>
    <x v="23"/>
    <n v="2.8"/>
    <s v="Cash"/>
  </r>
  <r>
    <n v="4051"/>
    <x v="6"/>
    <n v="10"/>
    <x v="122"/>
    <n v="1"/>
    <s v="Cash"/>
  </r>
  <r>
    <n v="4098"/>
    <x v="46"/>
    <n v="148"/>
    <x v="248"/>
    <n v="4.5"/>
    <s v="Credit Card"/>
  </r>
  <r>
    <n v="3999"/>
    <x v="39"/>
    <n v="23"/>
    <x v="38"/>
    <n v="1.3"/>
    <s v="Cash"/>
  </r>
  <r>
    <n v="4069"/>
    <x v="41"/>
    <n v="117.354166666666"/>
    <x v="212"/>
    <n v="1.8"/>
    <s v="Credit Card"/>
  </r>
  <r>
    <n v="4019"/>
    <x v="8"/>
    <n v="137"/>
    <x v="61"/>
    <n v="2.91904761904761"/>
    <s v="Cash"/>
  </r>
  <r>
    <n v="4105"/>
    <x v="10"/>
    <n v="23"/>
    <x v="134"/>
    <n v="3.7"/>
    <s v="Credit Card"/>
  </r>
  <r>
    <n v="3967"/>
    <x v="23"/>
    <n v="150"/>
    <x v="263"/>
    <n v="2.5"/>
    <s v="Credit Card"/>
  </r>
  <r>
    <n v="3991"/>
    <x v="39"/>
    <n v="93.135593220338905"/>
    <x v="20"/>
    <n v="2.4"/>
    <s v="Cash"/>
  </r>
  <r>
    <n v="3982"/>
    <x v="6"/>
    <n v="188"/>
    <x v="264"/>
    <n v="3.7"/>
    <s v="Credit Card"/>
  </r>
  <r>
    <n v="4118"/>
    <x v="26"/>
    <n v="17"/>
    <x v="17"/>
    <n v="4.7"/>
    <s v="Cash"/>
  </r>
  <r>
    <n v="4113"/>
    <x v="37"/>
    <n v="165"/>
    <x v="145"/>
    <n v="4.3"/>
    <s v="Cash"/>
  </r>
  <r>
    <n v="4053"/>
    <x v="19"/>
    <n v="191"/>
    <x v="250"/>
    <n v="4.0999999999999996"/>
    <s v="Credit Card"/>
  </r>
  <r>
    <n v="3997"/>
    <x v="32"/>
    <n v="110.431818181818"/>
    <x v="72"/>
    <n v="3.01249999999999"/>
    <s v="Credit Card"/>
  </r>
  <r>
    <n v="3961"/>
    <x v="18"/>
    <n v="151"/>
    <x v="200"/>
    <n v="4.0999999999999996"/>
    <s v="Credit Card"/>
  </r>
  <r>
    <n v="4081"/>
    <x v="29"/>
    <n v="67"/>
    <x v="139"/>
    <n v="4.0999999999999996"/>
    <s v="Credit Card"/>
  </r>
  <r>
    <n v="3977"/>
    <x v="23"/>
    <n v="39"/>
    <x v="265"/>
    <n v="4.3"/>
    <s v="Credit Card"/>
  </r>
  <r>
    <n v="3958"/>
    <x v="35"/>
    <n v="40"/>
    <x v="100"/>
    <n v="2.7"/>
    <s v="Cash"/>
  </r>
  <r>
    <n v="3958"/>
    <x v="10"/>
    <n v="49"/>
    <x v="266"/>
    <n v="1.3"/>
    <s v="Cash"/>
  </r>
  <r>
    <n v="4002"/>
    <x v="47"/>
    <n v="193"/>
    <x v="267"/>
    <n v="4"/>
    <s v="Credit Card"/>
  </r>
  <r>
    <n v="3979"/>
    <x v="41"/>
    <n v="190"/>
    <x v="268"/>
    <n v="1.9"/>
    <s v="Cash"/>
  </r>
  <r>
    <n v="4108"/>
    <x v="21"/>
    <n v="133"/>
    <x v="269"/>
    <n v="4.0999999999999996"/>
    <s v="Credit Card"/>
  </r>
  <r>
    <n v="4029"/>
    <x v="8"/>
    <n v="72"/>
    <x v="270"/>
    <n v="2.4"/>
    <s v="Credit Card"/>
  </r>
  <r>
    <n v="4063"/>
    <x v="12"/>
    <n v="47"/>
    <x v="172"/>
    <n v="3.4"/>
    <s v="Credit Card"/>
  </r>
  <r>
    <n v="4078"/>
    <x v="20"/>
    <n v="163"/>
    <x v="58"/>
    <n v="4.7"/>
    <s v="Credit Card"/>
  </r>
  <r>
    <n v="3989"/>
    <x v="4"/>
    <n v="44"/>
    <x v="14"/>
    <n v="1.6"/>
    <s v="Cash"/>
  </r>
  <r>
    <n v="4009"/>
    <x v="32"/>
    <n v="80"/>
    <x v="5"/>
    <n v="1.8"/>
    <s v="Cash"/>
  </r>
  <r>
    <n v="3993"/>
    <x v="16"/>
    <n v="116"/>
    <x v="0"/>
    <n v="2.4"/>
    <s v="Credit Card"/>
  </r>
  <r>
    <n v="4120"/>
    <x v="49"/>
    <n v="139"/>
    <x v="263"/>
    <n v="2.7"/>
    <s v="Credit Card"/>
  </r>
  <r>
    <n v="4026"/>
    <x v="42"/>
    <n v="10"/>
    <x v="6"/>
    <n v="2.5"/>
    <s v="Credit Card"/>
  </r>
  <r>
    <n v="4090"/>
    <x v="26"/>
    <n v="86"/>
    <x v="233"/>
    <n v="1.1000000000000001"/>
    <s v="Cash"/>
  </r>
  <r>
    <n v="4072"/>
    <x v="18"/>
    <n v="158"/>
    <x v="154"/>
    <n v="2.7"/>
    <s v="Credit Card"/>
  </r>
  <r>
    <n v="4062"/>
    <x v="36"/>
    <n v="135"/>
    <x v="137"/>
    <n v="3.7"/>
    <s v="Cash"/>
  </r>
  <r>
    <n v="4018"/>
    <x v="10"/>
    <n v="124"/>
    <x v="55"/>
    <n v="2.9"/>
    <s v="Credit Card"/>
  </r>
  <r>
    <n v="4001"/>
    <x v="30"/>
    <n v="98"/>
    <x v="20"/>
    <n v="3.0542857142857098"/>
    <s v="Credit Card"/>
  </r>
  <r>
    <n v="4113"/>
    <x v="14"/>
    <n v="149"/>
    <x v="6"/>
    <n v="1.4"/>
    <s v="Cash"/>
  </r>
  <r>
    <n v="3966"/>
    <x v="16"/>
    <n v="92"/>
    <x v="190"/>
    <n v="4.2"/>
    <s v="Credit Card"/>
  </r>
  <r>
    <n v="4109"/>
    <x v="28"/>
    <n v="188"/>
    <x v="271"/>
    <n v="2.9636363636363598"/>
    <s v="Credit Card"/>
  </r>
  <r>
    <n v="4003"/>
    <x v="21"/>
    <n v="108"/>
    <x v="247"/>
    <n v="3.3"/>
    <s v="Cash"/>
  </r>
  <r>
    <n v="4084"/>
    <x v="36"/>
    <n v="115"/>
    <x v="119"/>
    <n v="2.8"/>
    <s v="Credit Card"/>
  </r>
  <r>
    <n v="4113"/>
    <x v="30"/>
    <n v="84.528571428571396"/>
    <x v="272"/>
    <n v="4.8"/>
    <s v="Cash"/>
  </r>
  <r>
    <n v="3979"/>
    <x v="4"/>
    <n v="190"/>
    <x v="18"/>
    <n v="4.0999999999999996"/>
    <s v="Cash"/>
  </r>
  <r>
    <n v="4117"/>
    <x v="14"/>
    <n v="107"/>
    <x v="148"/>
    <n v="2"/>
    <s v="Credit Card"/>
  </r>
  <r>
    <n v="4034"/>
    <x v="30"/>
    <n v="179"/>
    <x v="273"/>
    <n v="3.4"/>
    <s v="Cash"/>
  </r>
  <r>
    <n v="4046"/>
    <x v="6"/>
    <n v="176"/>
    <x v="75"/>
    <n v="2.8"/>
    <s v="Cash"/>
  </r>
  <r>
    <n v="4064"/>
    <x v="20"/>
    <n v="136"/>
    <x v="251"/>
    <n v="2.9"/>
    <s v="Credit Card"/>
  </r>
  <r>
    <n v="3958"/>
    <x v="22"/>
    <n v="42"/>
    <x v="9"/>
    <n v="3.1"/>
    <s v="Credit Card"/>
  </r>
  <r>
    <n v="4099"/>
    <x v="1"/>
    <n v="161"/>
    <x v="274"/>
    <n v="4.0999999999999996"/>
    <s v="Cash"/>
  </r>
  <r>
    <n v="4017"/>
    <x v="4"/>
    <n v="35"/>
    <x v="217"/>
    <n v="3.1"/>
    <s v="Cash"/>
  </r>
  <r>
    <n v="4006"/>
    <x v="10"/>
    <n v="122"/>
    <x v="36"/>
    <n v="3.7"/>
    <s v="Credit Card"/>
  </r>
  <r>
    <n v="3987"/>
    <x v="37"/>
    <n v="108.54716981132"/>
    <x v="133"/>
    <n v="2.2999999999999998"/>
    <s v="Credit Card"/>
  </r>
  <r>
    <n v="4092"/>
    <x v="34"/>
    <n v="13"/>
    <x v="275"/>
    <n v="3.4"/>
    <s v="Credit Card"/>
  </r>
  <r>
    <n v="3981"/>
    <x v="22"/>
    <n v="114"/>
    <x v="276"/>
    <n v="4.3"/>
    <s v="Cash"/>
  </r>
  <r>
    <n v="4115"/>
    <x v="46"/>
    <n v="49"/>
    <x v="277"/>
    <n v="2.8"/>
    <s v="Cash"/>
  </r>
  <r>
    <n v="4049"/>
    <x v="9"/>
    <n v="109.08474576271099"/>
    <x v="20"/>
    <n v="3.0693548387096699"/>
    <s v="Credit Card"/>
  </r>
  <r>
    <n v="4095"/>
    <x v="45"/>
    <n v="77"/>
    <x v="214"/>
    <n v="1.5"/>
    <s v="Credit Card"/>
  </r>
  <r>
    <n v="4086"/>
    <x v="39"/>
    <n v="187"/>
    <x v="276"/>
    <n v="2.5"/>
    <s v="Cash"/>
  </r>
  <r>
    <n v="4013"/>
    <x v="40"/>
    <n v="30"/>
    <x v="60"/>
    <n v="3.7"/>
    <s v="Cash"/>
  </r>
  <r>
    <n v="4075"/>
    <x v="25"/>
    <n v="182"/>
    <x v="25"/>
    <n v="2.2999999999999998"/>
    <s v="Credit Card"/>
  </r>
  <r>
    <n v="4117"/>
    <x v="17"/>
    <n v="107"/>
    <x v="162"/>
    <n v="4.3"/>
    <s v="Credit Card"/>
  </r>
  <r>
    <n v="4010"/>
    <x v="28"/>
    <n v="170"/>
    <x v="251"/>
    <n v="1.7"/>
    <s v="Cash"/>
  </r>
  <r>
    <n v="4027"/>
    <x v="14"/>
    <n v="134"/>
    <x v="127"/>
    <n v="1.1000000000000001"/>
    <s v="Cash"/>
  </r>
  <r>
    <n v="3970"/>
    <x v="45"/>
    <n v="19"/>
    <x v="278"/>
    <n v="3.5"/>
    <s v="Cash"/>
  </r>
  <r>
    <n v="4006"/>
    <x v="23"/>
    <n v="70"/>
    <x v="264"/>
    <n v="2.4"/>
    <s v="Cash"/>
  </r>
  <r>
    <n v="3985"/>
    <x v="19"/>
    <n v="83"/>
    <x v="244"/>
    <n v="3.02830188679245"/>
    <s v="Credit Card"/>
  </r>
  <r>
    <n v="3995"/>
    <x v="7"/>
    <n v="33"/>
    <x v="279"/>
    <n v="2"/>
    <s v="Credit Card"/>
  </r>
  <r>
    <n v="4078"/>
    <x v="30"/>
    <n v="35"/>
    <x v="153"/>
    <n v="3.0542857142857098"/>
    <s v="Cash"/>
  </r>
  <r>
    <n v="4084"/>
    <x v="45"/>
    <n v="190"/>
    <x v="53"/>
    <n v="3.1235294117647001"/>
    <s v="Cash"/>
  </r>
  <r>
    <n v="4002"/>
    <x v="17"/>
    <n v="123"/>
    <x v="232"/>
    <n v="3.5"/>
    <s v="Credit Card"/>
  </r>
  <r>
    <n v="3997"/>
    <x v="3"/>
    <n v="98.967741935483801"/>
    <x v="268"/>
    <n v="2.1"/>
    <s v="Credit Card"/>
  </r>
  <r>
    <n v="3968"/>
    <x v="16"/>
    <n v="17"/>
    <x v="39"/>
    <n v="3.8"/>
    <s v="Credit Card"/>
  </r>
  <r>
    <n v="3970"/>
    <x v="22"/>
    <n v="95.292307692307602"/>
    <x v="52"/>
    <n v="4.3"/>
    <s v="Cash"/>
  </r>
  <r>
    <n v="4122"/>
    <x v="6"/>
    <n v="85"/>
    <x v="4"/>
    <n v="3.9"/>
    <s v="Cash"/>
  </r>
  <r>
    <n v="4050"/>
    <x v="19"/>
    <n v="120"/>
    <x v="280"/>
    <n v="2.8"/>
    <s v="Cash"/>
  </r>
  <r>
    <n v="4029"/>
    <x v="47"/>
    <n v="114.217391304347"/>
    <x v="87"/>
    <n v="3.2020408163265301"/>
    <s v="Credit Card"/>
  </r>
  <r>
    <n v="4010"/>
    <x v="24"/>
    <n v="154"/>
    <x v="201"/>
    <n v="1.6"/>
    <s v="Credit Card"/>
  </r>
  <r>
    <n v="4068"/>
    <x v="28"/>
    <n v="56"/>
    <x v="281"/>
    <n v="3.6"/>
    <s v="Credit Card"/>
  </r>
  <r>
    <n v="4021"/>
    <x v="3"/>
    <n v="98.967741935483801"/>
    <x v="278"/>
    <n v="2.5"/>
    <s v="Cash"/>
  </r>
  <r>
    <n v="4042"/>
    <x v="42"/>
    <n v="106.72413793103399"/>
    <x v="193"/>
    <n v="1.3"/>
    <s v="Cash"/>
  </r>
  <r>
    <n v="4114"/>
    <x v="37"/>
    <n v="168"/>
    <x v="282"/>
    <n v="4"/>
    <s v="Cash"/>
  </r>
  <r>
    <n v="4073"/>
    <x v="20"/>
    <n v="137"/>
    <x v="76"/>
    <n v="1.1000000000000001"/>
    <s v="Cash"/>
  </r>
  <r>
    <n v="3968"/>
    <x v="38"/>
    <n v="46"/>
    <x v="77"/>
    <n v="2"/>
    <s v="Credit Card"/>
  </r>
  <r>
    <n v="3983"/>
    <x v="15"/>
    <n v="173"/>
    <x v="152"/>
    <n v="4.5"/>
    <s v="Cash"/>
  </r>
  <r>
    <n v="3970"/>
    <x v="33"/>
    <n v="75"/>
    <x v="74"/>
    <n v="2.7"/>
    <s v="Cash"/>
  </r>
  <r>
    <n v="4094"/>
    <x v="42"/>
    <n v="129"/>
    <x v="58"/>
    <n v="1.8"/>
    <s v="Credit Card"/>
  </r>
  <r>
    <n v="4002"/>
    <x v="7"/>
    <n v="183"/>
    <x v="248"/>
    <n v="2.2000000000000002"/>
    <s v="Credit Card"/>
  </r>
  <r>
    <n v="3997"/>
    <x v="35"/>
    <n v="28"/>
    <x v="238"/>
    <n v="4.4000000000000004"/>
    <s v="Credit Card"/>
  </r>
  <r>
    <n v="3964"/>
    <x v="21"/>
    <n v="98"/>
    <x v="261"/>
    <n v="4.2"/>
    <s v="Cash"/>
  </r>
  <r>
    <n v="4081"/>
    <x v="40"/>
    <n v="86"/>
    <x v="10"/>
    <n v="2.9"/>
    <s v="Credit Card"/>
  </r>
  <r>
    <n v="4088"/>
    <x v="48"/>
    <n v="118"/>
    <x v="167"/>
    <n v="2.7"/>
    <s v="Credit Card"/>
  </r>
  <r>
    <n v="3986"/>
    <x v="11"/>
    <n v="126"/>
    <x v="94"/>
    <n v="4.0999999999999996"/>
    <s v="Cash"/>
  </r>
  <r>
    <n v="3975"/>
    <x v="42"/>
    <n v="60"/>
    <x v="283"/>
    <n v="3.7"/>
    <s v="Credit Card"/>
  </r>
  <r>
    <n v="4017"/>
    <x v="42"/>
    <n v="133"/>
    <x v="118"/>
    <n v="4.5999999999999996"/>
    <s v="Cash"/>
  </r>
  <r>
    <n v="4070"/>
    <x v="27"/>
    <n v="108.734693877551"/>
    <x v="284"/>
    <n v="2.1"/>
    <s v="Cash"/>
  </r>
  <r>
    <n v="4108"/>
    <x v="12"/>
    <n v="101"/>
    <x v="285"/>
    <n v="1.1000000000000001"/>
    <s v="Cash"/>
  </r>
  <r>
    <n v="4105"/>
    <x v="3"/>
    <n v="189"/>
    <x v="112"/>
    <n v="1.5"/>
    <s v="Credit Card"/>
  </r>
  <r>
    <n v="4040"/>
    <x v="14"/>
    <n v="178"/>
    <x v="202"/>
    <n v="3.4"/>
    <s v="Cash"/>
  </r>
  <r>
    <n v="4064"/>
    <x v="14"/>
    <n v="12"/>
    <x v="191"/>
    <n v="2.2999999999999998"/>
    <s v="Credit Card"/>
  </r>
  <r>
    <n v="4007"/>
    <x v="22"/>
    <n v="185"/>
    <x v="286"/>
    <n v="1.1000000000000001"/>
    <s v="Cash"/>
  </r>
  <r>
    <n v="4040"/>
    <x v="29"/>
    <n v="22"/>
    <x v="87"/>
    <n v="1.3"/>
    <s v="Credit Card"/>
  </r>
  <r>
    <n v="4015"/>
    <x v="22"/>
    <n v="200"/>
    <x v="38"/>
    <n v="3.8"/>
    <s v="Cash"/>
  </r>
  <r>
    <n v="3985"/>
    <x v="33"/>
    <n v="83"/>
    <x v="95"/>
    <n v="3.4"/>
    <s v="Cash"/>
  </r>
  <r>
    <n v="4040"/>
    <x v="42"/>
    <n v="68"/>
    <x v="33"/>
    <n v="2.2999999999999998"/>
    <s v="Credit Card"/>
  </r>
  <r>
    <n v="4015"/>
    <x v="49"/>
    <n v="100"/>
    <x v="234"/>
    <n v="4.7"/>
    <s v="Credit Card"/>
  </r>
  <r>
    <n v="3982"/>
    <x v="8"/>
    <n v="58"/>
    <x v="287"/>
    <n v="2.91904761904761"/>
    <s v="Credit Card"/>
  </r>
  <r>
    <n v="4017"/>
    <x v="10"/>
    <n v="183"/>
    <x v="203"/>
    <n v="2.4"/>
    <s v="Credit Card"/>
  </r>
  <r>
    <n v="4062"/>
    <x v="11"/>
    <n v="178"/>
    <x v="288"/>
    <n v="2.8"/>
    <s v="Credit Card"/>
  </r>
  <r>
    <n v="4008"/>
    <x v="32"/>
    <n v="45"/>
    <x v="79"/>
    <n v="1.8"/>
    <s v="Credit Card"/>
  </r>
  <r>
    <n v="4053"/>
    <x v="19"/>
    <n v="170"/>
    <x v="203"/>
    <n v="3.7"/>
    <s v="Cash"/>
  </r>
  <r>
    <n v="4013"/>
    <x v="45"/>
    <n v="89"/>
    <x v="289"/>
    <n v="1.1000000000000001"/>
    <s v="Cash"/>
  </r>
  <r>
    <n v="3975"/>
    <x v="37"/>
    <n v="18"/>
    <x v="290"/>
    <n v="4.9000000000000004"/>
    <s v="Credit Card"/>
  </r>
  <r>
    <n v="4077"/>
    <x v="36"/>
    <n v="197"/>
    <x v="291"/>
    <n v="3.2"/>
    <s v="Credit Card"/>
  </r>
  <r>
    <n v="4106"/>
    <x v="0"/>
    <n v="112.145454545454"/>
    <x v="178"/>
    <n v="1.8"/>
    <s v="Credit Card"/>
  </r>
  <r>
    <n v="4081"/>
    <x v="38"/>
    <n v="93"/>
    <x v="70"/>
    <n v="2.5"/>
    <s v="Credit Card"/>
  </r>
  <r>
    <n v="3970"/>
    <x v="39"/>
    <n v="54"/>
    <x v="94"/>
    <n v="2.2999999999999998"/>
    <s v="Credit Card"/>
  </r>
  <r>
    <n v="4068"/>
    <x v="8"/>
    <n v="148"/>
    <x v="215"/>
    <n v="1.1000000000000001"/>
    <s v="Cash"/>
  </r>
  <r>
    <n v="3994"/>
    <x v="5"/>
    <n v="103"/>
    <x v="220"/>
    <n v="1.7"/>
    <s v="Credit Card"/>
  </r>
  <r>
    <n v="4012"/>
    <x v="22"/>
    <n v="79"/>
    <x v="220"/>
    <n v="2.7"/>
    <s v="Cash"/>
  </r>
  <r>
    <n v="4113"/>
    <x v="40"/>
    <n v="75"/>
    <x v="292"/>
    <n v="1.1000000000000001"/>
    <s v="Credit Card"/>
  </r>
  <r>
    <n v="4073"/>
    <x v="14"/>
    <n v="133"/>
    <x v="79"/>
    <n v="3.2"/>
    <s v="Credit Card"/>
  </r>
  <r>
    <n v="4002"/>
    <x v="30"/>
    <n v="85"/>
    <x v="276"/>
    <n v="1.9"/>
    <s v="Cash"/>
  </r>
  <r>
    <n v="4056"/>
    <x v="17"/>
    <n v="96"/>
    <x v="162"/>
    <n v="1.5"/>
    <s v="Cash"/>
  </r>
  <r>
    <n v="4052"/>
    <x v="17"/>
    <n v="129"/>
    <x v="2"/>
    <n v="4.4000000000000004"/>
    <s v="Credit Card"/>
  </r>
  <r>
    <n v="3991"/>
    <x v="6"/>
    <n v="46"/>
    <x v="239"/>
    <n v="2.9230769230769198"/>
    <s v="Credit Card"/>
  </r>
  <r>
    <n v="4074"/>
    <x v="29"/>
    <n v="67"/>
    <x v="91"/>
    <n v="5"/>
    <s v="Credit Card"/>
  </r>
  <r>
    <n v="4006"/>
    <x v="6"/>
    <n v="195"/>
    <x v="140"/>
    <n v="1.7"/>
    <s v="Credit Card"/>
  </r>
  <r>
    <n v="4118"/>
    <x v="0"/>
    <n v="111"/>
    <x v="293"/>
    <n v="4.0999999999999996"/>
    <s v="Credit Card"/>
  </r>
  <r>
    <n v="4048"/>
    <x v="26"/>
    <n v="152"/>
    <x v="294"/>
    <n v="2.6"/>
    <s v="Cash"/>
  </r>
  <r>
    <n v="4026"/>
    <x v="41"/>
    <n v="111"/>
    <x v="234"/>
    <n v="4"/>
    <s v="Cash"/>
  </r>
  <r>
    <n v="4008"/>
    <x v="3"/>
    <n v="98.967741935483801"/>
    <x v="21"/>
    <n v="3.4"/>
    <s v="Cash"/>
  </r>
  <r>
    <n v="4042"/>
    <x v="39"/>
    <n v="126"/>
    <x v="295"/>
    <n v="2.5"/>
    <s v="Credit Card"/>
  </r>
  <r>
    <n v="3989"/>
    <x v="49"/>
    <n v="182"/>
    <x v="189"/>
    <n v="4.5"/>
    <s v="Credit Card"/>
  </r>
  <r>
    <n v="3965"/>
    <x v="21"/>
    <n v="107"/>
    <x v="265"/>
    <n v="4"/>
    <s v="Credit Card"/>
  </r>
  <r>
    <n v="4102"/>
    <x v="30"/>
    <n v="105"/>
    <x v="91"/>
    <n v="3.1"/>
    <s v="Cash"/>
  </r>
  <r>
    <n v="3972"/>
    <x v="23"/>
    <n v="112.745762711864"/>
    <x v="296"/>
    <n v="4.4000000000000004"/>
    <s v="Cash"/>
  </r>
  <r>
    <n v="4028"/>
    <x v="35"/>
    <n v="16"/>
    <x v="43"/>
    <n v="2.9"/>
    <s v="Cash"/>
  </r>
  <r>
    <n v="3991"/>
    <x v="21"/>
    <n v="153"/>
    <x v="297"/>
    <n v="2.8"/>
    <s v="Cash"/>
  </r>
  <r>
    <n v="3985"/>
    <x v="38"/>
    <n v="166"/>
    <x v="34"/>
    <n v="1.7"/>
    <s v="Cash"/>
  </r>
  <r>
    <n v="4076"/>
    <x v="19"/>
    <n v="26"/>
    <x v="2"/>
    <n v="3.1"/>
    <s v="Cash"/>
  </r>
  <r>
    <n v="4074"/>
    <x v="49"/>
    <n v="128"/>
    <x v="126"/>
    <n v="2.9"/>
    <s v="Credit Card"/>
  </r>
  <r>
    <n v="4064"/>
    <x v="48"/>
    <n v="87"/>
    <x v="28"/>
    <n v="4.5999999999999996"/>
    <s v="Credit Card"/>
  </r>
  <r>
    <n v="4000"/>
    <x v="40"/>
    <n v="39"/>
    <x v="110"/>
    <n v="3.6"/>
    <s v="Credit Card"/>
  </r>
  <r>
    <n v="4044"/>
    <x v="24"/>
    <n v="103.267857142857"/>
    <x v="234"/>
    <n v="2.6"/>
    <s v="Cash"/>
  </r>
  <r>
    <n v="4013"/>
    <x v="19"/>
    <n v="87"/>
    <x v="215"/>
    <n v="3.5"/>
    <s v="Cash"/>
  </r>
  <r>
    <n v="4032"/>
    <x v="46"/>
    <n v="39"/>
    <x v="112"/>
    <n v="3.5"/>
    <s v="Credit Card"/>
  </r>
  <r>
    <n v="4111"/>
    <x v="34"/>
    <n v="90.925925925925895"/>
    <x v="202"/>
    <n v="3.4"/>
    <s v="Cash"/>
  </r>
  <r>
    <n v="3997"/>
    <x v="0"/>
    <n v="44"/>
    <x v="120"/>
    <n v="4.8"/>
    <s v="Credit Card"/>
  </r>
  <r>
    <n v="4120"/>
    <x v="7"/>
    <n v="104"/>
    <x v="116"/>
    <n v="2"/>
    <s v="Credit Card"/>
  </r>
  <r>
    <n v="4113"/>
    <x v="32"/>
    <n v="200"/>
    <x v="67"/>
    <n v="2.9"/>
    <s v="Credit Card"/>
  </r>
  <r>
    <n v="4000"/>
    <x v="35"/>
    <n v="148"/>
    <x v="59"/>
    <n v="3.0156626506023998"/>
    <s v="Cash"/>
  </r>
  <r>
    <n v="4104"/>
    <x v="30"/>
    <n v="200"/>
    <x v="243"/>
    <n v="4"/>
    <s v="Credit Card"/>
  </r>
  <r>
    <n v="4098"/>
    <x v="25"/>
    <n v="116"/>
    <x v="42"/>
    <n v="3.6"/>
    <s v="Credit Card"/>
  </r>
  <r>
    <n v="4015"/>
    <x v="3"/>
    <n v="135"/>
    <x v="170"/>
    <n v="4.5"/>
    <s v="Credit Card"/>
  </r>
  <r>
    <n v="3979"/>
    <x v="42"/>
    <n v="81"/>
    <x v="269"/>
    <n v="1.6"/>
    <s v="Cash"/>
  </r>
  <r>
    <n v="4062"/>
    <x v="2"/>
    <n v="100.679999999999"/>
    <x v="163"/>
    <n v="4.5"/>
    <s v="Cash"/>
  </r>
  <r>
    <n v="4090"/>
    <x v="1"/>
    <n v="123"/>
    <x v="165"/>
    <n v="4.7"/>
    <s v="Cash"/>
  </r>
  <r>
    <n v="4082"/>
    <x v="46"/>
    <n v="70"/>
    <x v="17"/>
    <n v="2.2999999999999998"/>
    <s v="Credit Card"/>
  </r>
  <r>
    <n v="4012"/>
    <x v="2"/>
    <n v="35"/>
    <x v="77"/>
    <n v="4.5999999999999996"/>
    <s v="Credit Card"/>
  </r>
  <r>
    <n v="4108"/>
    <x v="42"/>
    <n v="104"/>
    <x v="272"/>
    <n v="2.8"/>
    <s v="Cash"/>
  </r>
  <r>
    <n v="4078"/>
    <x v="28"/>
    <n v="175"/>
    <x v="156"/>
    <n v="3.4"/>
    <s v="Cash"/>
  </r>
  <r>
    <n v="4075"/>
    <x v="37"/>
    <n v="111"/>
    <x v="229"/>
    <n v="4.2"/>
    <s v="Cash"/>
  </r>
  <r>
    <n v="4028"/>
    <x v="22"/>
    <n v="41"/>
    <x v="13"/>
    <n v="3"/>
    <s v="Credit Card"/>
  </r>
  <r>
    <n v="3960"/>
    <x v="4"/>
    <n v="126"/>
    <x v="298"/>
    <n v="3.4"/>
    <s v="Credit Card"/>
  </r>
  <r>
    <n v="4066"/>
    <x v="24"/>
    <n v="103.267857142857"/>
    <x v="22"/>
    <n v="4.7"/>
    <s v="Credit Card"/>
  </r>
  <r>
    <n v="4020"/>
    <x v="0"/>
    <n v="173"/>
    <x v="281"/>
    <n v="2.8"/>
    <s v="Cash"/>
  </r>
  <r>
    <n v="4020"/>
    <x v="6"/>
    <n v="15"/>
    <x v="266"/>
    <n v="1"/>
    <s v="Credit Card"/>
  </r>
  <r>
    <n v="4040"/>
    <x v="23"/>
    <n v="112.745762711864"/>
    <x v="152"/>
    <n v="2.8291666666666599"/>
    <s v="Credit Card"/>
  </r>
  <r>
    <n v="4068"/>
    <x v="47"/>
    <n v="42"/>
    <x v="171"/>
    <n v="4.5"/>
    <s v="Cash"/>
  </r>
  <r>
    <n v="4105"/>
    <x v="22"/>
    <n v="62"/>
    <x v="156"/>
    <n v="4.4000000000000004"/>
    <s v="Credit Card"/>
  </r>
  <r>
    <n v="4013"/>
    <x v="20"/>
    <n v="107.949152542372"/>
    <x v="299"/>
    <n v="3.1651515151515102"/>
    <s v="Credit Card"/>
  </r>
  <r>
    <n v="4108"/>
    <x v="20"/>
    <n v="63"/>
    <x v="229"/>
    <n v="2"/>
    <s v="Credit Card"/>
  </r>
  <r>
    <n v="3995"/>
    <x v="31"/>
    <n v="69"/>
    <x v="51"/>
    <n v="1.5"/>
    <s v="Credit Card"/>
  </r>
  <r>
    <n v="4103"/>
    <x v="47"/>
    <n v="47"/>
    <x v="119"/>
    <n v="3.6"/>
    <s v="Credit Card"/>
  </r>
  <r>
    <n v="3958"/>
    <x v="36"/>
    <n v="162"/>
    <x v="42"/>
    <n v="1.1000000000000001"/>
    <s v="Cash"/>
  </r>
  <r>
    <n v="4063"/>
    <x v="0"/>
    <n v="112.145454545454"/>
    <x v="180"/>
    <n v="3.9"/>
    <s v="Credit Card"/>
  </r>
  <r>
    <n v="3968"/>
    <x v="23"/>
    <n v="47"/>
    <x v="194"/>
    <n v="2.6"/>
    <s v="Credit Card"/>
  </r>
  <r>
    <n v="3967"/>
    <x v="9"/>
    <n v="148"/>
    <x v="108"/>
    <n v="4.0999999999999996"/>
    <s v="Credit Card"/>
  </r>
  <r>
    <n v="4077"/>
    <x v="25"/>
    <n v="54"/>
    <x v="133"/>
    <n v="3.9"/>
    <s v="Credit Card"/>
  </r>
  <r>
    <n v="4086"/>
    <x v="0"/>
    <n v="112.145454545454"/>
    <x v="300"/>
    <n v="3.6"/>
    <s v="Cash"/>
  </r>
  <r>
    <n v="3965"/>
    <x v="5"/>
    <n v="43"/>
    <x v="180"/>
    <n v="1.5"/>
    <s v="Credit Card"/>
  </r>
  <r>
    <n v="4065"/>
    <x v="41"/>
    <n v="117.354166666666"/>
    <x v="301"/>
    <n v="2"/>
    <s v="Cash"/>
  </r>
  <r>
    <n v="4092"/>
    <x v="26"/>
    <n v="70"/>
    <x v="302"/>
    <n v="4"/>
    <s v="Credit Card"/>
  </r>
  <r>
    <n v="4057"/>
    <x v="46"/>
    <n v="14"/>
    <x v="297"/>
    <n v="1.7"/>
    <s v="Cash"/>
  </r>
  <r>
    <n v="4079"/>
    <x v="46"/>
    <n v="107.26027397260199"/>
    <x v="243"/>
    <n v="2.4"/>
    <s v="Credit Card"/>
  </r>
  <r>
    <n v="3982"/>
    <x v="31"/>
    <n v="113.54098360655701"/>
    <x v="229"/>
    <n v="4.2"/>
    <s v="Cash"/>
  </r>
  <r>
    <n v="4072"/>
    <x v="46"/>
    <n v="144"/>
    <x v="53"/>
    <n v="1.4"/>
    <s v="Credit Card"/>
  </r>
  <r>
    <n v="4083"/>
    <x v="28"/>
    <n v="99.866666666666603"/>
    <x v="61"/>
    <n v="1.3"/>
    <s v="Credit Card"/>
  </r>
  <r>
    <n v="4018"/>
    <x v="0"/>
    <n v="112.145454545454"/>
    <x v="42"/>
    <n v="3"/>
    <s v="Cash"/>
  </r>
  <r>
    <n v="3978"/>
    <x v="20"/>
    <n v="102"/>
    <x v="149"/>
    <n v="2"/>
    <s v="Credit Card"/>
  </r>
  <r>
    <n v="4099"/>
    <x v="34"/>
    <n v="37"/>
    <x v="113"/>
    <n v="2.8"/>
    <s v="Cash"/>
  </r>
  <r>
    <n v="3960"/>
    <x v="16"/>
    <n v="66"/>
    <x v="303"/>
    <n v="3.8"/>
    <s v="Cash"/>
  </r>
  <r>
    <n v="4061"/>
    <x v="15"/>
    <n v="21"/>
    <x v="220"/>
    <n v="3.4"/>
    <s v="Credit Card"/>
  </r>
  <r>
    <n v="4012"/>
    <x v="32"/>
    <n v="178"/>
    <x v="58"/>
    <n v="1.6"/>
    <s v="Cash"/>
  </r>
  <r>
    <n v="3990"/>
    <x v="39"/>
    <n v="127"/>
    <x v="38"/>
    <n v="1.9"/>
    <s v="Cash"/>
  </r>
  <r>
    <n v="4048"/>
    <x v="39"/>
    <n v="17"/>
    <x v="213"/>
    <n v="2.5"/>
    <s v="Cash"/>
  </r>
  <r>
    <n v="4032"/>
    <x v="40"/>
    <n v="114.396551724137"/>
    <x v="304"/>
    <n v="4.8"/>
    <s v="Credit Card"/>
  </r>
  <r>
    <n v="4018"/>
    <x v="9"/>
    <n v="112"/>
    <x v="252"/>
    <n v="3.5"/>
    <s v="Credit Card"/>
  </r>
  <r>
    <n v="4122"/>
    <x v="22"/>
    <n v="37"/>
    <x v="229"/>
    <n v="2.8"/>
    <s v="Cash"/>
  </r>
  <r>
    <n v="3980"/>
    <x v="6"/>
    <n v="123"/>
    <x v="246"/>
    <n v="4"/>
    <s v="Credit Card"/>
  </r>
  <r>
    <n v="3961"/>
    <x v="49"/>
    <n v="105.1"/>
    <x v="237"/>
    <n v="1.6"/>
    <s v="Credit Card"/>
  </r>
  <r>
    <n v="4079"/>
    <x v="32"/>
    <n v="110.431818181818"/>
    <x v="265"/>
    <n v="2.5"/>
    <s v="Cash"/>
  </r>
  <r>
    <n v="4035"/>
    <x v="24"/>
    <n v="26"/>
    <x v="204"/>
    <n v="1.1000000000000001"/>
    <s v="Credit Card"/>
  </r>
  <r>
    <n v="3998"/>
    <x v="23"/>
    <n v="112.745762711864"/>
    <x v="147"/>
    <n v="2.2000000000000002"/>
    <s v="Cash"/>
  </r>
  <r>
    <n v="4074"/>
    <x v="40"/>
    <n v="159"/>
    <x v="159"/>
    <n v="2"/>
    <s v="Credit Card"/>
  </r>
  <r>
    <n v="4103"/>
    <x v="0"/>
    <n v="93"/>
    <x v="205"/>
    <n v="4"/>
    <s v="Credit Card"/>
  </r>
  <r>
    <n v="4106"/>
    <x v="22"/>
    <n v="162"/>
    <x v="131"/>
    <n v="2.6"/>
    <s v="Cash"/>
  </r>
  <r>
    <n v="3963"/>
    <x v="35"/>
    <n v="126"/>
    <x v="114"/>
    <n v="1.7"/>
    <s v="Credit Card"/>
  </r>
  <r>
    <n v="4073"/>
    <x v="37"/>
    <n v="120"/>
    <x v="60"/>
    <n v="1.6"/>
    <s v="Cash"/>
  </r>
  <r>
    <n v="4075"/>
    <x v="39"/>
    <n v="93.135593220338905"/>
    <x v="304"/>
    <n v="2.2999999999999998"/>
    <s v="Credit Card"/>
  </r>
  <r>
    <n v="3992"/>
    <x v="8"/>
    <n v="177"/>
    <x v="81"/>
    <n v="4.5"/>
    <s v="Cash"/>
  </r>
  <r>
    <n v="4060"/>
    <x v="49"/>
    <n v="151"/>
    <x v="263"/>
    <n v="1.7"/>
    <s v="Cash"/>
  </r>
  <r>
    <n v="4004"/>
    <x v="10"/>
    <n v="65"/>
    <x v="111"/>
    <n v="1.7"/>
    <s v="Cash"/>
  </r>
  <r>
    <n v="4051"/>
    <x v="27"/>
    <n v="68"/>
    <x v="56"/>
    <n v="1.1000000000000001"/>
    <s v="Credit Card"/>
  </r>
  <r>
    <n v="4117"/>
    <x v="45"/>
    <n v="126"/>
    <x v="45"/>
    <n v="2.4"/>
    <s v="Credit Card"/>
  </r>
  <r>
    <n v="4075"/>
    <x v="18"/>
    <n v="196"/>
    <x v="215"/>
    <n v="1.9"/>
    <s v="Credit Card"/>
  </r>
  <r>
    <n v="4119"/>
    <x v="24"/>
    <n v="103.267857142857"/>
    <x v="84"/>
    <n v="4.0999999999999996"/>
    <s v="Credit Card"/>
  </r>
  <r>
    <n v="3957"/>
    <x v="42"/>
    <n v="180"/>
    <x v="188"/>
    <n v="3.6"/>
    <s v="Cash"/>
  </r>
  <r>
    <n v="4117"/>
    <x v="22"/>
    <n v="49"/>
    <x v="174"/>
    <n v="2.8"/>
    <s v="Credit Card"/>
  </r>
  <r>
    <n v="3975"/>
    <x v="15"/>
    <n v="131"/>
    <x v="256"/>
    <n v="4.5999999999999996"/>
    <s v="Credit Card"/>
  </r>
  <r>
    <n v="4055"/>
    <x v="42"/>
    <n v="106.72413793103399"/>
    <x v="305"/>
    <n v="4.4000000000000004"/>
    <s v="Credit Card"/>
  </r>
  <r>
    <n v="4042"/>
    <x v="33"/>
    <n v="33"/>
    <x v="172"/>
    <n v="3.1"/>
    <s v="Credit Card"/>
  </r>
  <r>
    <n v="4092"/>
    <x v="18"/>
    <n v="200"/>
    <x v="225"/>
    <n v="1.8"/>
    <s v="Credit Card"/>
  </r>
  <r>
    <n v="3965"/>
    <x v="12"/>
    <n v="43"/>
    <x v="15"/>
    <n v="2.6"/>
    <s v="Cash"/>
  </r>
  <r>
    <n v="4032"/>
    <x v="28"/>
    <n v="160"/>
    <x v="175"/>
    <n v="2.9636363636363598"/>
    <s v="Credit Card"/>
  </r>
  <r>
    <n v="4066"/>
    <x v="27"/>
    <n v="153"/>
    <x v="82"/>
    <n v="1.3"/>
    <s v="Credit Card"/>
  </r>
  <r>
    <n v="4026"/>
    <x v="12"/>
    <n v="41"/>
    <x v="244"/>
    <n v="3.1"/>
    <s v="Credit Card"/>
  </r>
  <r>
    <n v="4113"/>
    <x v="32"/>
    <n v="180"/>
    <x v="306"/>
    <n v="4.5"/>
    <s v="Credit Card"/>
  </r>
  <r>
    <n v="4095"/>
    <x v="18"/>
    <n v="118"/>
    <x v="79"/>
    <n v="1.2"/>
    <s v="Credit Card"/>
  </r>
  <r>
    <n v="4104"/>
    <x v="45"/>
    <n v="194"/>
    <x v="173"/>
    <n v="2"/>
    <s v="Cash"/>
  </r>
  <r>
    <n v="4010"/>
    <x v="0"/>
    <n v="112.145454545454"/>
    <x v="164"/>
    <n v="4"/>
    <s v="Credit Card"/>
  </r>
  <r>
    <n v="3977"/>
    <x v="46"/>
    <n v="89"/>
    <x v="68"/>
    <n v="3.6"/>
    <s v="Cash"/>
  </r>
  <r>
    <n v="4115"/>
    <x v="11"/>
    <n v="157"/>
    <x v="67"/>
    <n v="3.8"/>
    <s v="Cash"/>
  </r>
  <r>
    <n v="4042"/>
    <x v="11"/>
    <n v="49"/>
    <x v="241"/>
    <n v="1.2"/>
    <s v="Cash"/>
  </r>
  <r>
    <n v="3971"/>
    <x v="17"/>
    <n v="67"/>
    <x v="307"/>
    <n v="3.2"/>
    <s v="Cash"/>
  </r>
  <r>
    <n v="4088"/>
    <x v="20"/>
    <n v="99"/>
    <x v="174"/>
    <n v="3.1651515151515102"/>
    <s v="Credit Card"/>
  </r>
  <r>
    <n v="4050"/>
    <x v="46"/>
    <n v="104"/>
    <x v="170"/>
    <n v="4.3"/>
    <s v="Credit Card"/>
  </r>
  <r>
    <n v="3970"/>
    <x v="24"/>
    <n v="103.267857142857"/>
    <x v="250"/>
    <n v="2.88305084745762"/>
    <s v="Credit Card"/>
  </r>
  <r>
    <n v="3985"/>
    <x v="4"/>
    <n v="67"/>
    <x v="255"/>
    <n v="3.1"/>
    <s v="Credit Card"/>
  </r>
  <r>
    <n v="4055"/>
    <x v="22"/>
    <n v="153"/>
    <x v="134"/>
    <n v="3.1712328767123199"/>
    <s v="Cash"/>
  </r>
  <r>
    <n v="4050"/>
    <x v="24"/>
    <n v="169"/>
    <x v="39"/>
    <n v="3.3"/>
    <s v="Cash"/>
  </r>
  <r>
    <n v="4076"/>
    <x v="26"/>
    <n v="174"/>
    <x v="308"/>
    <n v="2.9"/>
    <s v="Credit Card"/>
  </r>
  <r>
    <n v="4115"/>
    <x v="33"/>
    <n v="165"/>
    <x v="291"/>
    <n v="4.0999999999999996"/>
    <s v="Credit Card"/>
  </r>
  <r>
    <n v="3967"/>
    <x v="5"/>
    <n v="187"/>
    <x v="198"/>
    <n v="3.5"/>
    <s v="Credit Card"/>
  </r>
  <r>
    <n v="4050"/>
    <x v="10"/>
    <n v="56"/>
    <x v="237"/>
    <n v="1.5"/>
    <s v="Credit Card"/>
  </r>
  <r>
    <n v="4050"/>
    <x v="46"/>
    <n v="89"/>
    <x v="93"/>
    <n v="2.9"/>
    <s v="Credit Card"/>
  </r>
  <r>
    <n v="4001"/>
    <x v="1"/>
    <n v="99"/>
    <x v="101"/>
    <n v="3.2"/>
    <s v="Credit Card"/>
  </r>
  <r>
    <n v="4122"/>
    <x v="8"/>
    <n v="120.375"/>
    <x v="249"/>
    <n v="2.9"/>
    <s v="Credit Card"/>
  </r>
  <r>
    <n v="4100"/>
    <x v="39"/>
    <n v="154"/>
    <x v="233"/>
    <n v="3.3"/>
    <s v="Credit Card"/>
  </r>
  <r>
    <n v="3974"/>
    <x v="17"/>
    <n v="27"/>
    <x v="90"/>
    <n v="1.4"/>
    <s v="Cash"/>
  </r>
  <r>
    <n v="4100"/>
    <x v="0"/>
    <n v="112.145454545454"/>
    <x v="256"/>
    <n v="4.0999999999999996"/>
    <s v="Credit Card"/>
  </r>
  <r>
    <n v="4009"/>
    <x v="38"/>
    <n v="17"/>
    <x v="40"/>
    <n v="4.2"/>
    <s v="Credit Card"/>
  </r>
  <r>
    <n v="3992"/>
    <x v="31"/>
    <n v="113.54098360655701"/>
    <x v="210"/>
    <n v="2.8"/>
    <s v="Credit Card"/>
  </r>
  <r>
    <n v="4042"/>
    <x v="33"/>
    <n v="106"/>
    <x v="11"/>
    <n v="3.4933333333333301"/>
    <s v="Credit Card"/>
  </r>
  <r>
    <n v="4018"/>
    <x v="44"/>
    <n v="97"/>
    <x v="261"/>
    <n v="3.4"/>
    <s v="Cash"/>
  </r>
  <r>
    <n v="4095"/>
    <x v="11"/>
    <n v="112.64705882352899"/>
    <x v="204"/>
    <n v="1.7"/>
    <s v="Cash"/>
  </r>
  <r>
    <n v="3986"/>
    <x v="1"/>
    <n v="93"/>
    <x v="247"/>
    <n v="3.1"/>
    <s v="Cash"/>
  </r>
  <r>
    <n v="4079"/>
    <x v="31"/>
    <n v="155"/>
    <x v="192"/>
    <n v="2.2000000000000002"/>
    <s v="Credit Card"/>
  </r>
  <r>
    <n v="4105"/>
    <x v="46"/>
    <n v="23"/>
    <x v="290"/>
    <n v="2"/>
    <s v="Credit Card"/>
  </r>
  <r>
    <n v="4010"/>
    <x v="34"/>
    <n v="90.925925925925895"/>
    <x v="190"/>
    <n v="3.2"/>
    <s v="Credit Card"/>
  </r>
  <r>
    <n v="4014"/>
    <x v="37"/>
    <n v="22"/>
    <x v="84"/>
    <n v="2.8"/>
    <s v="Cash"/>
  </r>
  <r>
    <n v="4039"/>
    <x v="41"/>
    <n v="79"/>
    <x v="54"/>
    <n v="4.8"/>
    <s v="Credit Card"/>
  </r>
  <r>
    <n v="4047"/>
    <x v="18"/>
    <n v="118"/>
    <x v="103"/>
    <n v="2.2999999999999998"/>
    <s v="Credit Card"/>
  </r>
  <r>
    <n v="4025"/>
    <x v="38"/>
    <n v="123"/>
    <x v="309"/>
    <n v="2.9"/>
    <s v="Credit Card"/>
  </r>
  <r>
    <n v="4085"/>
    <x v="35"/>
    <n v="65"/>
    <x v="47"/>
    <n v="1.3"/>
    <s v="Credit Card"/>
  </r>
  <r>
    <n v="4065"/>
    <x v="20"/>
    <n v="39"/>
    <x v="66"/>
    <n v="2.2000000000000002"/>
    <s v="Cash"/>
  </r>
  <r>
    <n v="4027"/>
    <x v="26"/>
    <n v="38"/>
    <x v="201"/>
    <n v="2.8"/>
    <s v="Cash"/>
  </r>
  <r>
    <n v="3970"/>
    <x v="2"/>
    <n v="183"/>
    <x v="280"/>
    <n v="3.2"/>
    <s v="Credit Card"/>
  </r>
  <r>
    <n v="3973"/>
    <x v="37"/>
    <n v="144"/>
    <x v="272"/>
    <n v="4.0999999999999996"/>
    <s v="Cash"/>
  </r>
  <r>
    <n v="4052"/>
    <x v="1"/>
    <n v="21"/>
    <x v="310"/>
    <n v="1.9"/>
    <s v="Cash"/>
  </r>
  <r>
    <n v="4045"/>
    <x v="12"/>
    <n v="163"/>
    <x v="112"/>
    <n v="2.2999999999999998"/>
    <s v="Cash"/>
  </r>
  <r>
    <n v="4072"/>
    <x v="14"/>
    <n v="110.56666666666599"/>
    <x v="172"/>
    <n v="1.4"/>
    <s v="Credit Card"/>
  </r>
  <r>
    <n v="4081"/>
    <x v="20"/>
    <n v="64"/>
    <x v="182"/>
    <n v="3.4"/>
    <s v="Credit Card"/>
  </r>
  <r>
    <n v="4085"/>
    <x v="18"/>
    <n v="75"/>
    <x v="172"/>
    <n v="1.6"/>
    <s v="Credit Card"/>
  </r>
  <r>
    <n v="4091"/>
    <x v="5"/>
    <n v="40"/>
    <x v="286"/>
    <n v="4.0999999999999996"/>
    <s v="Cash"/>
  </r>
  <r>
    <n v="3988"/>
    <x v="8"/>
    <n v="120.375"/>
    <x v="46"/>
    <n v="4.4000000000000004"/>
    <s v="Credit Card"/>
  </r>
  <r>
    <n v="4077"/>
    <x v="39"/>
    <n v="54"/>
    <x v="103"/>
    <n v="1.6"/>
    <s v="Cash"/>
  </r>
  <r>
    <n v="4093"/>
    <x v="28"/>
    <n v="99.866666666666603"/>
    <x v="257"/>
    <n v="4.9000000000000004"/>
    <s v="Cash"/>
  </r>
  <r>
    <n v="4093"/>
    <x v="22"/>
    <n v="68"/>
    <x v="100"/>
    <n v="4.2"/>
    <s v="Cash"/>
  </r>
  <r>
    <n v="4031"/>
    <x v="10"/>
    <n v="181"/>
    <x v="120"/>
    <n v="2.1"/>
    <s v="Cash"/>
  </r>
  <r>
    <n v="4072"/>
    <x v="12"/>
    <n v="28"/>
    <x v="128"/>
    <n v="2.9"/>
    <s v="Cash"/>
  </r>
  <r>
    <n v="4115"/>
    <x v="48"/>
    <n v="199"/>
    <x v="299"/>
    <n v="2.2000000000000002"/>
    <s v="Credit Card"/>
  </r>
  <r>
    <n v="4051"/>
    <x v="4"/>
    <n v="114.77966101694901"/>
    <x v="311"/>
    <n v="2.2999999999999998"/>
    <s v="Credit Card"/>
  </r>
  <r>
    <n v="3973"/>
    <x v="18"/>
    <n v="105.95348837209301"/>
    <x v="78"/>
    <n v="4"/>
    <s v="Credit Card"/>
  </r>
  <r>
    <n v="4005"/>
    <x v="34"/>
    <n v="90"/>
    <x v="283"/>
    <n v="2.7"/>
    <s v="Credit Card"/>
  </r>
  <r>
    <n v="4074"/>
    <x v="17"/>
    <n v="156"/>
    <x v="126"/>
    <n v="2.7"/>
    <s v="Credit Card"/>
  </r>
  <r>
    <n v="3979"/>
    <x v="22"/>
    <n v="173"/>
    <x v="276"/>
    <n v="2.6"/>
    <s v="Credit Card"/>
  </r>
  <r>
    <n v="3977"/>
    <x v="49"/>
    <n v="39"/>
    <x v="60"/>
    <n v="2.4"/>
    <s v="Credit Card"/>
  </r>
  <r>
    <n v="4057"/>
    <x v="20"/>
    <n v="93"/>
    <x v="161"/>
    <n v="4.9000000000000004"/>
    <s v="Cash"/>
  </r>
  <r>
    <n v="4002"/>
    <x v="1"/>
    <n v="93.340909090909093"/>
    <x v="205"/>
    <n v="1.1000000000000001"/>
    <s v="Credit Card"/>
  </r>
  <r>
    <n v="4030"/>
    <x v="2"/>
    <n v="127"/>
    <x v="35"/>
    <n v="1.8"/>
    <s v="Cash"/>
  </r>
  <r>
    <n v="3976"/>
    <x v="1"/>
    <n v="102"/>
    <x v="27"/>
    <n v="2.2000000000000002"/>
    <s v="Cash"/>
  </r>
  <r>
    <n v="3984"/>
    <x v="29"/>
    <n v="88.827586206896498"/>
    <x v="11"/>
    <n v="2.2999999999999998"/>
    <s v="Cash"/>
  </r>
  <r>
    <n v="3999"/>
    <x v="30"/>
    <n v="72"/>
    <x v="42"/>
    <n v="2.2999999999999998"/>
    <s v="Credit Card"/>
  </r>
  <r>
    <n v="4027"/>
    <x v="37"/>
    <n v="112"/>
    <x v="101"/>
    <n v="1.8"/>
    <s v="Credit Card"/>
  </r>
  <r>
    <n v="3985"/>
    <x v="17"/>
    <n v="111"/>
    <x v="251"/>
    <n v="3"/>
    <s v="Credit Card"/>
  </r>
  <r>
    <n v="3994"/>
    <x v="8"/>
    <n v="200"/>
    <x v="139"/>
    <n v="1.4"/>
    <s v="Credit Card"/>
  </r>
  <r>
    <n v="4084"/>
    <x v="4"/>
    <n v="95"/>
    <x v="252"/>
    <n v="2.2999999999999998"/>
    <s v="Credit Card"/>
  </r>
  <r>
    <n v="3995"/>
    <x v="33"/>
    <n v="29"/>
    <x v="188"/>
    <n v="3.9"/>
    <s v="Cash"/>
  </r>
  <r>
    <n v="4009"/>
    <x v="17"/>
    <n v="39"/>
    <x v="154"/>
    <n v="4.9000000000000004"/>
    <s v="Credit Card"/>
  </r>
  <r>
    <n v="4090"/>
    <x v="32"/>
    <n v="59"/>
    <x v="272"/>
    <n v="3.0125000000000002"/>
    <s v="Cash"/>
  </r>
  <r>
    <n v="4117"/>
    <x v="48"/>
    <n v="99"/>
    <x v="49"/>
    <n v="3.8"/>
    <s v="Credit Card"/>
  </r>
  <r>
    <n v="3962"/>
    <x v="9"/>
    <n v="175"/>
    <x v="184"/>
    <n v="2.9"/>
    <s v="Cash"/>
  </r>
  <r>
    <n v="4032"/>
    <x v="8"/>
    <n v="70"/>
    <x v="312"/>
    <n v="3.4"/>
    <s v="Cash"/>
  </r>
  <r>
    <n v="4063"/>
    <x v="3"/>
    <n v="98.967741935483801"/>
    <x v="286"/>
    <n v="1.4"/>
    <s v="Credit Card"/>
  </r>
  <r>
    <n v="4095"/>
    <x v="43"/>
    <n v="54"/>
    <x v="65"/>
    <n v="2.1"/>
    <s v="Credit Card"/>
  </r>
  <r>
    <n v="3990"/>
    <x v="35"/>
    <n v="177"/>
    <x v="178"/>
    <n v="4.7"/>
    <s v="Credit Card"/>
  </r>
  <r>
    <n v="4078"/>
    <x v="27"/>
    <n v="108.734693877551"/>
    <x v="113"/>
    <n v="1.5"/>
    <s v="Credit Card"/>
  </r>
  <r>
    <n v="4045"/>
    <x v="33"/>
    <n v="170"/>
    <x v="146"/>
    <n v="2.2999999999999998"/>
    <s v="Credit Card"/>
  </r>
  <r>
    <n v="4064"/>
    <x v="44"/>
    <n v="154"/>
    <x v="304"/>
    <n v="2.7"/>
    <s v="Cash"/>
  </r>
  <r>
    <n v="4070"/>
    <x v="44"/>
    <n v="124"/>
    <x v="132"/>
    <n v="1.6"/>
    <s v="Cash"/>
  </r>
  <r>
    <n v="4122"/>
    <x v="23"/>
    <n v="154"/>
    <x v="239"/>
    <n v="1.8"/>
    <s v="Credit Card"/>
  </r>
  <r>
    <n v="3962"/>
    <x v="0"/>
    <n v="169"/>
    <x v="44"/>
    <n v="3.0636363636363599"/>
    <s v="Credit Card"/>
  </r>
  <r>
    <n v="4031"/>
    <x v="38"/>
    <n v="170"/>
    <x v="311"/>
    <n v="3.3"/>
    <s v="Cash"/>
  </r>
  <r>
    <n v="4005"/>
    <x v="42"/>
    <n v="122"/>
    <x v="313"/>
    <n v="2"/>
    <s v="Cash"/>
  </r>
  <r>
    <n v="3973"/>
    <x v="36"/>
    <n v="103.222222222222"/>
    <x v="261"/>
    <n v="2.2000000000000002"/>
    <s v="Cash"/>
  </r>
  <r>
    <n v="3962"/>
    <x v="31"/>
    <n v="87"/>
    <x v="226"/>
    <n v="2.96470588235294"/>
    <s v="Cash"/>
  </r>
  <r>
    <n v="4016"/>
    <x v="44"/>
    <n v="161"/>
    <x v="53"/>
    <n v="1.3"/>
    <s v="Cash"/>
  </r>
  <r>
    <n v="4090"/>
    <x v="21"/>
    <n v="107.68518518518501"/>
    <x v="75"/>
    <n v="3.8"/>
    <s v="Cash"/>
  </r>
  <r>
    <n v="4122"/>
    <x v="35"/>
    <n v="89"/>
    <x v="101"/>
    <n v="4.4000000000000004"/>
    <s v="Credit Card"/>
  </r>
  <r>
    <n v="4042"/>
    <x v="22"/>
    <n v="19"/>
    <x v="23"/>
    <n v="2.8"/>
    <s v="Cash"/>
  </r>
  <r>
    <n v="4062"/>
    <x v="30"/>
    <n v="84.528571428571396"/>
    <x v="314"/>
    <n v="1.7"/>
    <s v="Credit Card"/>
  </r>
  <r>
    <n v="4105"/>
    <x v="18"/>
    <n v="29"/>
    <x v="208"/>
    <n v="2.8"/>
    <s v="Cash"/>
  </r>
  <r>
    <n v="4044"/>
    <x v="17"/>
    <n v="33"/>
    <x v="315"/>
    <n v="3.7"/>
    <s v="Credit Card"/>
  </r>
  <r>
    <n v="4122"/>
    <x v="27"/>
    <n v="139"/>
    <x v="147"/>
    <n v="2"/>
    <s v="Credit Card"/>
  </r>
  <r>
    <n v="4040"/>
    <x v="25"/>
    <n v="158"/>
    <x v="316"/>
    <n v="1.1000000000000001"/>
    <s v="Cash"/>
  </r>
  <r>
    <n v="4081"/>
    <x v="3"/>
    <n v="199"/>
    <x v="317"/>
    <n v="2.6"/>
    <s v="Cash"/>
  </r>
  <r>
    <n v="4108"/>
    <x v="9"/>
    <n v="125"/>
    <x v="7"/>
    <n v="2.9"/>
    <s v="Cash"/>
  </r>
  <r>
    <n v="4092"/>
    <x v="25"/>
    <n v="156"/>
    <x v="157"/>
    <n v="3.2016129032257998"/>
    <s v="Credit Card"/>
  </r>
  <r>
    <n v="4097"/>
    <x v="22"/>
    <n v="92"/>
    <x v="11"/>
    <n v="4.7"/>
    <s v="Cash"/>
  </r>
  <r>
    <n v="4070"/>
    <x v="0"/>
    <n v="138"/>
    <x v="318"/>
    <n v="1.1000000000000001"/>
    <s v="Cash"/>
  </r>
  <r>
    <n v="4074"/>
    <x v="29"/>
    <n v="88.827586206896498"/>
    <x v="272"/>
    <n v="1.1000000000000001"/>
    <s v="Cash"/>
  </r>
  <r>
    <n v="4034"/>
    <x v="45"/>
    <n v="106.297872340425"/>
    <x v="207"/>
    <n v="4.2"/>
    <s v="Cash"/>
  </r>
  <r>
    <n v="4102"/>
    <x v="41"/>
    <n v="117.354166666666"/>
    <x v="86"/>
    <n v="3"/>
    <s v="Credit Card"/>
  </r>
  <r>
    <n v="3990"/>
    <x v="39"/>
    <n v="97"/>
    <x v="13"/>
    <n v="3.5"/>
    <s v="Cash"/>
  </r>
  <r>
    <n v="4035"/>
    <x v="20"/>
    <n v="31"/>
    <x v="67"/>
    <n v="3.3"/>
    <s v="Cash"/>
  </r>
  <r>
    <n v="4000"/>
    <x v="0"/>
    <n v="54"/>
    <x v="319"/>
    <n v="4.0999999999999996"/>
    <s v="Cash"/>
  </r>
  <r>
    <n v="4023"/>
    <x v="34"/>
    <n v="90.925925925925895"/>
    <x v="151"/>
    <n v="4.2"/>
    <s v="Credit Card"/>
  </r>
  <r>
    <n v="4015"/>
    <x v="4"/>
    <n v="122"/>
    <x v="139"/>
    <n v="1.4"/>
    <s v="Cash"/>
  </r>
  <r>
    <n v="4080"/>
    <x v="38"/>
    <n v="166"/>
    <x v="74"/>
    <n v="3.4"/>
    <s v="Credit Card"/>
  </r>
  <r>
    <n v="4052"/>
    <x v="13"/>
    <n v="103.108695652173"/>
    <x v="70"/>
    <n v="4"/>
    <s v="Credit Card"/>
  </r>
  <r>
    <n v="4030"/>
    <x v="30"/>
    <n v="82"/>
    <x v="58"/>
    <n v="2.7"/>
    <s v="Cash"/>
  </r>
  <r>
    <n v="3969"/>
    <x v="10"/>
    <n v="96"/>
    <x v="76"/>
    <n v="2.8"/>
    <s v="Cash"/>
  </r>
  <r>
    <n v="3994"/>
    <x v="35"/>
    <n v="23"/>
    <x v="176"/>
    <n v="4"/>
    <s v="Credit Card"/>
  </r>
  <r>
    <n v="4047"/>
    <x v="23"/>
    <n v="175"/>
    <x v="38"/>
    <n v="1.3"/>
    <s v="Cash"/>
  </r>
  <r>
    <n v="4029"/>
    <x v="15"/>
    <n v="94"/>
    <x v="222"/>
    <n v="2.4"/>
    <s v="Cash"/>
  </r>
  <r>
    <n v="4073"/>
    <x v="4"/>
    <n v="114.77966101694901"/>
    <x v="54"/>
    <n v="3.8"/>
    <s v="Credit Card"/>
  </r>
  <r>
    <n v="3999"/>
    <x v="2"/>
    <n v="82"/>
    <x v="187"/>
    <n v="2.7"/>
    <s v="Cash"/>
  </r>
  <r>
    <n v="4115"/>
    <x v="27"/>
    <n v="178"/>
    <x v="57"/>
    <n v="2.69137931034482"/>
    <s v="Credit Card"/>
  </r>
  <r>
    <n v="3998"/>
    <x v="9"/>
    <n v="164"/>
    <x v="320"/>
    <n v="1"/>
    <s v="Credit Card"/>
  </r>
  <r>
    <n v="4094"/>
    <x v="46"/>
    <n v="95"/>
    <x v="100"/>
    <n v="1.1000000000000001"/>
    <s v="Credit Card"/>
  </r>
  <r>
    <n v="4030"/>
    <x v="18"/>
    <n v="105.95348837209301"/>
    <x v="105"/>
    <n v="2.7"/>
    <s v="Cash"/>
  </r>
  <r>
    <n v="4003"/>
    <x v="46"/>
    <n v="99"/>
    <x v="293"/>
    <n v="1.9"/>
    <s v="Credit Card"/>
  </r>
  <r>
    <n v="4001"/>
    <x v="21"/>
    <n v="177"/>
    <x v="264"/>
    <n v="2.2999999999999998"/>
    <s v="Cash"/>
  </r>
  <r>
    <n v="3996"/>
    <x v="33"/>
    <n v="110"/>
    <x v="321"/>
    <n v="3.7"/>
    <s v="Credit Card"/>
  </r>
  <r>
    <n v="3998"/>
    <x v="13"/>
    <n v="103.108695652173"/>
    <x v="160"/>
    <n v="3.3"/>
    <s v="Credit Card"/>
  </r>
  <r>
    <n v="4017"/>
    <x v="27"/>
    <n v="31"/>
    <x v="186"/>
    <n v="4.5"/>
    <s v="Cash"/>
  </r>
  <r>
    <n v="3986"/>
    <x v="7"/>
    <n v="106"/>
    <x v="309"/>
    <n v="1.6"/>
    <s v="Credit Card"/>
  </r>
  <r>
    <n v="3967"/>
    <x v="25"/>
    <n v="94"/>
    <x v="204"/>
    <n v="1.8"/>
    <s v="Cash"/>
  </r>
  <r>
    <n v="4038"/>
    <x v="31"/>
    <n v="181"/>
    <x v="166"/>
    <n v="1.1000000000000001"/>
    <s v="Credit Card"/>
  </r>
  <r>
    <n v="4104"/>
    <x v="41"/>
    <n v="199"/>
    <x v="233"/>
    <n v="4.4000000000000004"/>
    <s v="Cash"/>
  </r>
  <r>
    <n v="3989"/>
    <x v="7"/>
    <n v="144"/>
    <x v="143"/>
    <n v="3.2"/>
    <s v="Credit Card"/>
  </r>
  <r>
    <n v="4069"/>
    <x v="47"/>
    <n v="114.217391304347"/>
    <x v="231"/>
    <n v="2.2999999999999998"/>
    <s v="Cash"/>
  </r>
  <r>
    <n v="4023"/>
    <x v="9"/>
    <n v="140"/>
    <x v="303"/>
    <n v="1.9"/>
    <s v="Cash"/>
  </r>
  <r>
    <n v="4051"/>
    <x v="30"/>
    <n v="102"/>
    <x v="42"/>
    <n v="2.2000000000000002"/>
    <s v="Cash"/>
  </r>
  <r>
    <n v="4004"/>
    <x v="16"/>
    <n v="64"/>
    <x v="53"/>
    <n v="2.1"/>
    <s v="Credit Card"/>
  </r>
  <r>
    <n v="4009"/>
    <x v="9"/>
    <n v="134"/>
    <x v="197"/>
    <n v="1.9"/>
    <s v="Credit Card"/>
  </r>
  <r>
    <n v="4100"/>
    <x v="26"/>
    <n v="111.854838709677"/>
    <x v="180"/>
    <n v="1.5"/>
    <s v="Credit Card"/>
  </r>
  <r>
    <n v="3965"/>
    <x v="49"/>
    <n v="49"/>
    <x v="288"/>
    <n v="2.8"/>
    <s v="Cash"/>
  </r>
  <r>
    <n v="4038"/>
    <x v="23"/>
    <n v="112.745762711864"/>
    <x v="229"/>
    <n v="2.5"/>
    <s v="Credit Card"/>
  </r>
  <r>
    <n v="4045"/>
    <x v="16"/>
    <n v="35"/>
    <x v="322"/>
    <n v="4"/>
    <s v="Cash"/>
  </r>
  <r>
    <n v="3994"/>
    <x v="23"/>
    <n v="148"/>
    <x v="245"/>
    <n v="2.5"/>
    <s v="Credit Card"/>
  </r>
  <r>
    <n v="4052"/>
    <x v="49"/>
    <n v="144"/>
    <x v="198"/>
    <n v="2.6"/>
    <s v="Credit Card"/>
  </r>
  <r>
    <n v="4071"/>
    <x v="46"/>
    <n v="107.26027397260199"/>
    <x v="188"/>
    <n v="2.5"/>
    <s v="Cash"/>
  </r>
  <r>
    <n v="4095"/>
    <x v="24"/>
    <n v="168"/>
    <x v="26"/>
    <n v="1.4"/>
    <s v="Credit Card"/>
  </r>
  <r>
    <n v="3998"/>
    <x v="12"/>
    <n v="102.377358490566"/>
    <x v="163"/>
    <n v="4.7"/>
    <s v="Cash"/>
  </r>
  <r>
    <n v="4093"/>
    <x v="3"/>
    <n v="51"/>
    <x v="163"/>
    <n v="1.5"/>
    <s v="Cash"/>
  </r>
  <r>
    <n v="4034"/>
    <x v="37"/>
    <n v="108.54716981132"/>
    <x v="121"/>
    <n v="1.5"/>
    <s v="Credit Card"/>
  </r>
  <r>
    <n v="3988"/>
    <x v="32"/>
    <n v="169"/>
    <x v="259"/>
    <n v="3.4"/>
    <s v="Credit Card"/>
  </r>
  <r>
    <n v="3963"/>
    <x v="28"/>
    <n v="52"/>
    <x v="229"/>
    <n v="2.2999999999999998"/>
    <s v="Cash"/>
  </r>
  <r>
    <n v="4060"/>
    <x v="49"/>
    <n v="21"/>
    <x v="198"/>
    <n v="4.9000000000000004"/>
    <s v="Credit Card"/>
  </r>
  <r>
    <n v="4084"/>
    <x v="12"/>
    <n v="183"/>
    <x v="148"/>
    <n v="2.4"/>
    <s v="Credit Card"/>
  </r>
  <r>
    <n v="3994"/>
    <x v="48"/>
    <n v="123"/>
    <x v="117"/>
    <n v="1.4"/>
    <s v="Cash"/>
  </r>
  <r>
    <n v="4074"/>
    <x v="22"/>
    <n v="124"/>
    <x v="57"/>
    <n v="1"/>
    <s v="Cash"/>
  </r>
  <r>
    <n v="4038"/>
    <x v="39"/>
    <n v="71"/>
    <x v="92"/>
    <n v="2.6"/>
    <s v="Credit Card"/>
  </r>
  <r>
    <n v="3996"/>
    <x v="14"/>
    <n v="130"/>
    <x v="317"/>
    <n v="2.4"/>
    <s v="Cash"/>
  </r>
  <r>
    <n v="3958"/>
    <x v="33"/>
    <n v="59"/>
    <x v="10"/>
    <n v="4.3"/>
    <s v="Credit Card"/>
  </r>
  <r>
    <n v="4096"/>
    <x v="9"/>
    <n v="156"/>
    <x v="314"/>
    <n v="4.4000000000000004"/>
    <s v="Cash"/>
  </r>
  <r>
    <n v="4086"/>
    <x v="4"/>
    <n v="128"/>
    <x v="205"/>
    <n v="5"/>
    <s v="Credit Card"/>
  </r>
  <r>
    <n v="4041"/>
    <x v="49"/>
    <n v="107"/>
    <x v="118"/>
    <n v="3.19629629629629"/>
    <s v="Credit Card"/>
  </r>
  <r>
    <n v="4122"/>
    <x v="19"/>
    <n v="117"/>
    <x v="55"/>
    <n v="2.6"/>
    <s v="Credit Card"/>
  </r>
  <r>
    <n v="4032"/>
    <x v="38"/>
    <n v="61"/>
    <x v="159"/>
    <n v="4.8"/>
    <s v="Cash"/>
  </r>
  <r>
    <n v="4078"/>
    <x v="10"/>
    <n v="45"/>
    <x v="60"/>
    <n v="3.6"/>
    <s v="Credit Card"/>
  </r>
  <r>
    <n v="4031"/>
    <x v="11"/>
    <n v="23"/>
    <x v="140"/>
    <n v="1.6"/>
    <s v="Credit Card"/>
  </r>
  <r>
    <n v="4103"/>
    <x v="23"/>
    <n v="105"/>
    <x v="2"/>
    <n v="3.3"/>
    <s v="Credit Card"/>
  </r>
  <r>
    <n v="3994"/>
    <x v="24"/>
    <n v="36"/>
    <x v="141"/>
    <n v="1.6"/>
    <s v="Credit Card"/>
  </r>
  <r>
    <n v="4101"/>
    <x v="48"/>
    <n v="142"/>
    <x v="323"/>
    <n v="4"/>
    <s v="Credit Card"/>
  </r>
  <r>
    <n v="4070"/>
    <x v="6"/>
    <n v="82"/>
    <x v="93"/>
    <n v="2.9230769230769198"/>
    <s v="Cash"/>
  </r>
  <r>
    <n v="4043"/>
    <x v="21"/>
    <n v="107.68518518518501"/>
    <x v="199"/>
    <n v="4.5"/>
    <s v="Cash"/>
  </r>
  <r>
    <n v="3985"/>
    <x v="18"/>
    <n v="105.95348837209301"/>
    <x v="63"/>
    <n v="2.5"/>
    <s v="Cash"/>
  </r>
  <r>
    <n v="4079"/>
    <x v="33"/>
    <n v="141"/>
    <x v="75"/>
    <n v="1.6"/>
    <s v="Credit Card"/>
  </r>
  <r>
    <n v="3967"/>
    <x v="4"/>
    <n v="114.77966101694901"/>
    <x v="103"/>
    <n v="4.7"/>
    <s v="Cash"/>
  </r>
  <r>
    <n v="3992"/>
    <x v="42"/>
    <n v="66"/>
    <x v="245"/>
    <n v="4"/>
    <s v="Cash"/>
  </r>
  <r>
    <n v="4098"/>
    <x v="40"/>
    <n v="99"/>
    <x v="324"/>
    <n v="1.7"/>
    <s v="Cash"/>
  </r>
  <r>
    <n v="3986"/>
    <x v="32"/>
    <n v="116"/>
    <x v="288"/>
    <n v="1.4"/>
    <s v="Cash"/>
  </r>
  <r>
    <n v="4035"/>
    <x v="8"/>
    <n v="120.375"/>
    <x v="182"/>
    <n v="3"/>
    <s v="Cash"/>
  </r>
  <r>
    <n v="3963"/>
    <x v="44"/>
    <n v="70"/>
    <x v="325"/>
    <n v="3.5"/>
    <s v="Cash"/>
  </r>
  <r>
    <n v="4059"/>
    <x v="26"/>
    <n v="30"/>
    <x v="294"/>
    <n v="2.1"/>
    <s v="Cash"/>
  </r>
  <r>
    <n v="4115"/>
    <x v="21"/>
    <n v="17"/>
    <x v="42"/>
    <n v="4.0999999999999996"/>
    <s v="Cash"/>
  </r>
  <r>
    <n v="4013"/>
    <x v="34"/>
    <n v="35"/>
    <x v="178"/>
    <n v="4.5999999999999996"/>
    <s v="Cash"/>
  </r>
  <r>
    <n v="4071"/>
    <x v="45"/>
    <n v="176"/>
    <x v="52"/>
    <n v="3.1235294117647001"/>
    <s v="Cash"/>
  </r>
  <r>
    <n v="4048"/>
    <x v="30"/>
    <n v="47"/>
    <x v="226"/>
    <n v="4.7"/>
    <s v="Cash"/>
  </r>
  <r>
    <n v="3980"/>
    <x v="20"/>
    <n v="107.949152542372"/>
    <x v="36"/>
    <n v="3.1651515151515102"/>
    <s v="Cash"/>
  </r>
  <r>
    <n v="4040"/>
    <x v="8"/>
    <n v="130"/>
    <x v="163"/>
    <n v="3.4"/>
    <s v="Credit Card"/>
  </r>
  <r>
    <n v="3971"/>
    <x v="30"/>
    <n v="45"/>
    <x v="275"/>
    <n v="1.6"/>
    <s v="Cash"/>
  </r>
  <r>
    <n v="4112"/>
    <x v="23"/>
    <n v="130"/>
    <x v="62"/>
    <n v="2.8291666666666599"/>
    <s v="Credit Card"/>
  </r>
  <r>
    <n v="4121"/>
    <x v="39"/>
    <n v="11"/>
    <x v="304"/>
    <n v="1.4"/>
    <s v="Cash"/>
  </r>
  <r>
    <n v="4006"/>
    <x v="6"/>
    <n v="14"/>
    <x v="227"/>
    <n v="1.4"/>
    <s v="Cash"/>
  </r>
  <r>
    <n v="4106"/>
    <x v="9"/>
    <n v="48"/>
    <x v="114"/>
    <n v="4.9000000000000004"/>
    <s v="Cash"/>
  </r>
  <r>
    <n v="4091"/>
    <x v="19"/>
    <n v="196"/>
    <x v="69"/>
    <n v="3.1"/>
    <s v="Cash"/>
  </r>
  <r>
    <n v="4013"/>
    <x v="3"/>
    <n v="118"/>
    <x v="27"/>
    <n v="3.4"/>
    <s v="Cash"/>
  </r>
  <r>
    <n v="4028"/>
    <x v="25"/>
    <n v="103.98245614035"/>
    <x v="10"/>
    <n v="2.2000000000000002"/>
    <s v="Cash"/>
  </r>
  <r>
    <n v="4007"/>
    <x v="41"/>
    <n v="87"/>
    <x v="240"/>
    <n v="4.5999999999999996"/>
    <s v="Cash"/>
  </r>
  <r>
    <n v="3962"/>
    <x v="45"/>
    <n v="106.297872340425"/>
    <x v="223"/>
    <n v="3.6"/>
    <s v="Credit Card"/>
  </r>
  <r>
    <n v="3978"/>
    <x v="47"/>
    <n v="173"/>
    <x v="109"/>
    <n v="3.5"/>
    <s v="Cash"/>
  </r>
  <r>
    <n v="4094"/>
    <x v="2"/>
    <n v="127"/>
    <x v="17"/>
    <n v="2.9"/>
    <s v="Credit Card"/>
  </r>
  <r>
    <n v="4071"/>
    <x v="21"/>
    <n v="107.68518518518501"/>
    <x v="148"/>
    <n v="4.4000000000000004"/>
    <s v="Cash"/>
  </r>
  <r>
    <n v="3979"/>
    <x v="4"/>
    <n v="137"/>
    <x v="131"/>
    <n v="1.9"/>
    <s v="Credit Card"/>
  </r>
  <r>
    <n v="4088"/>
    <x v="13"/>
    <n v="14"/>
    <x v="252"/>
    <n v="4.8"/>
    <s v="Credit Card"/>
  </r>
  <r>
    <n v="4057"/>
    <x v="45"/>
    <n v="157"/>
    <x v="299"/>
    <n v="1.3"/>
    <s v="Credit Card"/>
  </r>
  <r>
    <n v="4006"/>
    <x v="36"/>
    <n v="46"/>
    <x v="187"/>
    <n v="3.0230769230769199"/>
    <s v="Cash"/>
  </r>
  <r>
    <n v="4082"/>
    <x v="24"/>
    <n v="10"/>
    <x v="94"/>
    <n v="4.5"/>
    <s v="Cash"/>
  </r>
  <r>
    <n v="4038"/>
    <x v="5"/>
    <n v="71"/>
    <x v="112"/>
    <n v="1.9"/>
    <s v="Cash"/>
  </r>
  <r>
    <n v="4111"/>
    <x v="48"/>
    <n v="57"/>
    <x v="87"/>
    <n v="3.6"/>
    <s v="Credit Card"/>
  </r>
  <r>
    <n v="4111"/>
    <x v="36"/>
    <n v="31"/>
    <x v="326"/>
    <n v="4.9000000000000004"/>
    <s v="Credit Card"/>
  </r>
  <r>
    <n v="4087"/>
    <x v="34"/>
    <n v="102"/>
    <x v="29"/>
    <n v="3.1"/>
    <s v="Cash"/>
  </r>
  <r>
    <n v="3971"/>
    <x v="14"/>
    <n v="110.56666666666599"/>
    <x v="151"/>
    <n v="4.5"/>
    <s v="Cash"/>
  </r>
  <r>
    <n v="4049"/>
    <x v="9"/>
    <n v="139"/>
    <x v="244"/>
    <n v="1.5"/>
    <s v="Credit Card"/>
  </r>
  <r>
    <n v="4058"/>
    <x v="35"/>
    <n v="139"/>
    <x v="198"/>
    <n v="3.6"/>
    <s v="Cash"/>
  </r>
  <r>
    <n v="3994"/>
    <x v="12"/>
    <n v="109"/>
    <x v="67"/>
    <n v="4.7"/>
    <s v="Credit Card"/>
  </r>
  <r>
    <n v="4066"/>
    <x v="45"/>
    <n v="21"/>
    <x v="300"/>
    <n v="3.1235294117647001"/>
    <s v="Cash"/>
  </r>
  <r>
    <n v="4051"/>
    <x v="16"/>
    <n v="105"/>
    <x v="121"/>
    <n v="2.5"/>
    <s v="Credit Card"/>
  </r>
  <r>
    <n v="4055"/>
    <x v="37"/>
    <n v="14"/>
    <x v="15"/>
    <n v="3.0546875"/>
    <s v="Cash"/>
  </r>
  <r>
    <n v="4052"/>
    <x v="25"/>
    <n v="27"/>
    <x v="312"/>
    <n v="1.7"/>
    <s v="Cash"/>
  </r>
  <r>
    <n v="3960"/>
    <x v="31"/>
    <n v="197"/>
    <x v="136"/>
    <n v="1.1000000000000001"/>
    <s v="Cash"/>
  </r>
  <r>
    <n v="4029"/>
    <x v="37"/>
    <n v="36"/>
    <x v="39"/>
    <n v="1.6"/>
    <s v="Cash"/>
  </r>
  <r>
    <n v="4045"/>
    <x v="13"/>
    <n v="198"/>
    <x v="298"/>
    <n v="3.3"/>
    <s v="Cash"/>
  </r>
  <r>
    <n v="4046"/>
    <x v="47"/>
    <n v="44"/>
    <x v="135"/>
    <n v="2.4"/>
    <s v="Cash"/>
  </r>
  <r>
    <n v="4035"/>
    <x v="10"/>
    <n v="103.354166666666"/>
    <x v="307"/>
    <n v="4.3"/>
    <s v="Credit Card"/>
  </r>
  <r>
    <n v="4071"/>
    <x v="31"/>
    <n v="174"/>
    <x v="297"/>
    <n v="2.8"/>
    <s v="Credit Card"/>
  </r>
  <r>
    <n v="4100"/>
    <x v="25"/>
    <n v="103.98245614035"/>
    <x v="113"/>
    <n v="3.5"/>
    <s v="Credit Card"/>
  </r>
  <r>
    <n v="3979"/>
    <x v="31"/>
    <n v="128"/>
    <x v="162"/>
    <n v="1.5"/>
    <s v="Credit Card"/>
  </r>
  <r>
    <n v="4012"/>
    <x v="27"/>
    <n v="132"/>
    <x v="141"/>
    <n v="4.0999999999999996"/>
    <s v="Cash"/>
  </r>
  <r>
    <n v="4070"/>
    <x v="3"/>
    <n v="44"/>
    <x v="192"/>
    <n v="2.2999999999999998"/>
    <s v="Cash"/>
  </r>
  <r>
    <n v="4063"/>
    <x v="2"/>
    <n v="100.68"/>
    <x v="129"/>
    <n v="2"/>
    <s v="Credit Card"/>
  </r>
  <r>
    <n v="4070"/>
    <x v="31"/>
    <n v="127"/>
    <x v="80"/>
    <n v="2.9"/>
    <s v="Credit Card"/>
  </r>
  <r>
    <n v="4030"/>
    <x v="38"/>
    <n v="106.80769230769199"/>
    <x v="86"/>
    <n v="3.7"/>
    <s v="Cash"/>
  </r>
  <r>
    <n v="3998"/>
    <x v="39"/>
    <n v="61"/>
    <x v="15"/>
    <n v="2.4"/>
    <s v="Credit Card"/>
  </r>
  <r>
    <n v="4065"/>
    <x v="19"/>
    <n v="90"/>
    <x v="315"/>
    <n v="1.3"/>
    <s v="Cash"/>
  </r>
  <r>
    <n v="4063"/>
    <x v="31"/>
    <n v="141"/>
    <x v="327"/>
    <n v="3.6"/>
    <s v="Credit Card"/>
  </r>
  <r>
    <n v="3992"/>
    <x v="6"/>
    <n v="149"/>
    <x v="179"/>
    <n v="1.5"/>
    <s v="Cash"/>
  </r>
  <r>
    <n v="4107"/>
    <x v="14"/>
    <n v="19"/>
    <x v="82"/>
    <n v="2.8"/>
    <s v="Credit Card"/>
  </r>
  <r>
    <n v="4110"/>
    <x v="33"/>
    <n v="58"/>
    <x v="212"/>
    <n v="3.2"/>
    <s v="Cash"/>
  </r>
  <r>
    <n v="3979"/>
    <x v="28"/>
    <n v="22"/>
    <x v="183"/>
    <n v="4.5"/>
    <s v="Credit Card"/>
  </r>
  <r>
    <n v="3993"/>
    <x v="26"/>
    <n v="94"/>
    <x v="104"/>
    <n v="2.7"/>
    <s v="Cash"/>
  </r>
  <r>
    <n v="4010"/>
    <x v="35"/>
    <n v="104"/>
    <x v="234"/>
    <n v="1.3"/>
    <s v="Credit Card"/>
  </r>
  <r>
    <n v="4034"/>
    <x v="21"/>
    <n v="112"/>
    <x v="211"/>
    <n v="3"/>
    <s v="Credit Card"/>
  </r>
  <r>
    <n v="4078"/>
    <x v="34"/>
    <n v="108"/>
    <x v="16"/>
    <n v="4.8"/>
    <s v="Credit Card"/>
  </r>
  <r>
    <n v="4091"/>
    <x v="3"/>
    <n v="57"/>
    <x v="194"/>
    <n v="1.8"/>
    <s v="Cash"/>
  </r>
  <r>
    <n v="4042"/>
    <x v="8"/>
    <n v="137"/>
    <x v="328"/>
    <n v="1.9"/>
    <s v="Credit Card"/>
  </r>
  <r>
    <n v="3973"/>
    <x v="40"/>
    <n v="142"/>
    <x v="107"/>
    <n v="2.9761904761904701"/>
    <s v="Cash"/>
  </r>
  <r>
    <n v="4108"/>
    <x v="28"/>
    <n v="31"/>
    <x v="328"/>
    <n v="2.4"/>
    <s v="Cash"/>
  </r>
  <r>
    <n v="4053"/>
    <x v="34"/>
    <n v="30"/>
    <x v="294"/>
    <n v="1.6"/>
    <s v="Cash"/>
  </r>
  <r>
    <n v="3979"/>
    <x v="21"/>
    <n v="56"/>
    <x v="248"/>
    <n v="3.1"/>
    <s v="Credit Card"/>
  </r>
  <r>
    <n v="3958"/>
    <x v="21"/>
    <n v="92"/>
    <x v="88"/>
    <n v="2.5"/>
    <s v="Credit Card"/>
  </r>
  <r>
    <n v="4061"/>
    <x v="18"/>
    <n v="105.95348837209301"/>
    <x v="207"/>
    <n v="4.8"/>
    <s v="Cash"/>
  </r>
  <r>
    <n v="4120"/>
    <x v="22"/>
    <n v="85"/>
    <x v="89"/>
    <n v="2.5"/>
    <s v="Cash"/>
  </r>
  <r>
    <n v="4026"/>
    <x v="46"/>
    <n v="164"/>
    <x v="48"/>
    <n v="1.7"/>
    <s v="Credit Card"/>
  </r>
  <r>
    <n v="4063"/>
    <x v="42"/>
    <n v="52"/>
    <x v="150"/>
    <n v="3.5"/>
    <s v="Cash"/>
  </r>
  <r>
    <n v="4001"/>
    <x v="26"/>
    <n v="99"/>
    <x v="68"/>
    <n v="4"/>
    <s v="Credit Card"/>
  </r>
  <r>
    <n v="4099"/>
    <x v="43"/>
    <n v="196"/>
    <x v="329"/>
    <n v="4.8"/>
    <s v="Credit Card"/>
  </r>
  <r>
    <n v="4075"/>
    <x v="29"/>
    <n v="100"/>
    <x v="272"/>
    <n v="4.4000000000000004"/>
    <s v="Credit Card"/>
  </r>
  <r>
    <n v="4102"/>
    <x v="6"/>
    <n v="121"/>
    <x v="210"/>
    <n v="4.8"/>
    <s v="Credit Card"/>
  </r>
  <r>
    <n v="3992"/>
    <x v="26"/>
    <n v="24"/>
    <x v="84"/>
    <n v="2.2000000000000002"/>
    <s v="Credit Card"/>
  </r>
  <r>
    <n v="4008"/>
    <x v="45"/>
    <n v="106.297872340425"/>
    <x v="204"/>
    <n v="4.9000000000000004"/>
    <s v="Cash"/>
  </r>
  <r>
    <n v="4004"/>
    <x v="35"/>
    <n v="103"/>
    <x v="330"/>
    <n v="2.9"/>
    <s v="Cash"/>
  </r>
  <r>
    <n v="4054"/>
    <x v="22"/>
    <n v="183"/>
    <x v="145"/>
    <n v="4.8"/>
    <s v="Credit Card"/>
  </r>
  <r>
    <n v="4031"/>
    <x v="18"/>
    <n v="105.95348837209301"/>
    <x v="52"/>
    <n v="2.8545454545454501"/>
    <s v="Credit Card"/>
  </r>
  <r>
    <n v="4098"/>
    <x v="6"/>
    <n v="105.81034482758599"/>
    <x v="331"/>
    <n v="3.2"/>
    <s v="Credit Card"/>
  </r>
  <r>
    <n v="4082"/>
    <x v="48"/>
    <n v="183"/>
    <x v="271"/>
    <n v="4.7"/>
    <s v="Credit Card"/>
  </r>
  <r>
    <n v="3967"/>
    <x v="2"/>
    <n v="18"/>
    <x v="235"/>
    <n v="4.8"/>
    <s v="Cash"/>
  </r>
  <r>
    <n v="4034"/>
    <x v="6"/>
    <n v="105.81034482758599"/>
    <x v="130"/>
    <n v="2.9230769230769198"/>
    <s v="Cash"/>
  </r>
  <r>
    <n v="4106"/>
    <x v="20"/>
    <n v="175"/>
    <x v="332"/>
    <n v="1.6"/>
    <s v="Credit Card"/>
  </r>
  <r>
    <n v="4034"/>
    <x v="12"/>
    <n v="108"/>
    <x v="211"/>
    <n v="4.0999999999999996"/>
    <s v="Cash"/>
  </r>
  <r>
    <n v="4083"/>
    <x v="21"/>
    <n v="18"/>
    <x v="73"/>
    <n v="4.8"/>
    <s v="Cash"/>
  </r>
  <r>
    <n v="4100"/>
    <x v="4"/>
    <n v="183"/>
    <x v="333"/>
    <n v="4.0999999999999996"/>
    <s v="Credit Card"/>
  </r>
  <r>
    <n v="4075"/>
    <x v="1"/>
    <n v="104"/>
    <x v="217"/>
    <n v="2.6"/>
    <s v="Credit Card"/>
  </r>
  <r>
    <n v="4014"/>
    <x v="4"/>
    <n v="29"/>
    <x v="102"/>
    <n v="4.3"/>
    <s v="Cash"/>
  </r>
  <r>
    <n v="3963"/>
    <x v="5"/>
    <n v="145"/>
    <x v="286"/>
    <n v="2.8953488372092999"/>
    <s v="Cash"/>
  </r>
  <r>
    <n v="3957"/>
    <x v="38"/>
    <n v="90"/>
    <x v="60"/>
    <n v="2.1"/>
    <s v="Credit Card"/>
  </r>
  <r>
    <n v="3996"/>
    <x v="21"/>
    <n v="73"/>
    <x v="52"/>
    <n v="1.5"/>
    <s v="Cash"/>
  </r>
  <r>
    <n v="4024"/>
    <x v="11"/>
    <n v="16"/>
    <x v="26"/>
    <n v="4.8"/>
    <s v="Cash"/>
  </r>
  <r>
    <n v="4033"/>
    <x v="12"/>
    <n v="137"/>
    <x v="92"/>
    <n v="2.8"/>
    <s v="Cash"/>
  </r>
  <r>
    <n v="4120"/>
    <x v="16"/>
    <n v="153"/>
    <x v="174"/>
    <n v="4"/>
    <s v="Cash"/>
  </r>
  <r>
    <n v="4119"/>
    <x v="24"/>
    <n v="103.267857142857"/>
    <x v="197"/>
    <n v="2.88305084745762"/>
    <s v="Cash"/>
  </r>
  <r>
    <n v="4077"/>
    <x v="27"/>
    <n v="190"/>
    <x v="216"/>
    <n v="2.2000000000000002"/>
    <s v="Credit Card"/>
  </r>
  <r>
    <n v="3988"/>
    <x v="41"/>
    <n v="166"/>
    <x v="334"/>
    <n v="3.5"/>
    <s v="Credit Card"/>
  </r>
  <r>
    <n v="4030"/>
    <x v="8"/>
    <n v="135"/>
    <x v="335"/>
    <n v="3.6"/>
    <s v="Cash"/>
  </r>
  <r>
    <n v="4063"/>
    <x v="34"/>
    <n v="44"/>
    <x v="336"/>
    <n v="1.5"/>
    <s v="Credit Card"/>
  </r>
  <r>
    <n v="4002"/>
    <x v="48"/>
    <n v="125"/>
    <x v="309"/>
    <n v="2.8"/>
    <s v="Credit Card"/>
  </r>
  <r>
    <n v="4082"/>
    <x v="19"/>
    <n v="120.22"/>
    <x v="295"/>
    <n v="3.02830188679245"/>
    <s v="Credit Card"/>
  </r>
  <r>
    <n v="4122"/>
    <x v="35"/>
    <n v="32"/>
    <x v="94"/>
    <n v="4.5999999999999996"/>
    <s v="Cash"/>
  </r>
  <r>
    <n v="4019"/>
    <x v="28"/>
    <n v="91"/>
    <x v="228"/>
    <n v="2.1"/>
    <s v="Cash"/>
  </r>
  <r>
    <n v="3964"/>
    <x v="23"/>
    <n v="191"/>
    <x v="113"/>
    <n v="2.5"/>
    <s v="Credit Card"/>
  </r>
  <r>
    <n v="3987"/>
    <x v="38"/>
    <n v="106.80769230769199"/>
    <x v="57"/>
    <n v="1.5"/>
    <s v="Credit Card"/>
  </r>
  <r>
    <n v="4027"/>
    <x v="41"/>
    <n v="86"/>
    <x v="235"/>
    <n v="3.3"/>
    <s v="Cash"/>
  </r>
  <r>
    <n v="4083"/>
    <x v="46"/>
    <n v="192"/>
    <x v="240"/>
    <n v="3.8"/>
    <s v="Cash"/>
  </r>
  <r>
    <n v="3974"/>
    <x v="7"/>
    <n v="189"/>
    <x v="1"/>
    <n v="4"/>
    <s v="Cash"/>
  </r>
  <r>
    <n v="4110"/>
    <x v="21"/>
    <n v="102"/>
    <x v="27"/>
    <n v="1.4"/>
    <s v="Credit Card"/>
  </r>
  <r>
    <n v="4049"/>
    <x v="2"/>
    <n v="41"/>
    <x v="36"/>
    <n v="3.4"/>
    <s v="Cash"/>
  </r>
  <r>
    <n v="4105"/>
    <x v="18"/>
    <n v="45"/>
    <x v="236"/>
    <n v="2.5"/>
    <s v="Cash"/>
  </r>
  <r>
    <n v="4080"/>
    <x v="47"/>
    <n v="136"/>
    <x v="188"/>
    <n v="3.7"/>
    <s v="Cash"/>
  </r>
  <r>
    <n v="4101"/>
    <x v="46"/>
    <n v="107.26027397260199"/>
    <x v="163"/>
    <n v="4.9000000000000004"/>
    <s v="Cash"/>
  </r>
  <r>
    <n v="4068"/>
    <x v="14"/>
    <n v="104"/>
    <x v="154"/>
    <n v="3.6"/>
    <s v="Credit Card"/>
  </r>
  <r>
    <n v="4023"/>
    <x v="37"/>
    <n v="151"/>
    <x v="247"/>
    <n v="2.1"/>
    <s v="Credit Card"/>
  </r>
  <r>
    <n v="4117"/>
    <x v="40"/>
    <n v="114.396551724137"/>
    <x v="269"/>
    <n v="2.1"/>
    <s v="Cash"/>
  </r>
  <r>
    <n v="4078"/>
    <x v="14"/>
    <n v="26"/>
    <x v="237"/>
    <n v="3"/>
    <s v="Credit Card"/>
  </r>
  <r>
    <n v="3987"/>
    <x v="44"/>
    <n v="193"/>
    <x v="327"/>
    <n v="4.3"/>
    <s v="Credit Card"/>
  </r>
  <r>
    <n v="4052"/>
    <x v="17"/>
    <n v="144"/>
    <x v="6"/>
    <n v="1.3"/>
    <s v="Cash"/>
  </r>
  <r>
    <n v="4088"/>
    <x v="26"/>
    <n v="114"/>
    <x v="212"/>
    <n v="4.2"/>
    <s v="Credit Card"/>
  </r>
  <r>
    <n v="4104"/>
    <x v="6"/>
    <n v="28"/>
    <x v="287"/>
    <n v="3"/>
    <s v="Credit Card"/>
  </r>
  <r>
    <n v="3961"/>
    <x v="25"/>
    <n v="103.98245614035"/>
    <x v="213"/>
    <n v="3.7"/>
    <s v="Cash"/>
  </r>
  <r>
    <n v="4023"/>
    <x v="39"/>
    <n v="28"/>
    <x v="186"/>
    <n v="4.0999999999999996"/>
    <s v="Credit Card"/>
  </r>
  <r>
    <n v="3998"/>
    <x v="42"/>
    <n v="184"/>
    <x v="21"/>
    <n v="3.2"/>
    <s v="Cash"/>
  </r>
  <r>
    <n v="4105"/>
    <x v="17"/>
    <n v="42"/>
    <x v="327"/>
    <n v="2.5"/>
    <s v="Credit Card"/>
  </r>
  <r>
    <n v="3971"/>
    <x v="37"/>
    <n v="151"/>
    <x v="224"/>
    <n v="4.7"/>
    <s v="Credit Card"/>
  </r>
  <r>
    <n v="3994"/>
    <x v="0"/>
    <n v="56"/>
    <x v="243"/>
    <n v="3.4"/>
    <s v="Cash"/>
  </r>
  <r>
    <n v="4038"/>
    <x v="34"/>
    <n v="43"/>
    <x v="337"/>
    <n v="4.2"/>
    <s v="Cash"/>
  </r>
  <r>
    <n v="4075"/>
    <x v="1"/>
    <n v="24"/>
    <x v="202"/>
    <n v="3.3"/>
    <s v="Credit Card"/>
  </r>
  <r>
    <n v="3991"/>
    <x v="36"/>
    <n v="142"/>
    <x v="137"/>
    <n v="4.0999999999999996"/>
    <s v="Credit Card"/>
  </r>
  <r>
    <n v="4048"/>
    <x v="43"/>
    <n v="111.564102564102"/>
    <x v="71"/>
    <n v="3.7"/>
    <s v="Credit Card"/>
  </r>
  <r>
    <n v="3998"/>
    <x v="28"/>
    <n v="99.866666666666603"/>
    <x v="59"/>
    <n v="2.7"/>
    <s v="Credit Card"/>
  </r>
  <r>
    <n v="3970"/>
    <x v="19"/>
    <n v="191"/>
    <x v="180"/>
    <n v="4"/>
    <s v="Cash"/>
  </r>
  <r>
    <n v="4026"/>
    <x v="48"/>
    <n v="142"/>
    <x v="180"/>
    <n v="4.2"/>
    <s v="Credit Card"/>
  </r>
  <r>
    <n v="4049"/>
    <x v="26"/>
    <n v="30"/>
    <x v="319"/>
    <n v="3.3"/>
    <s v="Credit Card"/>
  </r>
  <r>
    <n v="4064"/>
    <x v="43"/>
    <n v="172"/>
    <x v="113"/>
    <n v="4.8"/>
    <s v="Credit Card"/>
  </r>
  <r>
    <n v="4119"/>
    <x v="36"/>
    <n v="80"/>
    <x v="73"/>
    <n v="3.5"/>
    <s v="Cash"/>
  </r>
  <r>
    <n v="4048"/>
    <x v="7"/>
    <n v="103.564102564102"/>
    <x v="291"/>
    <n v="3.7"/>
    <s v="Credit Card"/>
  </r>
  <r>
    <n v="3969"/>
    <x v="37"/>
    <n v="146"/>
    <x v="19"/>
    <n v="3.0546875"/>
    <s v="Cash"/>
  </r>
  <r>
    <n v="4031"/>
    <x v="48"/>
    <n v="123.21818181818099"/>
    <x v="182"/>
    <n v="1.1000000000000001"/>
    <s v="Cash"/>
  </r>
  <r>
    <n v="4031"/>
    <x v="49"/>
    <n v="161"/>
    <x v="171"/>
    <n v="1.4"/>
    <s v="Credit Card"/>
  </r>
  <r>
    <n v="4092"/>
    <x v="26"/>
    <n v="49"/>
    <x v="255"/>
    <n v="4.2"/>
    <s v="Credit Card"/>
  </r>
  <r>
    <n v="4120"/>
    <x v="48"/>
    <n v="123.21818181818099"/>
    <x v="29"/>
    <n v="4.4000000000000004"/>
    <s v="Cash"/>
  </r>
  <r>
    <n v="3976"/>
    <x v="3"/>
    <n v="164"/>
    <x v="338"/>
    <n v="4.3"/>
    <s v="Credit Card"/>
  </r>
  <r>
    <n v="4088"/>
    <x v="24"/>
    <n v="154"/>
    <x v="211"/>
    <n v="4.9000000000000004"/>
    <s v="Cash"/>
  </r>
  <r>
    <n v="4006"/>
    <x v="42"/>
    <n v="106.72413793103399"/>
    <x v="269"/>
    <n v="2.8"/>
    <s v="Credit Card"/>
  </r>
  <r>
    <n v="4117"/>
    <x v="48"/>
    <n v="30"/>
    <x v="307"/>
    <n v="3"/>
    <s v="Credit Card"/>
  </r>
  <r>
    <n v="4003"/>
    <x v="26"/>
    <n v="111.854838709677"/>
    <x v="339"/>
    <n v="5"/>
    <s v="Credit Card"/>
  </r>
  <r>
    <n v="3981"/>
    <x v="49"/>
    <n v="157"/>
    <x v="79"/>
    <n v="4.2"/>
    <s v="Cash"/>
  </r>
  <r>
    <n v="4110"/>
    <x v="35"/>
    <n v="63"/>
    <x v="242"/>
    <n v="4.0999999999999996"/>
    <s v="Credit Card"/>
  </r>
  <r>
    <n v="3999"/>
    <x v="28"/>
    <n v="116"/>
    <x v="78"/>
    <n v="2.2999999999999998"/>
    <s v="Cash"/>
  </r>
  <r>
    <n v="4096"/>
    <x v="29"/>
    <n v="17"/>
    <x v="34"/>
    <n v="2.4"/>
    <s v="Credit Card"/>
  </r>
  <r>
    <n v="4039"/>
    <x v="31"/>
    <n v="170"/>
    <x v="242"/>
    <n v="4.4000000000000004"/>
    <s v="Credit Card"/>
  </r>
  <r>
    <n v="4037"/>
    <x v="12"/>
    <n v="174"/>
    <x v="340"/>
    <n v="2.2999999999999998"/>
    <s v="Credit Card"/>
  </r>
  <r>
    <n v="4034"/>
    <x v="34"/>
    <n v="133"/>
    <x v="253"/>
    <n v="4"/>
    <s v="Credit Card"/>
  </r>
  <r>
    <n v="4026"/>
    <x v="30"/>
    <n v="185"/>
    <x v="54"/>
    <n v="1.9"/>
    <s v="Credit Card"/>
  </r>
  <r>
    <n v="4049"/>
    <x v="13"/>
    <n v="126"/>
    <x v="207"/>
    <n v="1.4"/>
    <s v="Cash"/>
  </r>
  <r>
    <n v="3981"/>
    <x v="46"/>
    <n v="107.26027397260199"/>
    <x v="337"/>
    <n v="3.6"/>
    <s v="Cash"/>
  </r>
  <r>
    <n v="4093"/>
    <x v="28"/>
    <n v="99.866666666666603"/>
    <x v="65"/>
    <n v="3"/>
    <s v="Cash"/>
  </r>
  <r>
    <n v="4105"/>
    <x v="26"/>
    <n v="133"/>
    <x v="205"/>
    <n v="2.5"/>
    <s v="Credit Card"/>
  </r>
  <r>
    <n v="4047"/>
    <x v="30"/>
    <n v="97"/>
    <x v="328"/>
    <n v="3.8"/>
    <s v="Cash"/>
  </r>
  <r>
    <n v="3993"/>
    <x v="47"/>
    <n v="90"/>
    <x v="8"/>
    <n v="4.2"/>
    <s v="Credit Card"/>
  </r>
  <r>
    <n v="3960"/>
    <x v="20"/>
    <n v="91"/>
    <x v="218"/>
    <n v="4"/>
    <s v="Credit Card"/>
  </r>
  <r>
    <n v="3992"/>
    <x v="44"/>
    <n v="98"/>
    <x v="341"/>
    <n v="2.2999999999999998"/>
    <s v="Credit Card"/>
  </r>
  <r>
    <n v="4089"/>
    <x v="16"/>
    <n v="43"/>
    <x v="229"/>
    <n v="3.3"/>
    <s v="Cash"/>
  </r>
  <r>
    <n v="4029"/>
    <x v="40"/>
    <n v="141"/>
    <x v="333"/>
    <n v="3.8"/>
    <s v="Credit Card"/>
  </r>
  <r>
    <n v="4052"/>
    <x v="42"/>
    <n v="91"/>
    <x v="342"/>
    <n v="4"/>
    <s v="Cash"/>
  </r>
  <r>
    <n v="4081"/>
    <x v="41"/>
    <n v="41"/>
    <x v="84"/>
    <n v="2.6"/>
    <s v="Credit Card"/>
  </r>
  <r>
    <n v="4062"/>
    <x v="37"/>
    <n v="73"/>
    <x v="239"/>
    <n v="1.8"/>
    <s v="Cash"/>
  </r>
  <r>
    <n v="4044"/>
    <x v="41"/>
    <n v="117.354166666666"/>
    <x v="34"/>
    <n v="3.07213114754098"/>
    <s v="Cash"/>
  </r>
  <r>
    <n v="3998"/>
    <x v="35"/>
    <n v="97.720588235294102"/>
    <x v="17"/>
    <n v="4.5"/>
    <s v="Credit Card"/>
  </r>
  <r>
    <n v="3983"/>
    <x v="24"/>
    <n v="167"/>
    <x v="172"/>
    <n v="2.1"/>
    <s v="Credit Card"/>
  </r>
  <r>
    <n v="4012"/>
    <x v="18"/>
    <n v="50"/>
    <x v="168"/>
    <n v="3.1"/>
    <s v="Credit Card"/>
  </r>
  <r>
    <n v="3996"/>
    <x v="9"/>
    <n v="157"/>
    <x v="273"/>
    <n v="4.7"/>
    <s v="Credit Card"/>
  </r>
  <r>
    <n v="4085"/>
    <x v="49"/>
    <n v="58"/>
    <x v="281"/>
    <n v="4.8"/>
    <s v="Credit Card"/>
  </r>
  <r>
    <n v="4013"/>
    <x v="5"/>
    <n v="137"/>
    <x v="343"/>
    <n v="4.5"/>
    <s v="Cash"/>
  </r>
  <r>
    <n v="4005"/>
    <x v="20"/>
    <n v="129"/>
    <x v="224"/>
    <n v="3.3"/>
    <s v="Credit Card"/>
  </r>
  <r>
    <n v="4100"/>
    <x v="5"/>
    <n v="88"/>
    <x v="37"/>
    <n v="2.8953488372092999"/>
    <s v="Credit Card"/>
  </r>
  <r>
    <n v="4114"/>
    <x v="38"/>
    <n v="33"/>
    <x v="281"/>
    <n v="2.8"/>
    <s v="Credit Card"/>
  </r>
  <r>
    <n v="4091"/>
    <x v="8"/>
    <n v="139"/>
    <x v="33"/>
    <n v="2.91904761904761"/>
    <s v="Credit Card"/>
  </r>
  <r>
    <n v="4093"/>
    <x v="48"/>
    <n v="71"/>
    <x v="271"/>
    <n v="3.7"/>
    <s v="Cash"/>
  </r>
  <r>
    <n v="4098"/>
    <x v="6"/>
    <n v="100"/>
    <x v="75"/>
    <n v="3"/>
    <s v="Cash"/>
  </r>
  <r>
    <n v="3986"/>
    <x v="35"/>
    <n v="97.720588235294102"/>
    <x v="278"/>
    <n v="4.9000000000000004"/>
    <s v="Cash"/>
  </r>
  <r>
    <n v="4063"/>
    <x v="26"/>
    <n v="162"/>
    <x v="206"/>
    <n v="1.9"/>
    <s v="Credit Card"/>
  </r>
  <r>
    <n v="4074"/>
    <x v="48"/>
    <n v="177"/>
    <x v="84"/>
    <n v="1.9"/>
    <s v="Cash"/>
  </r>
  <r>
    <n v="3976"/>
    <x v="45"/>
    <n v="83"/>
    <x v="129"/>
    <n v="3.1235294117647001"/>
    <s v="Credit Card"/>
  </r>
  <r>
    <n v="3986"/>
    <x v="29"/>
    <n v="37"/>
    <x v="130"/>
    <n v="1.1000000000000001"/>
    <s v="Credit Card"/>
  </r>
  <r>
    <n v="3990"/>
    <x v="46"/>
    <n v="77"/>
    <x v="15"/>
    <n v="4.4000000000000004"/>
    <s v="Credit Card"/>
  </r>
  <r>
    <n v="3961"/>
    <x v="29"/>
    <n v="113"/>
    <x v="307"/>
    <n v="3.2"/>
    <s v="Cash"/>
  </r>
  <r>
    <n v="4079"/>
    <x v="14"/>
    <n v="112"/>
    <x v="335"/>
    <n v="2.6"/>
    <s v="Cash"/>
  </r>
  <r>
    <n v="4046"/>
    <x v="1"/>
    <n v="93.340909090909093"/>
    <x v="139"/>
    <n v="3.3"/>
    <s v="Credit Card"/>
  </r>
  <r>
    <n v="4036"/>
    <x v="8"/>
    <n v="102"/>
    <x v="202"/>
    <n v="4.5999999999999996"/>
    <s v="Cash"/>
  </r>
  <r>
    <n v="4049"/>
    <x v="42"/>
    <n v="28"/>
    <x v="121"/>
    <n v="4"/>
    <s v="Credit Card"/>
  </r>
  <r>
    <n v="3992"/>
    <x v="13"/>
    <n v="125"/>
    <x v="167"/>
    <n v="4.9000000000000004"/>
    <s v="Cash"/>
  </r>
  <r>
    <n v="4070"/>
    <x v="6"/>
    <n v="81"/>
    <x v="72"/>
    <n v="2.1"/>
    <s v="Cash"/>
  </r>
  <r>
    <n v="4109"/>
    <x v="7"/>
    <n v="169"/>
    <x v="64"/>
    <n v="4.5999999999999996"/>
    <s v="Credit Card"/>
  </r>
  <r>
    <n v="4090"/>
    <x v="1"/>
    <n v="40"/>
    <x v="4"/>
    <n v="2.2999999999999998"/>
    <s v="Credit Card"/>
  </r>
  <r>
    <n v="4044"/>
    <x v="38"/>
    <n v="106.80769230769199"/>
    <x v="85"/>
    <n v="4.8"/>
    <s v="Cash"/>
  </r>
  <r>
    <n v="4001"/>
    <x v="20"/>
    <n v="107.949152542372"/>
    <x v="83"/>
    <n v="4.4000000000000004"/>
    <s v="Credit Card"/>
  </r>
  <r>
    <n v="4034"/>
    <x v="29"/>
    <n v="96"/>
    <x v="299"/>
    <n v="2"/>
    <s v="Credit Card"/>
  </r>
  <r>
    <n v="3964"/>
    <x v="40"/>
    <n v="103"/>
    <x v="65"/>
    <n v="1.5"/>
    <s v="Cash"/>
  </r>
  <r>
    <n v="3987"/>
    <x v="20"/>
    <n v="60"/>
    <x v="30"/>
    <n v="4.0999999999999996"/>
    <s v="Cash"/>
  </r>
  <r>
    <n v="4013"/>
    <x v="9"/>
    <n v="112"/>
    <x v="9"/>
    <n v="2.9"/>
    <s v="Credit Card"/>
  </r>
  <r>
    <n v="3989"/>
    <x v="46"/>
    <n v="21"/>
    <x v="320"/>
    <n v="4.2"/>
    <s v="Credit Card"/>
  </r>
  <r>
    <n v="3993"/>
    <x v="13"/>
    <n v="103.108695652173"/>
    <x v="72"/>
    <n v="3.9"/>
    <s v="Credit Card"/>
  </r>
  <r>
    <n v="4015"/>
    <x v="28"/>
    <n v="131"/>
    <x v="246"/>
    <n v="3.6"/>
    <s v="Cash"/>
  </r>
  <r>
    <n v="4035"/>
    <x v="33"/>
    <n v="48"/>
    <x v="102"/>
    <n v="4.9000000000000004"/>
    <s v="Credit Card"/>
  </r>
  <r>
    <n v="3989"/>
    <x v="28"/>
    <n v="141"/>
    <x v="340"/>
    <n v="3.3"/>
    <s v="Credit Card"/>
  </r>
  <r>
    <n v="4010"/>
    <x v="21"/>
    <n v="107.68518518518501"/>
    <x v="161"/>
    <n v="3.1303030303030299"/>
    <s v="Credit Card"/>
  </r>
  <r>
    <n v="3990"/>
    <x v="45"/>
    <n v="91"/>
    <x v="100"/>
    <n v="3"/>
    <s v="Cash"/>
  </r>
  <r>
    <n v="3977"/>
    <x v="8"/>
    <n v="120.375"/>
    <x v="110"/>
    <n v="4.8"/>
    <s v="Credit Card"/>
  </r>
  <r>
    <n v="4065"/>
    <x v="10"/>
    <n v="199"/>
    <x v="244"/>
    <n v="3.2"/>
    <s v="Credit Card"/>
  </r>
  <r>
    <n v="3985"/>
    <x v="11"/>
    <n v="161"/>
    <x v="244"/>
    <n v="1.2"/>
    <s v="Cash"/>
  </r>
  <r>
    <n v="3976"/>
    <x v="11"/>
    <n v="140"/>
    <x v="90"/>
    <n v="4.5"/>
    <s v="Credit Card"/>
  </r>
  <r>
    <n v="3961"/>
    <x v="47"/>
    <n v="191"/>
    <x v="269"/>
    <n v="3.7"/>
    <s v="Cash"/>
  </r>
  <r>
    <n v="4080"/>
    <x v="42"/>
    <n v="131"/>
    <x v="143"/>
    <n v="2.92063492063492"/>
    <s v="Credit Card"/>
  </r>
  <r>
    <n v="4067"/>
    <x v="34"/>
    <n v="104"/>
    <x v="171"/>
    <n v="3.3"/>
    <s v="Credit Card"/>
  </r>
  <r>
    <n v="3967"/>
    <x v="3"/>
    <n v="38"/>
    <x v="312"/>
    <n v="3.9"/>
    <s v="Credit Card"/>
  </r>
  <r>
    <n v="4007"/>
    <x v="6"/>
    <n v="159"/>
    <x v="324"/>
    <n v="3"/>
    <s v="Cash"/>
  </r>
  <r>
    <n v="3984"/>
    <x v="23"/>
    <n v="195"/>
    <x v="323"/>
    <n v="4.8"/>
    <s v="Cash"/>
  </r>
  <r>
    <n v="3965"/>
    <x v="8"/>
    <n v="171"/>
    <x v="119"/>
    <n v="1.9"/>
    <s v="Cash"/>
  </r>
  <r>
    <n v="4088"/>
    <x v="46"/>
    <n v="107.26027397260199"/>
    <x v="138"/>
    <n v="3.2"/>
    <s v="Cash"/>
  </r>
  <r>
    <n v="4108"/>
    <x v="49"/>
    <n v="177"/>
    <x v="137"/>
    <n v="2.2999999999999998"/>
    <s v="Cash"/>
  </r>
  <r>
    <n v="3972"/>
    <x v="15"/>
    <n v="158"/>
    <x v="335"/>
    <n v="4.5"/>
    <s v="Cash"/>
  </r>
  <r>
    <n v="4077"/>
    <x v="8"/>
    <n v="194"/>
    <x v="238"/>
    <n v="1.6"/>
    <s v="Credit Card"/>
  </r>
  <r>
    <n v="3987"/>
    <x v="30"/>
    <n v="84.528571428571396"/>
    <x v="103"/>
    <n v="3.7"/>
    <s v="Cash"/>
  </r>
  <r>
    <n v="4021"/>
    <x v="48"/>
    <n v="144"/>
    <x v="263"/>
    <n v="1"/>
    <s v="Cash"/>
  </r>
  <r>
    <n v="3968"/>
    <x v="34"/>
    <n v="168"/>
    <x v="343"/>
    <n v="3.8"/>
    <s v="Cash"/>
  </r>
  <r>
    <n v="3973"/>
    <x v="26"/>
    <n v="107"/>
    <x v="8"/>
    <n v="1.5"/>
    <s v="Credit Card"/>
  </r>
  <r>
    <n v="4034"/>
    <x v="47"/>
    <n v="114.217391304347"/>
    <x v="89"/>
    <n v="3.5"/>
    <s v="Credit Card"/>
  </r>
  <r>
    <n v="3959"/>
    <x v="21"/>
    <n v="18"/>
    <x v="11"/>
    <n v="3.9"/>
    <s v="Credit Card"/>
  </r>
  <r>
    <n v="3981"/>
    <x v="2"/>
    <n v="189"/>
    <x v="252"/>
    <n v="2"/>
    <s v="Credit Card"/>
  </r>
  <r>
    <n v="3988"/>
    <x v="19"/>
    <n v="120.22"/>
    <x v="179"/>
    <n v="4"/>
    <s v="Credit Card"/>
  </r>
  <r>
    <n v="4111"/>
    <x v="21"/>
    <n v="107.68518518518501"/>
    <x v="95"/>
    <n v="1.7"/>
    <s v="Credit Card"/>
  </r>
  <r>
    <n v="4009"/>
    <x v="7"/>
    <n v="48"/>
    <x v="300"/>
    <n v="3"/>
    <s v="Credit Card"/>
  </r>
  <r>
    <n v="4107"/>
    <x v="35"/>
    <n v="62"/>
    <x v="139"/>
    <n v="1.4"/>
    <s v="Credit Card"/>
  </r>
  <r>
    <n v="4008"/>
    <x v="4"/>
    <n v="166"/>
    <x v="26"/>
    <n v="3.3"/>
    <s v="Credit Card"/>
  </r>
  <r>
    <n v="4004"/>
    <x v="6"/>
    <n v="198"/>
    <x v="344"/>
    <n v="2.5"/>
    <s v="Cash"/>
  </r>
  <r>
    <n v="4046"/>
    <x v="26"/>
    <n v="190"/>
    <x v="15"/>
    <n v="3.8"/>
    <s v="Cash"/>
  </r>
  <r>
    <n v="3964"/>
    <x v="35"/>
    <n v="97.720588235294102"/>
    <x v="215"/>
    <n v="2.4"/>
    <s v="Credit Card"/>
  </r>
  <r>
    <n v="3980"/>
    <x v="40"/>
    <n v="93"/>
    <x v="243"/>
    <n v="2.9761904761904701"/>
    <s v="Cash"/>
  </r>
  <r>
    <n v="3994"/>
    <x v="14"/>
    <n v="132"/>
    <x v="122"/>
    <n v="3.8"/>
    <s v="Credit Card"/>
  </r>
  <r>
    <n v="4028"/>
    <x v="14"/>
    <n v="90"/>
    <x v="176"/>
    <n v="3"/>
    <s v="Credit Card"/>
  </r>
  <r>
    <n v="4105"/>
    <x v="28"/>
    <n v="127"/>
    <x v="142"/>
    <n v="2.6"/>
    <s v="Credit Card"/>
  </r>
  <r>
    <n v="4046"/>
    <x v="31"/>
    <n v="97"/>
    <x v="85"/>
    <n v="4.9000000000000004"/>
    <s v="Cash"/>
  </r>
  <r>
    <n v="4047"/>
    <x v="11"/>
    <n v="183"/>
    <x v="65"/>
    <n v="2.4"/>
    <s v="Cash"/>
  </r>
  <r>
    <n v="3998"/>
    <x v="35"/>
    <n v="194"/>
    <x v="333"/>
    <n v="3.1"/>
    <s v="Credit Card"/>
  </r>
  <r>
    <n v="4085"/>
    <x v="2"/>
    <n v="187"/>
    <x v="87"/>
    <n v="3.2285714285714202"/>
    <s v="Cash"/>
  </r>
  <r>
    <n v="4113"/>
    <x v="43"/>
    <n v="133"/>
    <x v="323"/>
    <n v="4.9000000000000004"/>
    <s v="Credit Card"/>
  </r>
  <r>
    <n v="4018"/>
    <x v="30"/>
    <n v="84.528571428571396"/>
    <x v="97"/>
    <n v="3.0542857142857098"/>
    <s v="Cash"/>
  </r>
  <r>
    <n v="4086"/>
    <x v="3"/>
    <n v="152"/>
    <x v="21"/>
    <n v="1.7"/>
    <s v="Credit Card"/>
  </r>
  <r>
    <n v="4102"/>
    <x v="34"/>
    <n v="86"/>
    <x v="94"/>
    <n v="3.1"/>
    <s v="Cash"/>
  </r>
  <r>
    <n v="3974"/>
    <x v="24"/>
    <n v="190"/>
    <x v="204"/>
    <n v="2.88305084745762"/>
    <s v="Credit Card"/>
  </r>
  <r>
    <n v="3982"/>
    <x v="2"/>
    <n v="190"/>
    <x v="285"/>
    <n v="1.1000000000000001"/>
    <s v="Cash"/>
  </r>
  <r>
    <n v="4105"/>
    <x v="9"/>
    <n v="132"/>
    <x v="232"/>
    <n v="3.3"/>
    <s v="Credit Card"/>
  </r>
  <r>
    <n v="3960"/>
    <x v="47"/>
    <n v="194"/>
    <x v="105"/>
    <n v="4.8"/>
    <s v="Cash"/>
  </r>
  <r>
    <n v="4092"/>
    <x v="46"/>
    <n v="41"/>
    <x v="33"/>
    <n v="3.5"/>
    <s v="Credit Card"/>
  </r>
  <r>
    <n v="4012"/>
    <x v="44"/>
    <n v="149"/>
    <x v="97"/>
    <n v="1.9"/>
    <s v="Credit Card"/>
  </r>
  <r>
    <n v="4006"/>
    <x v="22"/>
    <n v="111"/>
    <x v="279"/>
    <n v="4.5"/>
    <s v="Credit Card"/>
  </r>
  <r>
    <n v="4029"/>
    <x v="2"/>
    <n v="47"/>
    <x v="254"/>
    <n v="3.4"/>
    <s v="Credit Card"/>
  </r>
  <r>
    <n v="4000"/>
    <x v="20"/>
    <n v="83"/>
    <x v="74"/>
    <n v="4.5999999999999996"/>
    <s v="Cash"/>
  </r>
  <r>
    <n v="4094"/>
    <x v="35"/>
    <n v="30"/>
    <x v="170"/>
    <n v="4.5"/>
    <s v="Cash"/>
  </r>
  <r>
    <n v="3958"/>
    <x v="29"/>
    <n v="123"/>
    <x v="185"/>
    <n v="1.6"/>
    <s v="Cash"/>
  </r>
  <r>
    <n v="3982"/>
    <x v="40"/>
    <n v="132"/>
    <x v="311"/>
    <n v="1.1000000000000001"/>
    <s v="Cash"/>
  </r>
  <r>
    <n v="4011"/>
    <x v="45"/>
    <n v="147"/>
    <x v="2"/>
    <n v="3.1235294117647001"/>
    <s v="Credit Card"/>
  </r>
  <r>
    <n v="4086"/>
    <x v="49"/>
    <n v="153"/>
    <x v="231"/>
    <n v="4.8"/>
    <s v="Credit Card"/>
  </r>
  <r>
    <n v="4078"/>
    <x v="22"/>
    <n v="45"/>
    <x v="344"/>
    <n v="4.2"/>
    <s v="Credit Card"/>
  </r>
  <r>
    <n v="4050"/>
    <x v="3"/>
    <n v="98.967741935483801"/>
    <x v="103"/>
    <n v="2.2000000000000002"/>
    <s v="Cash"/>
  </r>
  <r>
    <n v="4107"/>
    <x v="34"/>
    <n v="71"/>
    <x v="50"/>
    <n v="1.7"/>
    <s v="Cash"/>
  </r>
  <r>
    <n v="4004"/>
    <x v="43"/>
    <n v="181"/>
    <x v="6"/>
    <n v="4.5999999999999996"/>
    <s v="Credit Card"/>
  </r>
  <r>
    <n v="4069"/>
    <x v="24"/>
    <n v="67"/>
    <x v="345"/>
    <n v="3.4"/>
    <s v="Cash"/>
  </r>
  <r>
    <n v="3984"/>
    <x v="29"/>
    <n v="23"/>
    <x v="253"/>
    <n v="4.7"/>
    <s v="Credit Card"/>
  </r>
  <r>
    <n v="4003"/>
    <x v="32"/>
    <n v="110.431818181818"/>
    <x v="157"/>
    <n v="4.7"/>
    <s v="Cash"/>
  </r>
  <r>
    <n v="4047"/>
    <x v="25"/>
    <n v="130"/>
    <x v="275"/>
    <n v="2.6"/>
    <s v="Credit Card"/>
  </r>
  <r>
    <n v="4054"/>
    <x v="25"/>
    <n v="103.98245614035"/>
    <x v="143"/>
    <n v="1.5"/>
    <s v="Credit Card"/>
  </r>
  <r>
    <n v="4065"/>
    <x v="30"/>
    <n v="11"/>
    <x v="293"/>
    <n v="2.4"/>
    <s v="Credit Card"/>
  </r>
  <r>
    <n v="4011"/>
    <x v="16"/>
    <n v="50"/>
    <x v="249"/>
    <n v="2"/>
    <s v="Credit Card"/>
  </r>
  <r>
    <n v="4088"/>
    <x v="46"/>
    <n v="131"/>
    <x v="346"/>
    <n v="1.8"/>
    <s v="Cash"/>
  </r>
  <r>
    <n v="4015"/>
    <x v="8"/>
    <n v="61"/>
    <x v="274"/>
    <n v="2.4"/>
    <s v="Credit Card"/>
  </r>
  <r>
    <n v="4061"/>
    <x v="42"/>
    <n v="83"/>
    <x v="227"/>
    <n v="4.7"/>
    <s v="Cash"/>
  </r>
  <r>
    <n v="3985"/>
    <x v="1"/>
    <n v="175"/>
    <x v="329"/>
    <n v="4.5999999999999996"/>
    <s v="Credit Card"/>
  </r>
  <r>
    <n v="4037"/>
    <x v="9"/>
    <n v="109.08474576271099"/>
    <x v="44"/>
    <n v="4.4000000000000004"/>
    <s v="Cash"/>
  </r>
  <r>
    <n v="3988"/>
    <x v="29"/>
    <n v="176"/>
    <x v="81"/>
    <n v="2.6590163934426201"/>
    <s v="Cash"/>
  </r>
  <r>
    <n v="4076"/>
    <x v="30"/>
    <n v="146"/>
    <x v="28"/>
    <n v="3.7"/>
    <s v="Credit Card"/>
  </r>
  <r>
    <n v="3985"/>
    <x v="35"/>
    <n v="19"/>
    <x v="246"/>
    <n v="3.1"/>
    <s v="Cash"/>
  </r>
  <r>
    <n v="4090"/>
    <x v="15"/>
    <n v="54"/>
    <x v="347"/>
    <n v="3.1"/>
    <s v="Cash"/>
  </r>
  <r>
    <n v="3991"/>
    <x v="43"/>
    <n v="55"/>
    <x v="250"/>
    <n v="3.2"/>
    <s v="Cash"/>
  </r>
  <r>
    <n v="4083"/>
    <x v="29"/>
    <n v="19"/>
    <x v="335"/>
    <n v="2.2999999999999998"/>
    <s v="Credit Card"/>
  </r>
  <r>
    <n v="4049"/>
    <x v="31"/>
    <n v="111"/>
    <x v="338"/>
    <n v="1.8"/>
    <s v="Cash"/>
  </r>
  <r>
    <n v="4030"/>
    <x v="19"/>
    <n v="57"/>
    <x v="187"/>
    <n v="2.7"/>
    <s v="Cash"/>
  </r>
  <r>
    <n v="4099"/>
    <x v="23"/>
    <n v="84"/>
    <x v="272"/>
    <n v="1.3"/>
    <s v="Cash"/>
  </r>
  <r>
    <n v="3967"/>
    <x v="13"/>
    <n v="12"/>
    <x v="237"/>
    <n v="3.04897959183673"/>
    <s v="Credit Card"/>
  </r>
  <r>
    <n v="3978"/>
    <x v="12"/>
    <n v="164"/>
    <x v="348"/>
    <n v="3.2"/>
    <s v="Cash"/>
  </r>
  <r>
    <n v="4040"/>
    <x v="37"/>
    <n v="108.54716981132"/>
    <x v="197"/>
    <n v="2.2000000000000002"/>
    <s v="Cash"/>
  </r>
  <r>
    <n v="4083"/>
    <x v="22"/>
    <n v="82"/>
    <x v="49"/>
    <n v="4.0999999999999996"/>
    <s v="Cash"/>
  </r>
  <r>
    <n v="3986"/>
    <x v="25"/>
    <n v="174"/>
    <x v="84"/>
    <n v="3.8"/>
    <s v="Credit Card"/>
  </r>
  <r>
    <n v="4055"/>
    <x v="16"/>
    <n v="136"/>
    <x v="88"/>
    <n v="1.2"/>
    <s v="Credit Card"/>
  </r>
  <r>
    <n v="4029"/>
    <x v="16"/>
    <n v="44"/>
    <x v="134"/>
    <n v="2.2000000000000002"/>
    <s v="Credit Card"/>
  </r>
  <r>
    <n v="4073"/>
    <x v="7"/>
    <n v="129"/>
    <x v="282"/>
    <n v="4.5999999999999996"/>
    <s v="Cash"/>
  </r>
  <r>
    <n v="4110"/>
    <x v="35"/>
    <n v="38"/>
    <x v="249"/>
    <n v="3.6"/>
    <s v="Credit Card"/>
  </r>
  <r>
    <n v="4036"/>
    <x v="40"/>
    <n v="197"/>
    <x v="185"/>
    <n v="3.1"/>
    <s v="Cash"/>
  </r>
  <r>
    <n v="4070"/>
    <x v="19"/>
    <n v="75"/>
    <x v="328"/>
    <n v="3.02830188679245"/>
    <s v="Cash"/>
  </r>
  <r>
    <n v="4014"/>
    <x v="34"/>
    <n v="13"/>
    <x v="337"/>
    <n v="1.8"/>
    <s v="Credit Card"/>
  </r>
  <r>
    <n v="4098"/>
    <x v="35"/>
    <n v="85"/>
    <x v="34"/>
    <n v="1.2"/>
    <s v="Credit Card"/>
  </r>
  <r>
    <n v="4061"/>
    <x v="0"/>
    <n v="59"/>
    <x v="190"/>
    <n v="4.5"/>
    <s v="Cash"/>
  </r>
  <r>
    <n v="4031"/>
    <x v="19"/>
    <n v="120.22"/>
    <x v="336"/>
    <n v="3.1"/>
    <s v="Cash"/>
  </r>
  <r>
    <n v="4066"/>
    <x v="37"/>
    <n v="113"/>
    <x v="289"/>
    <n v="2.5"/>
    <s v="Cash"/>
  </r>
  <r>
    <n v="4005"/>
    <x v="46"/>
    <n v="141"/>
    <x v="183"/>
    <n v="4.5999999999999996"/>
    <s v="Cash"/>
  </r>
  <r>
    <n v="3974"/>
    <x v="9"/>
    <n v="112"/>
    <x v="19"/>
    <n v="3.0693548387096699"/>
    <s v="Credit Card"/>
  </r>
  <r>
    <n v="4078"/>
    <x v="41"/>
    <n v="57"/>
    <x v="251"/>
    <n v="4.5999999999999996"/>
    <s v="Credit Card"/>
  </r>
  <r>
    <n v="4051"/>
    <x v="9"/>
    <n v="132"/>
    <x v="302"/>
    <n v="1.3"/>
    <s v="Cash"/>
  </r>
  <r>
    <n v="4002"/>
    <x v="48"/>
    <n v="73"/>
    <x v="192"/>
    <n v="1.8"/>
    <s v="Credit Card"/>
  </r>
  <r>
    <n v="3960"/>
    <x v="45"/>
    <n v="106.297872340425"/>
    <x v="88"/>
    <n v="1.1000000000000001"/>
    <s v="Cash"/>
  </r>
  <r>
    <n v="4082"/>
    <x v="13"/>
    <n v="124"/>
    <x v="146"/>
    <n v="1.8"/>
    <s v="Cash"/>
  </r>
  <r>
    <n v="3983"/>
    <x v="2"/>
    <n v="94"/>
    <x v="175"/>
    <n v="4.7"/>
    <s v="Cash"/>
  </r>
  <r>
    <n v="4058"/>
    <x v="10"/>
    <n v="195"/>
    <x v="213"/>
    <n v="2.7471698113207501"/>
    <s v="Cash"/>
  </r>
  <r>
    <n v="4069"/>
    <x v="19"/>
    <n v="76"/>
    <x v="47"/>
    <n v="4.3"/>
    <s v="Credit Card"/>
  </r>
  <r>
    <n v="4090"/>
    <x v="24"/>
    <n v="187"/>
    <x v="155"/>
    <n v="4.9000000000000004"/>
    <s v="Credit Card"/>
  </r>
  <r>
    <n v="3978"/>
    <x v="1"/>
    <n v="180"/>
    <x v="82"/>
    <n v="4.3"/>
    <s v="Cash"/>
  </r>
  <r>
    <n v="3987"/>
    <x v="26"/>
    <n v="111.854838709677"/>
    <x v="5"/>
    <n v="4.4000000000000004"/>
    <s v="Credit Card"/>
  </r>
  <r>
    <n v="3993"/>
    <x v="19"/>
    <n v="113"/>
    <x v="345"/>
    <n v="3.02830188679245"/>
    <s v="Credit Card"/>
  </r>
  <r>
    <n v="4058"/>
    <x v="20"/>
    <n v="190"/>
    <x v="16"/>
    <n v="2"/>
    <s v="Credit Card"/>
  </r>
  <r>
    <n v="4059"/>
    <x v="6"/>
    <n v="186"/>
    <x v="181"/>
    <n v="4.5"/>
    <s v="Cash"/>
  </r>
  <r>
    <n v="4108"/>
    <x v="10"/>
    <n v="103.354166666666"/>
    <x v="244"/>
    <n v="3.3"/>
    <s v="Credit Card"/>
  </r>
  <r>
    <n v="3983"/>
    <x v="17"/>
    <n v="85"/>
    <x v="349"/>
    <n v="3.5"/>
    <s v="Cash"/>
  </r>
  <r>
    <n v="4000"/>
    <x v="14"/>
    <n v="66"/>
    <x v="0"/>
    <n v="4.5"/>
    <s v="Credit Card"/>
  </r>
  <r>
    <n v="3973"/>
    <x v="40"/>
    <n v="44"/>
    <x v="62"/>
    <n v="2.1"/>
    <s v="Credit Card"/>
  </r>
  <r>
    <n v="4050"/>
    <x v="9"/>
    <n v="126"/>
    <x v="321"/>
    <n v="2.7"/>
    <s v="Credit Card"/>
  </r>
  <r>
    <n v="4007"/>
    <x v="4"/>
    <n v="165"/>
    <x v="261"/>
    <n v="2.1"/>
    <s v="Cash"/>
  </r>
  <r>
    <n v="4043"/>
    <x v="49"/>
    <n v="189"/>
    <x v="242"/>
    <n v="4.3"/>
    <s v="Credit Card"/>
  </r>
  <r>
    <n v="4008"/>
    <x v="35"/>
    <n v="130"/>
    <x v="225"/>
    <n v="3.4"/>
    <s v="Credit Card"/>
  </r>
  <r>
    <n v="4109"/>
    <x v="24"/>
    <n v="180"/>
    <x v="101"/>
    <n v="2.6"/>
    <s v="Credit Card"/>
  </r>
  <r>
    <n v="4060"/>
    <x v="44"/>
    <n v="73"/>
    <x v="55"/>
    <n v="2.8"/>
    <s v="Credit Card"/>
  </r>
  <r>
    <n v="3988"/>
    <x v="28"/>
    <n v="162"/>
    <x v="54"/>
    <n v="1.9"/>
    <s v="Cash"/>
  </r>
  <r>
    <n v="4016"/>
    <x v="41"/>
    <n v="30"/>
    <x v="146"/>
    <n v="1.5"/>
    <s v="Credit Card"/>
  </r>
  <r>
    <n v="4065"/>
    <x v="7"/>
    <n v="145"/>
    <x v="73"/>
    <n v="3"/>
    <s v="Credit Card"/>
  </r>
  <r>
    <n v="4084"/>
    <x v="37"/>
    <n v="29"/>
    <x v="348"/>
    <n v="2.2999999999999998"/>
    <s v="Credit Card"/>
  </r>
  <r>
    <n v="4028"/>
    <x v="46"/>
    <n v="38"/>
    <x v="253"/>
    <n v="2"/>
    <s v="Cash"/>
  </r>
  <r>
    <n v="4105"/>
    <x v="49"/>
    <n v="105.1"/>
    <x v="350"/>
    <n v="4.7"/>
    <s v="Cash"/>
  </r>
  <r>
    <n v="4108"/>
    <x v="20"/>
    <n v="139"/>
    <x v="158"/>
    <n v="3.1"/>
    <s v="Cash"/>
  </r>
  <r>
    <n v="4026"/>
    <x v="26"/>
    <n v="147"/>
    <x v="270"/>
    <n v="3.3"/>
    <s v="Cash"/>
  </r>
  <r>
    <n v="4121"/>
    <x v="21"/>
    <n v="107.68518518518501"/>
    <x v="210"/>
    <n v="1.5"/>
    <s v="Cash"/>
  </r>
  <r>
    <n v="4059"/>
    <x v="33"/>
    <n v="143"/>
    <x v="288"/>
    <n v="4.5"/>
    <s v="Credit Card"/>
  </r>
  <r>
    <n v="4048"/>
    <x v="47"/>
    <n v="184"/>
    <x v="61"/>
    <n v="3.2"/>
    <s v="Cash"/>
  </r>
  <r>
    <n v="4078"/>
    <x v="8"/>
    <n v="159"/>
    <x v="209"/>
    <n v="1.5"/>
    <s v="Credit Card"/>
  </r>
  <r>
    <n v="4111"/>
    <x v="7"/>
    <n v="140"/>
    <x v="8"/>
    <n v="2.9"/>
    <s v="Credit Card"/>
  </r>
  <r>
    <n v="4060"/>
    <x v="41"/>
    <n v="24"/>
    <x v="85"/>
    <n v="1.9"/>
    <s v="Credit Card"/>
  </r>
  <r>
    <n v="4081"/>
    <x v="6"/>
    <n v="141"/>
    <x v="338"/>
    <n v="1.7"/>
    <s v="Cash"/>
  </r>
  <r>
    <n v="4087"/>
    <x v="41"/>
    <n v="154"/>
    <x v="270"/>
    <n v="4.2"/>
    <s v="Cash"/>
  </r>
  <r>
    <n v="4028"/>
    <x v="6"/>
    <n v="105.81034482758599"/>
    <x v="191"/>
    <n v="3.5"/>
    <s v="Cash"/>
  </r>
  <r>
    <n v="3994"/>
    <x v="47"/>
    <n v="88"/>
    <x v="151"/>
    <n v="1.6"/>
    <s v="Credit Card"/>
  </r>
  <r>
    <n v="4073"/>
    <x v="32"/>
    <n v="111"/>
    <x v="330"/>
    <n v="1.2"/>
    <s v="Credit Card"/>
  </r>
  <r>
    <n v="3984"/>
    <x v="12"/>
    <n v="10"/>
    <x v="279"/>
    <n v="4.0999999999999996"/>
    <s v="Credit Card"/>
  </r>
  <r>
    <n v="3988"/>
    <x v="4"/>
    <n v="158"/>
    <x v="3"/>
    <n v="1.8"/>
    <s v="Credit Card"/>
  </r>
  <r>
    <n v="4021"/>
    <x v="41"/>
    <n v="117.354166666666"/>
    <x v="216"/>
    <n v="3.3"/>
    <s v="Cash"/>
  </r>
  <r>
    <n v="4082"/>
    <x v="2"/>
    <n v="189"/>
    <x v="119"/>
    <n v="2.4"/>
    <s v="Cash"/>
  </r>
  <r>
    <n v="4084"/>
    <x v="0"/>
    <n v="112.145454545454"/>
    <x v="72"/>
    <n v="4.7"/>
    <s v="Credit Card"/>
  </r>
  <r>
    <n v="4016"/>
    <x v="9"/>
    <n v="27"/>
    <x v="332"/>
    <n v="1.8"/>
    <s v="Cash"/>
  </r>
  <r>
    <n v="4117"/>
    <x v="17"/>
    <n v="130"/>
    <x v="47"/>
    <n v="2.6"/>
    <s v="Cash"/>
  </r>
  <r>
    <n v="3991"/>
    <x v="32"/>
    <n v="110.431818181818"/>
    <x v="140"/>
    <n v="2.2000000000000002"/>
    <s v="Cash"/>
  </r>
  <r>
    <n v="3964"/>
    <x v="23"/>
    <n v="44"/>
    <x v="254"/>
    <n v="2.8291666666666599"/>
    <s v="Cash"/>
  </r>
  <r>
    <n v="3982"/>
    <x v="31"/>
    <n v="196"/>
    <x v="328"/>
    <n v="1.8"/>
    <s v="Cash"/>
  </r>
  <r>
    <n v="3970"/>
    <x v="49"/>
    <n v="117"/>
    <x v="160"/>
    <n v="2.8"/>
    <s v="Credit Card"/>
  </r>
  <r>
    <n v="3974"/>
    <x v="8"/>
    <n v="107"/>
    <x v="131"/>
    <n v="1.3"/>
    <s v="Credit Card"/>
  </r>
  <r>
    <n v="4084"/>
    <x v="25"/>
    <n v="106"/>
    <x v="16"/>
    <n v="3.1"/>
    <s v="Cash"/>
  </r>
  <r>
    <n v="3963"/>
    <x v="6"/>
    <n v="184"/>
    <x v="31"/>
    <n v="1.6"/>
    <s v="Credit Card"/>
  </r>
  <r>
    <n v="4002"/>
    <x v="4"/>
    <n v="148"/>
    <x v="53"/>
    <n v="1.2"/>
    <s v="Credit Card"/>
  </r>
  <r>
    <n v="4054"/>
    <x v="46"/>
    <n v="107.26027397260199"/>
    <x v="126"/>
    <n v="2.6"/>
    <s v="Credit Card"/>
  </r>
  <r>
    <n v="4111"/>
    <x v="1"/>
    <n v="40"/>
    <x v="105"/>
    <n v="3.5"/>
    <s v="Cash"/>
  </r>
  <r>
    <n v="4040"/>
    <x v="32"/>
    <n v="110.431818181818"/>
    <x v="85"/>
    <n v="4.7"/>
    <s v="Cash"/>
  </r>
  <r>
    <n v="3996"/>
    <x v="0"/>
    <n v="145"/>
    <x v="351"/>
    <n v="1.6"/>
    <s v="Cash"/>
  </r>
  <r>
    <n v="4034"/>
    <x v="29"/>
    <n v="88.827586206896498"/>
    <x v="170"/>
    <n v="1.9"/>
    <s v="Credit Card"/>
  </r>
  <r>
    <n v="4116"/>
    <x v="29"/>
    <n v="10"/>
    <x v="179"/>
    <n v="3.3"/>
    <s v="Credit Card"/>
  </r>
  <r>
    <n v="4116"/>
    <x v="45"/>
    <n v="86"/>
    <x v="49"/>
    <n v="4.0999999999999996"/>
    <s v="Cash"/>
  </r>
  <r>
    <n v="3981"/>
    <x v="5"/>
    <n v="194"/>
    <x v="52"/>
    <n v="1.9"/>
    <s v="Credit Card"/>
  </r>
  <r>
    <n v="3976"/>
    <x v="49"/>
    <n v="146"/>
    <x v="339"/>
    <n v="3.3"/>
    <s v="Credit Card"/>
  </r>
  <r>
    <n v="4090"/>
    <x v="27"/>
    <n v="68"/>
    <x v="272"/>
    <n v="2.69137931034482"/>
    <s v="Credit Card"/>
  </r>
  <r>
    <n v="4083"/>
    <x v="18"/>
    <n v="98"/>
    <x v="155"/>
    <n v="4.5999999999999996"/>
    <s v="Credit Card"/>
  </r>
  <r>
    <n v="4076"/>
    <x v="43"/>
    <n v="111.564102564102"/>
    <x v="69"/>
    <n v="3.6"/>
    <s v="Credit Card"/>
  </r>
  <r>
    <n v="4008"/>
    <x v="7"/>
    <n v="103.564102564102"/>
    <x v="231"/>
    <n v="3.5"/>
    <s v="Credit Card"/>
  </r>
  <r>
    <n v="4032"/>
    <x v="37"/>
    <n v="38"/>
    <x v="164"/>
    <n v="4"/>
    <s v="Credit Card"/>
  </r>
  <r>
    <n v="4084"/>
    <x v="3"/>
    <n v="98.967741935483801"/>
    <x v="19"/>
    <n v="3.5"/>
    <s v="Credit Card"/>
  </r>
  <r>
    <n v="4082"/>
    <x v="40"/>
    <n v="167"/>
    <x v="307"/>
    <n v="5"/>
    <s v="Cash"/>
  </r>
  <r>
    <n v="4086"/>
    <x v="11"/>
    <n v="14"/>
    <x v="294"/>
    <n v="4.7"/>
    <s v="Credit Card"/>
  </r>
  <r>
    <n v="4023"/>
    <x v="29"/>
    <n v="27"/>
    <x v="352"/>
    <n v="3.1"/>
    <s v="Cash"/>
  </r>
  <r>
    <n v="4095"/>
    <x v="18"/>
    <n v="105.95348837209301"/>
    <x v="315"/>
    <n v="1.6"/>
    <s v="Cash"/>
  </r>
  <r>
    <n v="4044"/>
    <x v="3"/>
    <n v="98.967741935483801"/>
    <x v="353"/>
    <n v="1.7"/>
    <s v="Cash"/>
  </r>
  <r>
    <n v="4095"/>
    <x v="30"/>
    <n v="190"/>
    <x v="134"/>
    <n v="5"/>
    <s v="Cash"/>
  </r>
  <r>
    <n v="4096"/>
    <x v="1"/>
    <n v="72"/>
    <x v="103"/>
    <n v="2.5"/>
    <s v="Cash"/>
  </r>
  <r>
    <n v="3961"/>
    <x v="8"/>
    <n v="112"/>
    <x v="191"/>
    <n v="2.91904761904761"/>
    <s v="Cash"/>
  </r>
  <r>
    <n v="3965"/>
    <x v="29"/>
    <n v="148"/>
    <x v="227"/>
    <n v="1.6"/>
    <s v="Cash"/>
  </r>
  <r>
    <n v="4067"/>
    <x v="13"/>
    <n v="24"/>
    <x v="139"/>
    <n v="3.8"/>
    <s v="Cash"/>
  </r>
  <r>
    <n v="3987"/>
    <x v="33"/>
    <n v="97.071428571428498"/>
    <x v="247"/>
    <n v="1.9"/>
    <s v="Credit Card"/>
  </r>
  <r>
    <n v="4055"/>
    <x v="45"/>
    <n v="69"/>
    <x v="46"/>
    <n v="4.4000000000000004"/>
    <s v="Credit Card"/>
  </r>
  <r>
    <n v="4072"/>
    <x v="44"/>
    <n v="197"/>
    <x v="185"/>
    <n v="4.8"/>
    <s v="Credit Card"/>
  </r>
  <r>
    <n v="4037"/>
    <x v="11"/>
    <n v="157"/>
    <x v="254"/>
    <n v="2.7"/>
    <s v="Credit Card"/>
  </r>
  <r>
    <n v="4053"/>
    <x v="33"/>
    <n v="182"/>
    <x v="336"/>
    <n v="2.8"/>
    <s v="Cash"/>
  </r>
  <r>
    <n v="4070"/>
    <x v="48"/>
    <n v="70"/>
    <x v="286"/>
    <n v="2.5"/>
    <s v="Cash"/>
  </r>
  <r>
    <n v="4074"/>
    <x v="41"/>
    <n v="46"/>
    <x v="215"/>
    <n v="2.6"/>
    <s v="Cash"/>
  </r>
  <r>
    <n v="3966"/>
    <x v="5"/>
    <n v="143"/>
    <x v="337"/>
    <n v="1.8"/>
    <s v="Cash"/>
  </r>
  <r>
    <n v="3965"/>
    <x v="25"/>
    <n v="86"/>
    <x v="243"/>
    <n v="1.8"/>
    <s v="Cash"/>
  </r>
  <r>
    <n v="4002"/>
    <x v="45"/>
    <n v="152"/>
    <x v="299"/>
    <n v="4.5"/>
    <s v="Cash"/>
  </r>
  <r>
    <n v="4099"/>
    <x v="46"/>
    <n v="198"/>
    <x v="248"/>
    <n v="3.5"/>
    <s v="Cash"/>
  </r>
  <r>
    <n v="4034"/>
    <x v="35"/>
    <n v="170"/>
    <x v="161"/>
    <n v="3.2"/>
    <s v="Cash"/>
  </r>
  <r>
    <n v="3999"/>
    <x v="27"/>
    <n v="152"/>
    <x v="292"/>
    <n v="2.6"/>
    <s v="Cash"/>
  </r>
  <r>
    <n v="4082"/>
    <x v="40"/>
    <n v="98"/>
    <x v="151"/>
    <n v="1.9"/>
    <s v="Cash"/>
  </r>
  <r>
    <n v="4067"/>
    <x v="13"/>
    <n v="181"/>
    <x v="28"/>
    <n v="1.4"/>
    <s v="Cash"/>
  </r>
  <r>
    <n v="3991"/>
    <x v="12"/>
    <n v="144"/>
    <x v="256"/>
    <n v="2.2000000000000002"/>
    <s v="Cash"/>
  </r>
  <r>
    <n v="4036"/>
    <x v="34"/>
    <n v="116"/>
    <x v="29"/>
    <n v="4.0999999999999996"/>
    <s v="Credit Card"/>
  </r>
  <r>
    <n v="4056"/>
    <x v="15"/>
    <n v="86"/>
    <x v="354"/>
    <n v="1.2"/>
    <s v="Cash"/>
  </r>
  <r>
    <n v="4081"/>
    <x v="38"/>
    <n v="147"/>
    <x v="222"/>
    <n v="3.2"/>
    <s v="Credit Card"/>
  </r>
  <r>
    <n v="3985"/>
    <x v="4"/>
    <n v="67"/>
    <x v="137"/>
    <n v="2.5"/>
    <s v="Cash"/>
  </r>
  <r>
    <n v="4102"/>
    <x v="9"/>
    <n v="191"/>
    <x v="129"/>
    <n v="1.7"/>
    <s v="Cash"/>
  </r>
  <r>
    <n v="4082"/>
    <x v="22"/>
    <n v="95.292307692307702"/>
    <x v="91"/>
    <n v="3.8"/>
    <s v="Cash"/>
  </r>
  <r>
    <n v="4098"/>
    <x v="8"/>
    <n v="24"/>
    <x v="297"/>
    <n v="3.7"/>
    <s v="Credit Card"/>
  </r>
  <r>
    <n v="4095"/>
    <x v="14"/>
    <n v="116"/>
    <x v="131"/>
    <n v="4"/>
    <s v="Cash"/>
  </r>
  <r>
    <n v="4103"/>
    <x v="1"/>
    <n v="44"/>
    <x v="319"/>
    <n v="1.6"/>
    <s v="Cash"/>
  </r>
  <r>
    <n v="4077"/>
    <x v="39"/>
    <n v="75"/>
    <x v="173"/>
    <n v="4.0999999999999996"/>
    <s v="Credit Card"/>
  </r>
  <r>
    <n v="4078"/>
    <x v="19"/>
    <n v="175"/>
    <x v="312"/>
    <n v="2.6"/>
    <s v="Credit Card"/>
  </r>
  <r>
    <n v="4100"/>
    <x v="22"/>
    <n v="95.292307692307602"/>
    <x v="221"/>
    <n v="4.5"/>
    <s v="Cash"/>
  </r>
  <r>
    <n v="3997"/>
    <x v="29"/>
    <n v="104"/>
    <x v="182"/>
    <n v="4.7"/>
    <s v="Credit Card"/>
  </r>
  <r>
    <n v="4086"/>
    <x v="6"/>
    <n v="105.81034482758599"/>
    <x v="148"/>
    <n v="4.7"/>
    <s v="Cash"/>
  </r>
  <r>
    <n v="3971"/>
    <x v="42"/>
    <n v="58"/>
    <x v="78"/>
    <n v="3.9"/>
    <s v="Cash"/>
  </r>
  <r>
    <n v="4057"/>
    <x v="28"/>
    <n v="99.866666666666603"/>
    <x v="35"/>
    <n v="3.7"/>
    <s v="Credit Card"/>
  </r>
  <r>
    <n v="4024"/>
    <x v="21"/>
    <n v="164"/>
    <x v="114"/>
    <n v="1.3"/>
    <s v="Cash"/>
  </r>
  <r>
    <n v="4083"/>
    <x v="18"/>
    <n v="28"/>
    <x v="290"/>
    <n v="2.8545454545454501"/>
    <s v="Credit Card"/>
  </r>
  <r>
    <n v="4108"/>
    <x v="34"/>
    <n v="90.925925925925895"/>
    <x v="270"/>
    <n v="1.2"/>
    <s v="Credit Card"/>
  </r>
  <r>
    <n v="4053"/>
    <x v="27"/>
    <n v="195"/>
    <x v="16"/>
    <n v="2.2999999999999998"/>
    <s v="Cash"/>
  </r>
  <r>
    <n v="4114"/>
    <x v="38"/>
    <n v="65"/>
    <x v="164"/>
    <n v="1.8"/>
    <s v="Cash"/>
  </r>
  <r>
    <n v="4047"/>
    <x v="5"/>
    <n v="95"/>
    <x v="19"/>
    <n v="1.9"/>
    <s v="Cash"/>
  </r>
  <r>
    <n v="4029"/>
    <x v="11"/>
    <n v="13"/>
    <x v="181"/>
    <n v="2.5"/>
    <s v="Credit Card"/>
  </r>
  <r>
    <n v="4039"/>
    <x v="34"/>
    <n v="58"/>
    <x v="92"/>
    <n v="3.3"/>
    <s v="Cash"/>
  </r>
  <r>
    <n v="3972"/>
    <x v="23"/>
    <n v="40"/>
    <x v="86"/>
    <n v="2.9"/>
    <s v="Cash"/>
  </r>
  <r>
    <n v="3964"/>
    <x v="33"/>
    <n v="132"/>
    <x v="341"/>
    <n v="2.2000000000000002"/>
    <s v="Credit Card"/>
  </r>
  <r>
    <n v="4108"/>
    <x v="47"/>
    <n v="188"/>
    <x v="280"/>
    <n v="3.2"/>
    <s v="Credit Card"/>
  </r>
  <r>
    <n v="3968"/>
    <x v="23"/>
    <n v="62"/>
    <x v="95"/>
    <n v="1.6"/>
    <s v="Cash"/>
  </r>
  <r>
    <n v="3989"/>
    <x v="42"/>
    <n v="71"/>
    <x v="171"/>
    <n v="3.1"/>
    <s v="Credit Card"/>
  </r>
  <r>
    <n v="4050"/>
    <x v="4"/>
    <n v="82"/>
    <x v="157"/>
    <n v="1.6"/>
    <s v="Cash"/>
  </r>
  <r>
    <n v="4046"/>
    <x v="9"/>
    <n v="146"/>
    <x v="60"/>
    <n v="2.9"/>
    <s v="Credit Card"/>
  </r>
  <r>
    <n v="4106"/>
    <x v="17"/>
    <n v="88"/>
    <x v="31"/>
    <n v="3.8"/>
    <s v="Cash"/>
  </r>
  <r>
    <n v="3963"/>
    <x v="24"/>
    <n v="141"/>
    <x v="351"/>
    <n v="4.9000000000000004"/>
    <s v="Credit Card"/>
  </r>
  <r>
    <n v="4117"/>
    <x v="26"/>
    <n v="129"/>
    <x v="349"/>
    <n v="1.6"/>
    <s v="Credit Card"/>
  </r>
  <r>
    <n v="4044"/>
    <x v="38"/>
    <n v="106.80769230769199"/>
    <x v="66"/>
    <n v="4"/>
    <s v="Cash"/>
  </r>
  <r>
    <n v="4054"/>
    <x v="39"/>
    <n v="130"/>
    <x v="210"/>
    <n v="2.5"/>
    <s v="Cash"/>
  </r>
  <r>
    <n v="3981"/>
    <x v="17"/>
    <n v="91"/>
    <x v="246"/>
    <n v="1.7"/>
    <s v="Credit Card"/>
  </r>
  <r>
    <n v="4066"/>
    <x v="32"/>
    <n v="104"/>
    <x v="349"/>
    <n v="3.0125000000000002"/>
    <s v="Credit Card"/>
  </r>
  <r>
    <n v="4045"/>
    <x v="22"/>
    <n v="21"/>
    <x v="152"/>
    <n v="4.3"/>
    <s v="Cash"/>
  </r>
  <r>
    <n v="4048"/>
    <x v="26"/>
    <n v="66"/>
    <x v="22"/>
    <n v="3.3"/>
    <s v="Cash"/>
  </r>
  <r>
    <n v="4062"/>
    <x v="34"/>
    <n v="14"/>
    <x v="83"/>
    <n v="4.5999999999999996"/>
    <s v="Credit Card"/>
  </r>
  <r>
    <n v="4046"/>
    <x v="36"/>
    <n v="159"/>
    <x v="106"/>
    <n v="4.8"/>
    <s v="Credit Card"/>
  </r>
  <r>
    <n v="3971"/>
    <x v="34"/>
    <n v="116"/>
    <x v="170"/>
    <n v="4.5"/>
    <s v="Credit Card"/>
  </r>
  <r>
    <n v="4019"/>
    <x v="45"/>
    <n v="60"/>
    <x v="156"/>
    <n v="4.5"/>
    <s v="Cash"/>
  </r>
  <r>
    <n v="4020"/>
    <x v="3"/>
    <n v="107"/>
    <x v="252"/>
    <n v="2.6520547945205402"/>
    <s v="Cash"/>
  </r>
  <r>
    <n v="4017"/>
    <x v="12"/>
    <n v="72"/>
    <x v="350"/>
    <n v="2.2000000000000002"/>
    <s v="Credit Card"/>
  </r>
  <r>
    <n v="4122"/>
    <x v="44"/>
    <n v="177"/>
    <x v="184"/>
    <n v="1.6"/>
    <s v="Cash"/>
  </r>
  <r>
    <n v="4036"/>
    <x v="37"/>
    <n v="96"/>
    <x v="179"/>
    <n v="4.2"/>
    <s v="Cash"/>
  </r>
  <r>
    <n v="4108"/>
    <x v="16"/>
    <n v="135"/>
    <x v="228"/>
    <n v="4.8"/>
    <s v="Credit Card"/>
  </r>
  <r>
    <n v="3978"/>
    <x v="14"/>
    <n v="174"/>
    <x v="355"/>
    <n v="3.8"/>
    <s v="Credit Card"/>
  </r>
  <r>
    <n v="3973"/>
    <x v="45"/>
    <n v="127"/>
    <x v="108"/>
    <n v="1.3"/>
    <s v="Cash"/>
  </r>
  <r>
    <n v="4035"/>
    <x v="9"/>
    <n v="109.08474576271099"/>
    <x v="180"/>
    <n v="4.2"/>
    <s v="Cash"/>
  </r>
  <r>
    <n v="3986"/>
    <x v="33"/>
    <n v="53"/>
    <x v="149"/>
    <n v="3.4933333333333301"/>
    <s v="Cash"/>
  </r>
  <r>
    <n v="4043"/>
    <x v="46"/>
    <n v="107.26027397260199"/>
    <x v="163"/>
    <n v="2.7"/>
    <s v="Cash"/>
  </r>
  <r>
    <n v="4000"/>
    <x v="38"/>
    <n v="57"/>
    <x v="159"/>
    <n v="4.4000000000000004"/>
    <s v="Cash"/>
  </r>
  <r>
    <n v="3962"/>
    <x v="16"/>
    <n v="148"/>
    <x v="211"/>
    <n v="2.1"/>
    <s v="Cash"/>
  </r>
  <r>
    <n v="4094"/>
    <x v="1"/>
    <n v="25"/>
    <x v="243"/>
    <n v="4.7"/>
    <s v="Cash"/>
  </r>
  <r>
    <n v="4040"/>
    <x v="18"/>
    <n v="29"/>
    <x v="123"/>
    <n v="4.5999999999999996"/>
    <s v="Cash"/>
  </r>
  <r>
    <n v="3966"/>
    <x v="2"/>
    <n v="181"/>
    <x v="130"/>
    <n v="3.2285714285714202"/>
    <s v="Credit Card"/>
  </r>
  <r>
    <n v="4074"/>
    <x v="14"/>
    <n v="110.56666666666599"/>
    <x v="355"/>
    <n v="2.2000000000000002"/>
    <s v="Cash"/>
  </r>
  <r>
    <n v="4065"/>
    <x v="1"/>
    <n v="93.340909090908994"/>
    <x v="344"/>
    <n v="2.7"/>
    <s v="Cash"/>
  </r>
  <r>
    <n v="4102"/>
    <x v="25"/>
    <n v="103.98245614035"/>
    <x v="183"/>
    <n v="3.2016129032257998"/>
    <s v="Cash"/>
  </r>
  <r>
    <n v="4088"/>
    <x v="30"/>
    <n v="27"/>
    <x v="334"/>
    <n v="4"/>
    <s v="Cash"/>
  </r>
  <r>
    <n v="4064"/>
    <x v="9"/>
    <n v="12"/>
    <x v="55"/>
    <n v="1.3"/>
    <s v="Credit Card"/>
  </r>
  <r>
    <n v="4025"/>
    <x v="8"/>
    <n v="126"/>
    <x v="225"/>
    <n v="1.5"/>
    <s v="Cash"/>
  </r>
  <r>
    <n v="3962"/>
    <x v="9"/>
    <n v="168"/>
    <x v="248"/>
    <n v="3.5"/>
    <s v="Cash"/>
  </r>
  <r>
    <n v="4077"/>
    <x v="19"/>
    <n v="167"/>
    <x v="141"/>
    <n v="1.1000000000000001"/>
    <s v="Credit Card"/>
  </r>
  <r>
    <n v="4107"/>
    <x v="0"/>
    <n v="178"/>
    <x v="258"/>
    <n v="4.5999999999999996"/>
    <s v="Cash"/>
  </r>
  <r>
    <n v="3962"/>
    <x v="2"/>
    <n v="11"/>
    <x v="183"/>
    <n v="1.1000000000000001"/>
    <s v="Credit Card"/>
  </r>
  <r>
    <n v="4038"/>
    <x v="17"/>
    <n v="115"/>
    <x v="25"/>
    <n v="3.8"/>
    <s v="Cash"/>
  </r>
  <r>
    <n v="4053"/>
    <x v="18"/>
    <n v="105.95348837209301"/>
    <x v="256"/>
    <n v="4.2"/>
    <s v="Credit Card"/>
  </r>
  <r>
    <n v="4103"/>
    <x v="46"/>
    <n v="80"/>
    <x v="277"/>
    <n v="4.0999999999999996"/>
    <s v="Credit Card"/>
  </r>
  <r>
    <n v="4056"/>
    <x v="26"/>
    <n v="83"/>
    <x v="26"/>
    <n v="2.4"/>
    <s v="Cash"/>
  </r>
  <r>
    <n v="4039"/>
    <x v="0"/>
    <n v="112.145454545454"/>
    <x v="288"/>
    <n v="3.9"/>
    <s v="Cash"/>
  </r>
  <r>
    <n v="4103"/>
    <x v="48"/>
    <n v="182"/>
    <x v="301"/>
    <n v="3"/>
    <s v="Cash"/>
  </r>
  <r>
    <n v="3982"/>
    <x v="25"/>
    <n v="55"/>
    <x v="276"/>
    <n v="4.7"/>
    <s v="Cash"/>
  </r>
  <r>
    <n v="4082"/>
    <x v="4"/>
    <n v="114.77966101694901"/>
    <x v="192"/>
    <n v="1.3"/>
    <s v="Credit Card"/>
  </r>
  <r>
    <n v="3982"/>
    <x v="41"/>
    <n v="117.354166666666"/>
    <x v="197"/>
    <n v="2.2999999999999998"/>
    <s v="Cash"/>
  </r>
  <r>
    <n v="4009"/>
    <x v="10"/>
    <n v="103.354166666666"/>
    <x v="154"/>
    <n v="1.5"/>
    <s v="Cash"/>
  </r>
  <r>
    <n v="4043"/>
    <x v="31"/>
    <n v="113.54098360655701"/>
    <x v="118"/>
    <n v="4.2"/>
    <s v="Cash"/>
  </r>
  <r>
    <n v="4084"/>
    <x v="45"/>
    <n v="100"/>
    <x v="10"/>
    <n v="1.3"/>
    <s v="Credit Card"/>
  </r>
  <r>
    <n v="4085"/>
    <x v="33"/>
    <n v="111"/>
    <x v="356"/>
    <n v="1.6"/>
    <s v="Credit Card"/>
  </r>
  <r>
    <n v="4043"/>
    <x v="44"/>
    <n v="118.531914893617"/>
    <x v="202"/>
    <n v="4.0999999999999996"/>
    <s v="Credit Card"/>
  </r>
  <r>
    <n v="3999"/>
    <x v="3"/>
    <n v="127"/>
    <x v="18"/>
    <n v="1"/>
    <s v="Credit Card"/>
  </r>
  <r>
    <n v="4114"/>
    <x v="8"/>
    <n v="188"/>
    <x v="186"/>
    <n v="2.91904761904761"/>
    <s v="Credit Card"/>
  </r>
  <r>
    <n v="4033"/>
    <x v="13"/>
    <n v="185"/>
    <x v="329"/>
    <n v="4.5"/>
    <s v="Cash"/>
  </r>
  <r>
    <n v="4050"/>
    <x v="43"/>
    <n v="30"/>
    <x v="187"/>
    <n v="1.6"/>
    <s v="Cash"/>
  </r>
  <r>
    <n v="4068"/>
    <x v="14"/>
    <n v="176"/>
    <x v="88"/>
    <n v="4.5"/>
    <s v="Credit Card"/>
  </r>
  <r>
    <n v="4008"/>
    <x v="10"/>
    <n v="33"/>
    <x v="29"/>
    <n v="4.5"/>
    <s v="Cash"/>
  </r>
  <r>
    <n v="4084"/>
    <x v="19"/>
    <n v="106"/>
    <x v="258"/>
    <n v="1.4"/>
    <s v="Credit Card"/>
  </r>
  <r>
    <n v="4119"/>
    <x v="25"/>
    <n v="24"/>
    <x v="172"/>
    <n v="3.8"/>
    <s v="Cash"/>
  </r>
  <r>
    <n v="3976"/>
    <x v="26"/>
    <n v="189"/>
    <x v="263"/>
    <n v="4"/>
    <s v="Credit Card"/>
  </r>
  <r>
    <n v="4094"/>
    <x v="48"/>
    <n v="123.21818181818099"/>
    <x v="347"/>
    <n v="3"/>
    <s v="Credit Card"/>
  </r>
  <r>
    <n v="4011"/>
    <x v="16"/>
    <n v="121"/>
    <x v="321"/>
    <n v="3.06153846153846"/>
    <s v="Credit Card"/>
  </r>
  <r>
    <n v="4030"/>
    <x v="3"/>
    <n v="94"/>
    <x v="167"/>
    <n v="1"/>
    <s v="Credit Card"/>
  </r>
  <r>
    <n v="4024"/>
    <x v="9"/>
    <n v="34"/>
    <x v="49"/>
    <n v="1.9"/>
    <s v="Credit Card"/>
  </r>
  <r>
    <n v="3969"/>
    <x v="24"/>
    <n v="20"/>
    <x v="206"/>
    <n v="2.88305084745762"/>
    <s v="Cash"/>
  </r>
  <r>
    <n v="4033"/>
    <x v="44"/>
    <n v="187"/>
    <x v="301"/>
    <n v="3.262"/>
    <s v="Credit Card"/>
  </r>
  <r>
    <n v="4103"/>
    <x v="15"/>
    <n v="131"/>
    <x v="159"/>
    <n v="3.1"/>
    <s v="Credit Card"/>
  </r>
  <r>
    <n v="4059"/>
    <x v="18"/>
    <n v="29"/>
    <x v="211"/>
    <n v="1.8"/>
    <s v="Credit Card"/>
  </r>
  <r>
    <n v="4014"/>
    <x v="20"/>
    <n v="81"/>
    <x v="115"/>
    <n v="3.4"/>
    <s v="Credit Card"/>
  </r>
  <r>
    <n v="4116"/>
    <x v="47"/>
    <n v="154"/>
    <x v="355"/>
    <n v="2.2000000000000002"/>
    <s v="Cash"/>
  </r>
  <r>
    <n v="3980"/>
    <x v="47"/>
    <n v="55"/>
    <x v="330"/>
    <n v="4.5"/>
    <s v="Credit Card"/>
  </r>
  <r>
    <n v="4105"/>
    <x v="32"/>
    <n v="90"/>
    <x v="93"/>
    <n v="3.01249999999999"/>
    <s v="Cash"/>
  </r>
  <r>
    <n v="3981"/>
    <x v="49"/>
    <n v="105.1"/>
    <x v="315"/>
    <n v="1"/>
    <s v="Cash"/>
  </r>
  <r>
    <n v="4108"/>
    <x v="3"/>
    <n v="46"/>
    <x v="313"/>
    <n v="1.8"/>
    <s v="Cash"/>
  </r>
  <r>
    <n v="4043"/>
    <x v="6"/>
    <n v="192"/>
    <x v="172"/>
    <n v="3.2"/>
    <s v="Cash"/>
  </r>
  <r>
    <n v="4026"/>
    <x v="22"/>
    <n v="29"/>
    <x v="113"/>
    <n v="3.8"/>
    <s v="Credit Card"/>
  </r>
  <r>
    <n v="3974"/>
    <x v="23"/>
    <n v="154"/>
    <x v="267"/>
    <n v="1.3"/>
    <s v="Cash"/>
  </r>
  <r>
    <n v="4102"/>
    <x v="0"/>
    <n v="109"/>
    <x v="178"/>
    <n v="2.2999999999999998"/>
    <s v="Cash"/>
  </r>
  <r>
    <n v="4092"/>
    <x v="44"/>
    <n v="148"/>
    <x v="200"/>
    <n v="1.6"/>
    <s v="Cash"/>
  </r>
  <r>
    <n v="4078"/>
    <x v="25"/>
    <n v="199"/>
    <x v="250"/>
    <n v="3.4"/>
    <s v="Cash"/>
  </r>
  <r>
    <n v="4066"/>
    <x v="25"/>
    <n v="103.98245614035"/>
    <x v="57"/>
    <n v="3"/>
    <s v="Cash"/>
  </r>
  <r>
    <n v="4010"/>
    <x v="4"/>
    <n v="195"/>
    <x v="310"/>
    <n v="2.7"/>
    <s v="Credit Card"/>
  </r>
  <r>
    <n v="4045"/>
    <x v="33"/>
    <n v="97.071428571428498"/>
    <x v="290"/>
    <n v="3.9"/>
    <s v="Credit Card"/>
  </r>
  <r>
    <n v="3976"/>
    <x v="17"/>
    <n v="98"/>
    <x v="48"/>
    <n v="3.6"/>
    <s v="Credit Card"/>
  </r>
  <r>
    <n v="4034"/>
    <x v="5"/>
    <n v="99.697674418604606"/>
    <x v="11"/>
    <n v="2"/>
    <s v="Credit Card"/>
  </r>
  <r>
    <n v="4086"/>
    <x v="16"/>
    <n v="29"/>
    <x v="76"/>
    <n v="1.3"/>
    <s v="Credit Card"/>
  </r>
  <r>
    <n v="4033"/>
    <x v="10"/>
    <n v="167"/>
    <x v="222"/>
    <n v="2.7471698113207501"/>
    <s v="Credit Card"/>
  </r>
  <r>
    <n v="4067"/>
    <x v="9"/>
    <n v="111"/>
    <x v="47"/>
    <n v="3.9"/>
    <s v="Cash"/>
  </r>
  <r>
    <n v="4095"/>
    <x v="17"/>
    <n v="93"/>
    <x v="83"/>
    <n v="4.3"/>
    <s v="Cash"/>
  </r>
  <r>
    <n v="4037"/>
    <x v="32"/>
    <n v="110.431818181818"/>
    <x v="241"/>
    <n v="3.0125000000000002"/>
    <s v="Cash"/>
  </r>
  <r>
    <n v="4008"/>
    <x v="25"/>
    <n v="125"/>
    <x v="156"/>
    <n v="3.9"/>
    <s v="Cash"/>
  </r>
  <r>
    <n v="4063"/>
    <x v="11"/>
    <n v="101"/>
    <x v="32"/>
    <n v="2.45818181818181"/>
    <s v="Cash"/>
  </r>
  <r>
    <n v="4059"/>
    <x v="42"/>
    <n v="106"/>
    <x v="128"/>
    <n v="1.4"/>
    <s v="Credit Card"/>
  </r>
  <r>
    <n v="4021"/>
    <x v="30"/>
    <n v="184"/>
    <x v="145"/>
    <n v="4.7"/>
    <s v="Credit Card"/>
  </r>
  <r>
    <n v="4116"/>
    <x v="5"/>
    <n v="107"/>
    <x v="244"/>
    <n v="3.7"/>
    <s v="Credit Card"/>
  </r>
  <r>
    <n v="4088"/>
    <x v="16"/>
    <n v="102.74"/>
    <x v="260"/>
    <n v="1.3"/>
    <s v="Credit Card"/>
  </r>
  <r>
    <n v="4073"/>
    <x v="3"/>
    <n v="73"/>
    <x v="324"/>
    <n v="4.4000000000000004"/>
    <s v="Credit Card"/>
  </r>
  <r>
    <n v="4097"/>
    <x v="3"/>
    <n v="31"/>
    <x v="280"/>
    <n v="4"/>
    <s v="Credit Card"/>
  </r>
  <r>
    <n v="4003"/>
    <x v="35"/>
    <n v="107"/>
    <x v="268"/>
    <n v="3"/>
    <s v="Cash"/>
  </r>
  <r>
    <n v="3961"/>
    <x v="41"/>
    <n v="172"/>
    <x v="131"/>
    <n v="2.2999999999999998"/>
    <s v="Credit Card"/>
  </r>
  <r>
    <n v="4117"/>
    <x v="30"/>
    <n v="84.528571428571396"/>
    <x v="59"/>
    <n v="1.8"/>
    <s v="Credit Card"/>
  </r>
  <r>
    <n v="4089"/>
    <x v="40"/>
    <n v="102"/>
    <x v="39"/>
    <n v="1.2"/>
    <s v="Credit Card"/>
  </r>
  <r>
    <n v="4004"/>
    <x v="31"/>
    <n v="113.54098360655701"/>
    <x v="107"/>
    <n v="2.9"/>
    <s v="Credit Card"/>
  </r>
  <r>
    <n v="4104"/>
    <x v="28"/>
    <n v="99.866666666666603"/>
    <x v="30"/>
    <n v="4.7"/>
    <s v="Cash"/>
  </r>
  <r>
    <n v="4084"/>
    <x v="24"/>
    <n v="102"/>
    <x v="76"/>
    <n v="4.9000000000000004"/>
    <s v="Cash"/>
  </r>
  <r>
    <n v="4011"/>
    <x v="36"/>
    <n v="36"/>
    <x v="98"/>
    <n v="4.5999999999999996"/>
    <s v="Cash"/>
  </r>
  <r>
    <n v="4076"/>
    <x v="24"/>
    <n v="103.267857142857"/>
    <x v="207"/>
    <n v="1.6"/>
    <s v="Cash"/>
  </r>
  <r>
    <n v="4025"/>
    <x v="24"/>
    <n v="103.267857142857"/>
    <x v="164"/>
    <n v="2.7"/>
    <s v="Cash"/>
  </r>
  <r>
    <n v="4120"/>
    <x v="29"/>
    <n v="152"/>
    <x v="140"/>
    <n v="2.6590163934426201"/>
    <s v="Credit Card"/>
  </r>
  <r>
    <n v="4093"/>
    <x v="39"/>
    <n v="36"/>
    <x v="113"/>
    <n v="2.2999999999999998"/>
    <s v="Cash"/>
  </r>
  <r>
    <n v="4114"/>
    <x v="28"/>
    <n v="99.866666666666603"/>
    <x v="41"/>
    <n v="3.5"/>
    <s v="Cash"/>
  </r>
  <r>
    <n v="4068"/>
    <x v="3"/>
    <n v="33"/>
    <x v="233"/>
    <n v="1.1000000000000001"/>
    <s v="Cash"/>
  </r>
  <r>
    <n v="4101"/>
    <x v="24"/>
    <n v="93"/>
    <x v="200"/>
    <n v="3.6"/>
    <s v="Credit Card"/>
  </r>
  <r>
    <n v="4117"/>
    <x v="0"/>
    <n v="13"/>
    <x v="60"/>
    <n v="3.4"/>
    <s v="Cash"/>
  </r>
  <r>
    <n v="3972"/>
    <x v="14"/>
    <n v="109"/>
    <x v="14"/>
    <n v="1.4"/>
    <s v="Credit Card"/>
  </r>
  <r>
    <n v="4090"/>
    <x v="15"/>
    <n v="195"/>
    <x v="56"/>
    <n v="1.6"/>
    <s v="Credit Card"/>
  </r>
  <r>
    <n v="4008"/>
    <x v="37"/>
    <n v="72"/>
    <x v="165"/>
    <n v="1.1000000000000001"/>
    <s v="Credit Card"/>
  </r>
  <r>
    <n v="4050"/>
    <x v="38"/>
    <n v="53"/>
    <x v="32"/>
    <n v="2.2000000000000002"/>
    <s v="Cash"/>
  </r>
  <r>
    <n v="4075"/>
    <x v="24"/>
    <n v="53"/>
    <x v="216"/>
    <n v="3.2"/>
    <s v="Cash"/>
  </r>
  <r>
    <n v="3994"/>
    <x v="42"/>
    <n v="106.72413793103399"/>
    <x v="159"/>
    <n v="2.9"/>
    <s v="Cash"/>
  </r>
  <r>
    <n v="4018"/>
    <x v="21"/>
    <n v="136"/>
    <x v="177"/>
    <n v="2.7"/>
    <s v="Credit Card"/>
  </r>
  <r>
    <n v="3995"/>
    <x v="4"/>
    <n v="114.77966101694901"/>
    <x v="83"/>
    <n v="1.6"/>
    <s v="Cash"/>
  </r>
  <r>
    <n v="4033"/>
    <x v="29"/>
    <n v="88.827586206896498"/>
    <x v="90"/>
    <n v="1.2"/>
    <s v="Cash"/>
  </r>
  <r>
    <n v="4068"/>
    <x v="27"/>
    <n v="86"/>
    <x v="303"/>
    <n v="1.3"/>
    <s v="Cash"/>
  </r>
  <r>
    <n v="4062"/>
    <x v="30"/>
    <n v="29"/>
    <x v="117"/>
    <n v="2.9"/>
    <s v="Cash"/>
  </r>
  <r>
    <n v="4038"/>
    <x v="27"/>
    <n v="73"/>
    <x v="63"/>
    <n v="1.9"/>
    <s v="Credit Card"/>
  </r>
  <r>
    <n v="3973"/>
    <x v="35"/>
    <n v="136"/>
    <x v="344"/>
    <n v="4.2"/>
    <s v="Credit Card"/>
  </r>
  <r>
    <n v="4119"/>
    <x v="2"/>
    <n v="60"/>
    <x v="87"/>
    <n v="1.1000000000000001"/>
    <s v="Credit Card"/>
  </r>
  <r>
    <n v="4009"/>
    <x v="36"/>
    <n v="44"/>
    <x v="254"/>
    <n v="1.6"/>
    <s v="Credit Card"/>
  </r>
  <r>
    <n v="4062"/>
    <x v="0"/>
    <n v="111"/>
    <x v="349"/>
    <n v="3.7"/>
    <s v="Cash"/>
  </r>
  <r>
    <n v="4025"/>
    <x v="42"/>
    <n v="168"/>
    <x v="350"/>
    <n v="1.5"/>
    <s v="Credit Card"/>
  </r>
  <r>
    <n v="4030"/>
    <x v="49"/>
    <n v="94"/>
    <x v="220"/>
    <n v="2.1"/>
    <s v="Credit Card"/>
  </r>
  <r>
    <n v="4122"/>
    <x v="3"/>
    <n v="120"/>
    <x v="326"/>
    <n v="4.2"/>
    <s v="Cash"/>
  </r>
  <r>
    <n v="3998"/>
    <x v="12"/>
    <n v="176"/>
    <x v="71"/>
    <n v="2.5"/>
    <s v="Credit Card"/>
  </r>
  <r>
    <n v="4022"/>
    <x v="8"/>
    <n v="44"/>
    <x v="236"/>
    <n v="1.3"/>
    <s v="Credit Card"/>
  </r>
  <r>
    <n v="4110"/>
    <x v="3"/>
    <n v="164"/>
    <x v="22"/>
    <n v="2.7"/>
    <s v="Cash"/>
  </r>
  <r>
    <n v="4017"/>
    <x v="11"/>
    <n v="61"/>
    <x v="112"/>
    <n v="2.2999999999999998"/>
    <s v="Credit Card"/>
  </r>
  <r>
    <n v="4060"/>
    <x v="26"/>
    <n v="55"/>
    <x v="150"/>
    <n v="4.5"/>
    <s v="Credit Card"/>
  </r>
  <r>
    <n v="4018"/>
    <x v="4"/>
    <n v="91"/>
    <x v="67"/>
    <n v="4.7"/>
    <s v="Credit Card"/>
  </r>
  <r>
    <n v="3986"/>
    <x v="49"/>
    <n v="187"/>
    <x v="172"/>
    <n v="4.0999999999999996"/>
    <s v="Credit Card"/>
  </r>
  <r>
    <n v="3995"/>
    <x v="23"/>
    <n v="157"/>
    <x v="51"/>
    <n v="3.3"/>
    <s v="Credit Card"/>
  </r>
  <r>
    <n v="4006"/>
    <x v="23"/>
    <n v="93"/>
    <x v="342"/>
    <n v="1.8"/>
    <s v="Cash"/>
  </r>
  <r>
    <n v="3964"/>
    <x v="15"/>
    <n v="110"/>
    <x v="11"/>
    <n v="2.2999999999999998"/>
    <s v="Cash"/>
  </r>
  <r>
    <n v="4019"/>
    <x v="46"/>
    <n v="154"/>
    <x v="116"/>
    <n v="4.9000000000000004"/>
    <s v="Cash"/>
  </r>
  <r>
    <n v="4036"/>
    <x v="26"/>
    <n v="111.854838709677"/>
    <x v="166"/>
    <n v="3.4"/>
    <s v="Credit Card"/>
  </r>
  <r>
    <n v="4075"/>
    <x v="11"/>
    <n v="56"/>
    <x v="50"/>
    <n v="4.3"/>
    <s v="Cash"/>
  </r>
  <r>
    <n v="4081"/>
    <x v="0"/>
    <n v="150"/>
    <x v="344"/>
    <n v="2.9"/>
    <s v="Cash"/>
  </r>
  <r>
    <n v="4100"/>
    <x v="1"/>
    <n v="93.340909090908994"/>
    <x v="30"/>
    <n v="3.0185185185185102"/>
    <s v="Credit Card"/>
  </r>
  <r>
    <n v="4068"/>
    <x v="8"/>
    <n v="191"/>
    <x v="145"/>
    <n v="1.4"/>
    <s v="Credit Card"/>
  </r>
  <r>
    <n v="4065"/>
    <x v="2"/>
    <n v="84"/>
    <x v="226"/>
    <n v="3.5"/>
    <s v="Credit Card"/>
  </r>
  <r>
    <n v="4122"/>
    <x v="47"/>
    <n v="27"/>
    <x v="304"/>
    <n v="3.2020408163265301"/>
    <s v="Cash"/>
  </r>
  <r>
    <n v="3966"/>
    <x v="31"/>
    <n v="114"/>
    <x v="33"/>
    <n v="3.4"/>
    <s v="Credit Card"/>
  </r>
  <r>
    <n v="4008"/>
    <x v="9"/>
    <n v="45"/>
    <x v="12"/>
    <n v="4.8"/>
    <s v="Cash"/>
  </r>
  <r>
    <n v="3997"/>
    <x v="30"/>
    <n v="71"/>
    <x v="236"/>
    <n v="2.8"/>
    <s v="Cash"/>
  </r>
  <r>
    <n v="4026"/>
    <x v="25"/>
    <n v="49"/>
    <x v="118"/>
    <n v="4.2"/>
    <s v="Cash"/>
  </r>
  <r>
    <n v="3991"/>
    <x v="4"/>
    <n v="106"/>
    <x v="98"/>
    <n v="1.6"/>
    <s v="Credit Card"/>
  </r>
  <r>
    <n v="3964"/>
    <x v="26"/>
    <n v="111.854838709677"/>
    <x v="42"/>
    <n v="1.2"/>
    <s v="Credit Card"/>
  </r>
  <r>
    <n v="4023"/>
    <x v="26"/>
    <n v="132"/>
    <x v="39"/>
    <n v="3.5"/>
    <s v="Cash"/>
  </r>
  <r>
    <n v="4028"/>
    <x v="49"/>
    <n v="146"/>
    <x v="86"/>
    <n v="4.3"/>
    <s v="Credit Card"/>
  </r>
  <r>
    <n v="4097"/>
    <x v="18"/>
    <n v="187"/>
    <x v="58"/>
    <n v="1.6"/>
    <s v="Cash"/>
  </r>
  <r>
    <n v="4002"/>
    <x v="6"/>
    <n v="19"/>
    <x v="331"/>
    <n v="2.2999999999999998"/>
    <s v="Cash"/>
  </r>
  <r>
    <n v="4121"/>
    <x v="7"/>
    <n v="102"/>
    <x v="236"/>
    <n v="3.4"/>
    <s v="Credit Card"/>
  </r>
  <r>
    <n v="3967"/>
    <x v="45"/>
    <n v="147"/>
    <x v="162"/>
    <n v="4.3"/>
    <s v="Credit Card"/>
  </r>
  <r>
    <n v="4081"/>
    <x v="31"/>
    <n v="31"/>
    <x v="105"/>
    <n v="4.8"/>
    <s v="Credit Card"/>
  </r>
  <r>
    <n v="3962"/>
    <x v="29"/>
    <n v="88.827586206896498"/>
    <x v="101"/>
    <n v="1.5"/>
    <s v="Cash"/>
  </r>
  <r>
    <n v="3971"/>
    <x v="8"/>
    <n v="180"/>
    <x v="326"/>
    <n v="3.9"/>
    <s v="Cash"/>
  </r>
  <r>
    <n v="3978"/>
    <x v="40"/>
    <n v="175"/>
    <x v="47"/>
    <n v="4.2"/>
    <s v="Cash"/>
  </r>
  <r>
    <n v="4037"/>
    <x v="11"/>
    <n v="154"/>
    <x v="274"/>
    <n v="4.2"/>
    <s v="Credit Card"/>
  </r>
  <r>
    <n v="4111"/>
    <x v="39"/>
    <n v="183"/>
    <x v="253"/>
    <n v="4.3"/>
    <s v="Cash"/>
  </r>
  <r>
    <n v="4033"/>
    <x v="5"/>
    <n v="94"/>
    <x v="308"/>
    <n v="2.8953488372092999"/>
    <s v="Cash"/>
  </r>
  <r>
    <n v="3973"/>
    <x v="38"/>
    <n v="120"/>
    <x v="350"/>
    <n v="1.6"/>
    <s v="Credit Card"/>
  </r>
  <r>
    <n v="4061"/>
    <x v="37"/>
    <n v="108.54716981132"/>
    <x v="77"/>
    <n v="3.0546875"/>
    <s v="Credit Card"/>
  </r>
  <r>
    <n v="4050"/>
    <x v="7"/>
    <n v="103.564102564102"/>
    <x v="48"/>
    <n v="4"/>
    <s v="Cash"/>
  </r>
  <r>
    <n v="3980"/>
    <x v="40"/>
    <n v="142"/>
    <x v="60"/>
    <n v="2.9761904761904701"/>
    <s v="Credit Card"/>
  </r>
  <r>
    <n v="4058"/>
    <x v="30"/>
    <n v="186"/>
    <x v="85"/>
    <n v="4.5999999999999996"/>
    <s v="Cash"/>
  </r>
  <r>
    <n v="3992"/>
    <x v="2"/>
    <n v="124"/>
    <x v="190"/>
    <n v="3.5"/>
    <s v="Credit Card"/>
  </r>
  <r>
    <n v="4017"/>
    <x v="19"/>
    <n v="128"/>
    <x v="68"/>
    <n v="3.4"/>
    <s v="Credit Card"/>
  </r>
  <r>
    <n v="3985"/>
    <x v="18"/>
    <n v="160"/>
    <x v="295"/>
    <n v="1.4"/>
    <s v="Credit Card"/>
  </r>
  <r>
    <n v="4103"/>
    <x v="22"/>
    <n v="48"/>
    <x v="210"/>
    <n v="2.1"/>
    <s v="Cash"/>
  </r>
  <r>
    <n v="4085"/>
    <x v="9"/>
    <n v="16"/>
    <x v="39"/>
    <n v="2.8"/>
    <s v="Credit Card"/>
  </r>
  <r>
    <n v="3987"/>
    <x v="25"/>
    <n v="85"/>
    <x v="62"/>
    <n v="1.5"/>
    <s v="Credit Card"/>
  </r>
  <r>
    <n v="4090"/>
    <x v="18"/>
    <n v="31"/>
    <x v="272"/>
    <n v="1.5"/>
    <s v="Credit Card"/>
  </r>
  <r>
    <n v="4105"/>
    <x v="46"/>
    <n v="107.26027397260199"/>
    <x v="197"/>
    <n v="3.2"/>
    <s v="Cash"/>
  </r>
  <r>
    <n v="4091"/>
    <x v="15"/>
    <n v="46"/>
    <x v="282"/>
    <n v="2.2999999999999998"/>
    <s v="Cash"/>
  </r>
  <r>
    <n v="4021"/>
    <x v="1"/>
    <n v="97"/>
    <x v="172"/>
    <n v="3.2"/>
    <s v="Cash"/>
  </r>
  <r>
    <n v="4084"/>
    <x v="49"/>
    <n v="62"/>
    <x v="49"/>
    <n v="3.6"/>
    <s v="Cash"/>
  </r>
  <r>
    <n v="3980"/>
    <x v="18"/>
    <n v="99"/>
    <x v="143"/>
    <n v="2.2999999999999998"/>
    <s v="Credit Card"/>
  </r>
  <r>
    <n v="4017"/>
    <x v="14"/>
    <n v="122"/>
    <x v="68"/>
    <n v="1.1000000000000001"/>
    <s v="Cash"/>
  </r>
  <r>
    <n v="4110"/>
    <x v="49"/>
    <n v="125"/>
    <x v="298"/>
    <n v="3.3"/>
    <s v="Cash"/>
  </r>
  <r>
    <n v="3988"/>
    <x v="34"/>
    <n v="86"/>
    <x v="16"/>
    <n v="4.5"/>
    <s v="Credit Card"/>
  </r>
  <r>
    <n v="4037"/>
    <x v="13"/>
    <n v="103.108695652173"/>
    <x v="351"/>
    <n v="3.04897959183673"/>
    <s v="Credit Card"/>
  </r>
  <r>
    <n v="4041"/>
    <x v="30"/>
    <n v="15"/>
    <x v="27"/>
    <n v="1.5"/>
    <s v="Credit Card"/>
  </r>
  <r>
    <n v="4106"/>
    <x v="26"/>
    <n v="175"/>
    <x v="235"/>
    <n v="3"/>
    <s v="Credit Card"/>
  </r>
  <r>
    <n v="4056"/>
    <x v="16"/>
    <n v="102.74"/>
    <x v="241"/>
    <n v="3.06153846153846"/>
    <s v="Credit Card"/>
  </r>
  <r>
    <n v="4017"/>
    <x v="15"/>
    <n v="199"/>
    <x v="41"/>
    <n v="3.1"/>
    <s v="Credit Card"/>
  </r>
  <r>
    <n v="4065"/>
    <x v="16"/>
    <n v="54"/>
    <x v="169"/>
    <n v="1.9"/>
    <s v="Credit Card"/>
  </r>
  <r>
    <n v="4012"/>
    <x v="35"/>
    <n v="94"/>
    <x v="78"/>
    <n v="4.9000000000000004"/>
    <s v="Credit Card"/>
  </r>
  <r>
    <n v="3993"/>
    <x v="23"/>
    <n v="128"/>
    <x v="53"/>
    <n v="2.7"/>
    <s v="Credit Card"/>
  </r>
  <r>
    <n v="3984"/>
    <x v="30"/>
    <n v="113"/>
    <x v="206"/>
    <n v="3"/>
    <s v="Credit Card"/>
  </r>
  <r>
    <n v="4001"/>
    <x v="48"/>
    <n v="57"/>
    <x v="29"/>
    <n v="3.1"/>
    <s v="Cash"/>
  </r>
  <r>
    <n v="4011"/>
    <x v="0"/>
    <n v="120"/>
    <x v="8"/>
    <n v="2.6"/>
    <s v="Cash"/>
  </r>
  <r>
    <n v="4027"/>
    <x v="14"/>
    <n v="198"/>
    <x v="52"/>
    <n v="4.3"/>
    <s v="Credit Card"/>
  </r>
  <r>
    <n v="4069"/>
    <x v="16"/>
    <n v="60"/>
    <x v="291"/>
    <n v="2.8"/>
    <s v="Credit Card"/>
  </r>
  <r>
    <n v="4061"/>
    <x v="21"/>
    <n v="119"/>
    <x v="166"/>
    <n v="4.5999999999999996"/>
    <s v="Credit Card"/>
  </r>
  <r>
    <n v="4022"/>
    <x v="23"/>
    <n v="190"/>
    <x v="112"/>
    <n v="2"/>
    <s v="Credit Card"/>
  </r>
  <r>
    <n v="4107"/>
    <x v="21"/>
    <n v="81"/>
    <x v="267"/>
    <n v="3.2"/>
    <s v="Credit Card"/>
  </r>
  <r>
    <n v="3971"/>
    <x v="45"/>
    <n v="26"/>
    <x v="297"/>
    <n v="3.1235294117647001"/>
    <s v="Credit Card"/>
  </r>
  <r>
    <n v="4082"/>
    <x v="46"/>
    <n v="147"/>
    <x v="144"/>
    <n v="1.9"/>
    <s v="Credit Card"/>
  </r>
  <r>
    <n v="4093"/>
    <x v="28"/>
    <n v="99.866666666666603"/>
    <x v="318"/>
    <n v="2.9636363636363598"/>
    <s v="Credit Card"/>
  </r>
  <r>
    <n v="4052"/>
    <x v="38"/>
    <n v="127"/>
    <x v="248"/>
    <n v="1.9"/>
    <s v="Cash"/>
  </r>
  <r>
    <n v="3985"/>
    <x v="46"/>
    <n v="107.26027397260199"/>
    <x v="151"/>
    <n v="4.5"/>
    <s v="Cash"/>
  </r>
  <r>
    <n v="4038"/>
    <x v="16"/>
    <n v="135"/>
    <x v="87"/>
    <n v="2.2999999999999998"/>
    <s v="Cash"/>
  </r>
  <r>
    <n v="4096"/>
    <x v="49"/>
    <n v="173"/>
    <x v="195"/>
    <n v="3.7"/>
    <s v="Cash"/>
  </r>
  <r>
    <n v="4065"/>
    <x v="14"/>
    <n v="109"/>
    <x v="191"/>
    <n v="3.05820895522388"/>
    <s v="Credit Card"/>
  </r>
  <r>
    <n v="4078"/>
    <x v="48"/>
    <n v="160"/>
    <x v="226"/>
    <n v="3"/>
    <s v="Credit Card"/>
  </r>
  <r>
    <n v="4020"/>
    <x v="27"/>
    <n v="108.734693877551"/>
    <x v="132"/>
    <n v="3.8"/>
    <s v="Cash"/>
  </r>
  <r>
    <n v="4028"/>
    <x v="43"/>
    <n v="127"/>
    <x v="105"/>
    <n v="1.2"/>
    <s v="Cash"/>
  </r>
  <r>
    <n v="3994"/>
    <x v="7"/>
    <n v="182"/>
    <x v="37"/>
    <n v="1.8"/>
    <s v="Cash"/>
  </r>
  <r>
    <n v="4049"/>
    <x v="46"/>
    <n v="86"/>
    <x v="14"/>
    <n v="1"/>
    <s v="Credit Card"/>
  </r>
  <r>
    <n v="4078"/>
    <x v="41"/>
    <n v="161"/>
    <x v="210"/>
    <n v="3.3"/>
    <s v="Cash"/>
  </r>
  <r>
    <n v="4051"/>
    <x v="31"/>
    <n v="113.54098360655701"/>
    <x v="119"/>
    <n v="4.5999999999999996"/>
    <s v="Cash"/>
  </r>
  <r>
    <n v="4035"/>
    <x v="1"/>
    <n v="93.340909090908994"/>
    <x v="268"/>
    <n v="1.9"/>
    <s v="Credit Card"/>
  </r>
  <r>
    <n v="3962"/>
    <x v="4"/>
    <n v="114.77966101694901"/>
    <x v="197"/>
    <n v="4.7"/>
    <s v="Cash"/>
  </r>
  <r>
    <n v="4122"/>
    <x v="30"/>
    <n v="56"/>
    <x v="59"/>
    <n v="2.1"/>
    <s v="Cash"/>
  </r>
  <r>
    <n v="4112"/>
    <x v="24"/>
    <n v="46"/>
    <x v="31"/>
    <n v="3"/>
    <s v="Cash"/>
  </r>
  <r>
    <n v="3965"/>
    <x v="35"/>
    <n v="117"/>
    <x v="60"/>
    <n v="1.8"/>
    <s v="Credit Card"/>
  </r>
  <r>
    <n v="3970"/>
    <x v="12"/>
    <n v="157"/>
    <x v="242"/>
    <n v="2.2999999999999998"/>
    <s v="Credit Card"/>
  </r>
  <r>
    <n v="4018"/>
    <x v="7"/>
    <n v="57"/>
    <x v="233"/>
    <n v="2"/>
    <s v="Credit Card"/>
  </r>
  <r>
    <n v="4021"/>
    <x v="4"/>
    <n v="147"/>
    <x v="116"/>
    <n v="2.1"/>
    <s v="Cash"/>
  </r>
  <r>
    <n v="4098"/>
    <x v="24"/>
    <n v="175"/>
    <x v="334"/>
    <n v="2.88305084745762"/>
    <s v="Cash"/>
  </r>
  <r>
    <n v="4055"/>
    <x v="21"/>
    <n v="54"/>
    <x v="267"/>
    <n v="3.6"/>
    <s v="Credit Card"/>
  </r>
  <r>
    <n v="4036"/>
    <x v="35"/>
    <n v="135"/>
    <x v="257"/>
    <n v="2.6"/>
    <s v="Credit Card"/>
  </r>
  <r>
    <n v="4120"/>
    <x v="30"/>
    <n v="57"/>
    <x v="330"/>
    <n v="1.2"/>
    <s v="Credit Card"/>
  </r>
  <r>
    <n v="4049"/>
    <x v="20"/>
    <n v="125"/>
    <x v="180"/>
    <n v="4"/>
    <s v="Credit Card"/>
  </r>
  <r>
    <n v="3988"/>
    <x v="21"/>
    <n v="101"/>
    <x v="89"/>
    <n v="1.8"/>
    <s v="Credit Card"/>
  </r>
  <r>
    <n v="4093"/>
    <x v="37"/>
    <n v="134"/>
    <x v="240"/>
    <n v="4"/>
    <s v="Cash"/>
  </r>
  <r>
    <n v="4017"/>
    <x v="43"/>
    <n v="111.564102564102"/>
    <x v="250"/>
    <n v="3.7"/>
    <s v="Cash"/>
  </r>
  <r>
    <n v="4070"/>
    <x v="14"/>
    <n v="153"/>
    <x v="85"/>
    <n v="4.3"/>
    <s v="Credit Card"/>
  </r>
  <r>
    <n v="4056"/>
    <x v="48"/>
    <n v="136"/>
    <x v="159"/>
    <n v="1.2"/>
    <s v="Credit Card"/>
  </r>
  <r>
    <n v="3959"/>
    <x v="49"/>
    <n v="135"/>
    <x v="280"/>
    <n v="3.3"/>
    <s v="Credit Card"/>
  </r>
  <r>
    <n v="4057"/>
    <x v="9"/>
    <n v="123"/>
    <x v="136"/>
    <n v="2"/>
    <s v="Credit Card"/>
  </r>
  <r>
    <n v="4022"/>
    <x v="28"/>
    <n v="31"/>
    <x v="57"/>
    <n v="2.2000000000000002"/>
    <s v="Cash"/>
  </r>
  <r>
    <n v="4034"/>
    <x v="20"/>
    <n v="66"/>
    <x v="331"/>
    <n v="1.7"/>
    <s v="Credit Card"/>
  </r>
  <r>
    <n v="3980"/>
    <x v="41"/>
    <n v="80"/>
    <x v="5"/>
    <n v="3"/>
    <s v="Credit Card"/>
  </r>
  <r>
    <n v="4017"/>
    <x v="44"/>
    <n v="83"/>
    <x v="262"/>
    <n v="3.9"/>
    <s v="Credit Card"/>
  </r>
  <r>
    <n v="4033"/>
    <x v="45"/>
    <n v="106.297872340425"/>
    <x v="193"/>
    <n v="2.6"/>
    <s v="Cash"/>
  </r>
  <r>
    <n v="4010"/>
    <x v="27"/>
    <n v="200"/>
    <x v="245"/>
    <n v="4.7"/>
    <s v="Cash"/>
  </r>
  <r>
    <n v="3998"/>
    <x v="26"/>
    <n v="136"/>
    <x v="233"/>
    <n v="3.4"/>
    <s v="Credit Card"/>
  </r>
  <r>
    <n v="4069"/>
    <x v="30"/>
    <n v="38"/>
    <x v="72"/>
    <n v="3.7"/>
    <s v="Credit Card"/>
  </r>
  <r>
    <n v="4118"/>
    <x v="47"/>
    <n v="78"/>
    <x v="77"/>
    <n v="1.3"/>
    <s v="Credit Card"/>
  </r>
  <r>
    <n v="4038"/>
    <x v="0"/>
    <n v="103"/>
    <x v="159"/>
    <n v="1"/>
    <s v="Cash"/>
  </r>
  <r>
    <n v="4121"/>
    <x v="30"/>
    <n v="20"/>
    <x v="167"/>
    <n v="3.0542857142857098"/>
    <s v="Credit Card"/>
  </r>
  <r>
    <n v="4061"/>
    <x v="10"/>
    <n v="122"/>
    <x v="235"/>
    <n v="2.7471698113207501"/>
    <s v="Credit Card"/>
  </r>
  <r>
    <n v="3965"/>
    <x v="30"/>
    <n v="118"/>
    <x v="334"/>
    <n v="3.0542857142857098"/>
    <s v="Credit Card"/>
  </r>
  <r>
    <n v="4027"/>
    <x v="23"/>
    <n v="112.745762711864"/>
    <x v="93"/>
    <n v="1"/>
    <s v="Cash"/>
  </r>
  <r>
    <n v="3977"/>
    <x v="5"/>
    <n v="73"/>
    <x v="72"/>
    <n v="3.9"/>
    <s v="Credit Card"/>
  </r>
  <r>
    <n v="4082"/>
    <x v="3"/>
    <n v="18"/>
    <x v="300"/>
    <n v="1.4"/>
    <s v="Cash"/>
  </r>
  <r>
    <n v="4077"/>
    <x v="40"/>
    <n v="99"/>
    <x v="248"/>
    <n v="3.6"/>
    <s v="Credit Card"/>
  </r>
  <r>
    <n v="4062"/>
    <x v="27"/>
    <n v="32"/>
    <x v="190"/>
    <n v="4"/>
    <s v="Cash"/>
  </r>
  <r>
    <n v="4042"/>
    <x v="46"/>
    <n v="40"/>
    <x v="308"/>
    <n v="2.1"/>
    <s v="Cash"/>
  </r>
  <r>
    <n v="4065"/>
    <x v="39"/>
    <n v="70"/>
    <x v="100"/>
    <n v="2.2000000000000002"/>
    <s v="Cash"/>
  </r>
  <r>
    <n v="3982"/>
    <x v="35"/>
    <n v="198"/>
    <x v="272"/>
    <n v="3.01566265060241"/>
    <s v="Cash"/>
  </r>
  <r>
    <n v="3998"/>
    <x v="3"/>
    <n v="99"/>
    <x v="228"/>
    <n v="1.6"/>
    <s v="Credit Card"/>
  </r>
  <r>
    <n v="4023"/>
    <x v="9"/>
    <n v="166"/>
    <x v="237"/>
    <n v="4.7"/>
    <s v="Cash"/>
  </r>
  <r>
    <n v="4086"/>
    <x v="30"/>
    <n v="52"/>
    <x v="284"/>
    <n v="4.7"/>
    <s v="Cash"/>
  </r>
  <r>
    <n v="3973"/>
    <x v="31"/>
    <n v="62"/>
    <x v="227"/>
    <n v="3.5"/>
    <s v="Cash"/>
  </r>
  <r>
    <n v="4047"/>
    <x v="10"/>
    <n v="25"/>
    <x v="55"/>
    <n v="4.2"/>
    <s v="Cash"/>
  </r>
  <r>
    <n v="4064"/>
    <x v="8"/>
    <n v="146"/>
    <x v="143"/>
    <n v="4.7"/>
    <s v="Cash"/>
  </r>
  <r>
    <n v="4111"/>
    <x v="24"/>
    <n v="147"/>
    <x v="305"/>
    <n v="1.5"/>
    <s v="Credit Card"/>
  </r>
  <r>
    <n v="4097"/>
    <x v="47"/>
    <n v="114.217391304347"/>
    <x v="305"/>
    <n v="2.8"/>
    <s v="Credit Card"/>
  </r>
  <r>
    <n v="4040"/>
    <x v="23"/>
    <n v="84"/>
    <x v="264"/>
    <n v="3.8"/>
    <s v="Cash"/>
  </r>
  <r>
    <n v="4073"/>
    <x v="48"/>
    <n v="78"/>
    <x v="126"/>
    <n v="1.1000000000000001"/>
    <s v="Credit Card"/>
  </r>
  <r>
    <n v="3964"/>
    <x v="10"/>
    <n v="141"/>
    <x v="79"/>
    <n v="1.3"/>
    <s v="Cash"/>
  </r>
  <r>
    <n v="3970"/>
    <x v="28"/>
    <n v="183"/>
    <x v="271"/>
    <n v="1.9"/>
    <s v="Cash"/>
  </r>
  <r>
    <n v="4121"/>
    <x v="35"/>
    <n v="44"/>
    <x v="43"/>
    <n v="2.5"/>
    <s v="Credit Card"/>
  </r>
  <r>
    <n v="4121"/>
    <x v="40"/>
    <n v="115"/>
    <x v="357"/>
    <n v="2.9761904761904701"/>
    <s v="Cash"/>
  </r>
  <r>
    <n v="4004"/>
    <x v="22"/>
    <n v="80"/>
    <x v="238"/>
    <n v="2.9"/>
    <s v="Credit Card"/>
  </r>
  <r>
    <n v="4118"/>
    <x v="13"/>
    <n v="42"/>
    <x v="16"/>
    <n v="1.1000000000000001"/>
    <s v="Cash"/>
  </r>
  <r>
    <n v="4070"/>
    <x v="4"/>
    <n v="43"/>
    <x v="19"/>
    <n v="3.6"/>
    <s v="Credit Card"/>
  </r>
  <r>
    <n v="4121"/>
    <x v="25"/>
    <n v="192"/>
    <x v="295"/>
    <n v="4.5"/>
    <s v="Cash"/>
  </r>
  <r>
    <n v="3991"/>
    <x v="7"/>
    <n v="73"/>
    <x v="95"/>
    <n v="3.9"/>
    <s v="Credit Card"/>
  </r>
  <r>
    <n v="3957"/>
    <x v="8"/>
    <n v="183"/>
    <x v="260"/>
    <n v="2.1"/>
    <s v="Credit Card"/>
  </r>
  <r>
    <n v="4059"/>
    <x v="0"/>
    <n v="46"/>
    <x v="236"/>
    <n v="4.9000000000000004"/>
    <s v="Credit Card"/>
  </r>
  <r>
    <n v="4008"/>
    <x v="2"/>
    <n v="78"/>
    <x v="26"/>
    <n v="3.8"/>
    <s v="Cash"/>
  </r>
  <r>
    <n v="4117"/>
    <x v="23"/>
    <n v="106"/>
    <x v="138"/>
    <n v="5"/>
    <s v="Credit Card"/>
  </r>
  <r>
    <n v="4035"/>
    <x v="13"/>
    <n v="172"/>
    <x v="107"/>
    <n v="3.04897959183673"/>
    <s v="Cash"/>
  </r>
  <r>
    <n v="4037"/>
    <x v="33"/>
    <n v="33"/>
    <x v="137"/>
    <n v="4.4000000000000004"/>
    <s v="Cash"/>
  </r>
  <r>
    <n v="4104"/>
    <x v="28"/>
    <n v="81"/>
    <x v="116"/>
    <n v="3.8"/>
    <s v="Cash"/>
  </r>
  <r>
    <n v="3978"/>
    <x v="18"/>
    <n v="104"/>
    <x v="246"/>
    <n v="3.9"/>
    <s v="Cash"/>
  </r>
  <r>
    <n v="3985"/>
    <x v="18"/>
    <n v="134"/>
    <x v="25"/>
    <n v="2.1"/>
    <s v="Cash"/>
  </r>
  <r>
    <n v="3997"/>
    <x v="28"/>
    <n v="10"/>
    <x v="199"/>
    <n v="2.9636363636363598"/>
    <s v="Credit Card"/>
  </r>
  <r>
    <n v="4020"/>
    <x v="18"/>
    <n v="197"/>
    <x v="32"/>
    <n v="4.3"/>
    <s v="Credit Card"/>
  </r>
  <r>
    <n v="4089"/>
    <x v="18"/>
    <n v="105.95348837209301"/>
    <x v="349"/>
    <n v="2.5"/>
    <s v="Cash"/>
  </r>
  <r>
    <n v="3990"/>
    <x v="16"/>
    <n v="172"/>
    <x v="173"/>
    <n v="3.9"/>
    <s v="Credit Card"/>
  </r>
  <r>
    <n v="4109"/>
    <x v="23"/>
    <n v="101"/>
    <x v="17"/>
    <n v="2.2999999999999998"/>
    <s v="Credit Card"/>
  </r>
  <r>
    <n v="4062"/>
    <x v="31"/>
    <n v="146"/>
    <x v="351"/>
    <n v="2.6"/>
    <s v="Cash"/>
  </r>
  <r>
    <n v="4038"/>
    <x v="32"/>
    <n v="119"/>
    <x v="239"/>
    <n v="2.5"/>
    <s v="Credit Card"/>
  </r>
  <r>
    <n v="4072"/>
    <x v="45"/>
    <n v="136"/>
    <x v="273"/>
    <n v="4.0999999999999996"/>
    <s v="Credit Card"/>
  </r>
  <r>
    <n v="4079"/>
    <x v="13"/>
    <n v="82"/>
    <x v="243"/>
    <n v="3.7"/>
    <s v="Credit Card"/>
  </r>
  <r>
    <n v="3991"/>
    <x v="12"/>
    <n v="157"/>
    <x v="358"/>
    <n v="3.7"/>
    <s v="Credit Card"/>
  </r>
  <r>
    <n v="4023"/>
    <x v="39"/>
    <n v="93.135593220338905"/>
    <x v="304"/>
    <n v="4.8"/>
    <s v="Credit Card"/>
  </r>
  <r>
    <n v="4001"/>
    <x v="47"/>
    <n v="97"/>
    <x v="82"/>
    <n v="3.2020408163265301"/>
    <s v="Credit Card"/>
  </r>
  <r>
    <n v="4108"/>
    <x v="22"/>
    <n v="22"/>
    <x v="259"/>
    <n v="1.6"/>
    <s v="Credit Card"/>
  </r>
  <r>
    <n v="4040"/>
    <x v="6"/>
    <n v="105.81034482758599"/>
    <x v="135"/>
    <n v="3.6"/>
    <s v="Credit Card"/>
  </r>
  <r>
    <n v="4029"/>
    <x v="16"/>
    <n v="127"/>
    <x v="166"/>
    <n v="3.2"/>
    <s v="Cash"/>
  </r>
  <r>
    <n v="4007"/>
    <x v="22"/>
    <n v="95.292307692307602"/>
    <x v="317"/>
    <n v="4.5999999999999996"/>
    <s v="Credit Card"/>
  </r>
  <r>
    <n v="3978"/>
    <x v="31"/>
    <n v="50"/>
    <x v="19"/>
    <n v="4.7"/>
    <s v="Credit Card"/>
  </r>
  <r>
    <n v="4063"/>
    <x v="2"/>
    <n v="10"/>
    <x v="229"/>
    <n v="1.6"/>
    <s v="Cash"/>
  </r>
  <r>
    <n v="4051"/>
    <x v="41"/>
    <n v="119"/>
    <x v="32"/>
    <n v="3.5"/>
    <s v="Cash"/>
  </r>
  <r>
    <n v="4003"/>
    <x v="26"/>
    <n v="186"/>
    <x v="259"/>
    <n v="4.4000000000000004"/>
    <s v="Credit Card"/>
  </r>
  <r>
    <n v="4057"/>
    <x v="17"/>
    <n v="176"/>
    <x v="194"/>
    <n v="4.9000000000000004"/>
    <s v="Credit Card"/>
  </r>
  <r>
    <n v="4053"/>
    <x v="15"/>
    <n v="80"/>
    <x v="9"/>
    <n v="4.3"/>
    <s v="Cash"/>
  </r>
  <r>
    <n v="4103"/>
    <x v="41"/>
    <n v="117.354166666666"/>
    <x v="199"/>
    <n v="4.3"/>
    <s v="Credit Card"/>
  </r>
  <r>
    <n v="4014"/>
    <x v="33"/>
    <n v="31"/>
    <x v="103"/>
    <n v="5"/>
    <s v="Cash"/>
  </r>
  <r>
    <n v="3962"/>
    <x v="40"/>
    <n v="176"/>
    <x v="204"/>
    <n v="3.1"/>
    <s v="Cash"/>
  </r>
  <r>
    <n v="3962"/>
    <x v="8"/>
    <n v="120.375"/>
    <x v="291"/>
    <n v="2"/>
    <s v="Credit Card"/>
  </r>
  <r>
    <n v="4099"/>
    <x v="46"/>
    <n v="88"/>
    <x v="302"/>
    <n v="4.8"/>
    <s v="Credit Card"/>
  </r>
  <r>
    <n v="4122"/>
    <x v="19"/>
    <n v="69"/>
    <x v="157"/>
    <n v="3.7"/>
    <s v="Credit Card"/>
  </r>
  <r>
    <n v="4113"/>
    <x v="48"/>
    <n v="33"/>
    <x v="54"/>
    <n v="3"/>
    <s v="Cash"/>
  </r>
  <r>
    <n v="4117"/>
    <x v="41"/>
    <n v="10"/>
    <x v="49"/>
    <n v="4.3"/>
    <s v="Credit Card"/>
  </r>
  <r>
    <n v="4015"/>
    <x v="47"/>
    <n v="29"/>
    <x v="84"/>
    <n v="4.7"/>
    <s v="Cash"/>
  </r>
  <r>
    <n v="3979"/>
    <x v="8"/>
    <n v="120.375"/>
    <x v="43"/>
    <n v="4.3"/>
    <s v="Cash"/>
  </r>
  <r>
    <n v="4075"/>
    <x v="14"/>
    <n v="184"/>
    <x v="262"/>
    <n v="2.4"/>
    <s v="Credit Card"/>
  </r>
  <r>
    <n v="4007"/>
    <x v="36"/>
    <n v="12"/>
    <x v="177"/>
    <n v="4"/>
    <s v="Cash"/>
  </r>
  <r>
    <n v="4024"/>
    <x v="30"/>
    <n v="40"/>
    <x v="106"/>
    <n v="3.6"/>
    <s v="Credit Card"/>
  </r>
  <r>
    <n v="4000"/>
    <x v="33"/>
    <n v="118"/>
    <x v="169"/>
    <n v="4.3"/>
    <s v="Cash"/>
  </r>
  <r>
    <n v="3969"/>
    <x v="13"/>
    <n v="132"/>
    <x v="87"/>
    <n v="1.8"/>
    <s v="Credit Card"/>
  </r>
  <r>
    <n v="4059"/>
    <x v="2"/>
    <n v="100.679999999999"/>
    <x v="178"/>
    <n v="3.2285714285714202"/>
    <s v="Credit Card"/>
  </r>
  <r>
    <n v="4115"/>
    <x v="17"/>
    <n v="197"/>
    <x v="52"/>
    <n v="3"/>
    <s v="Credit Card"/>
  </r>
  <r>
    <n v="4066"/>
    <x v="16"/>
    <n v="36"/>
    <x v="287"/>
    <n v="1.6"/>
    <s v="Credit Card"/>
  </r>
  <r>
    <n v="4110"/>
    <x v="19"/>
    <n v="86"/>
    <x v="173"/>
    <n v="3.02830188679245"/>
    <s v="Cash"/>
  </r>
  <r>
    <n v="4023"/>
    <x v="6"/>
    <n v="105.81034482758599"/>
    <x v="127"/>
    <n v="2"/>
    <s v="Cash"/>
  </r>
  <r>
    <n v="3995"/>
    <x v="8"/>
    <n v="44"/>
    <x v="7"/>
    <n v="4.3"/>
    <s v="Cash"/>
  </r>
  <r>
    <n v="3979"/>
    <x v="46"/>
    <n v="183"/>
    <x v="174"/>
    <n v="1.4"/>
    <s v="Credit Card"/>
  </r>
  <r>
    <n v="4051"/>
    <x v="22"/>
    <n v="95.292307692307702"/>
    <x v="274"/>
    <n v="1.1000000000000001"/>
    <s v="Credit Card"/>
  </r>
  <r>
    <n v="4000"/>
    <x v="45"/>
    <n v="12"/>
    <x v="210"/>
    <n v="3.1235294117647001"/>
    <s v="Cash"/>
  </r>
  <r>
    <n v="4102"/>
    <x v="30"/>
    <n v="52"/>
    <x v="164"/>
    <n v="1.7"/>
    <s v="Credit Card"/>
  </r>
  <r>
    <n v="3987"/>
    <x v="23"/>
    <n v="194"/>
    <x v="141"/>
    <n v="1.3"/>
    <s v="Credit Card"/>
  </r>
  <r>
    <n v="3960"/>
    <x v="3"/>
    <n v="48"/>
    <x v="260"/>
    <n v="4.8"/>
    <s v="Credit Card"/>
  </r>
  <r>
    <n v="4091"/>
    <x v="15"/>
    <n v="167"/>
    <x v="265"/>
    <n v="2.4"/>
    <s v="Cash"/>
  </r>
  <r>
    <n v="4068"/>
    <x v="22"/>
    <n v="65"/>
    <x v="55"/>
    <n v="3.8"/>
    <s v="Cash"/>
  </r>
  <r>
    <n v="4073"/>
    <x v="35"/>
    <n v="97.720588235294102"/>
    <x v="322"/>
    <n v="2.6"/>
    <s v="Credit Card"/>
  </r>
  <r>
    <n v="4083"/>
    <x v="41"/>
    <n v="117.354166666666"/>
    <x v="160"/>
    <n v="2.7"/>
    <s v="Credit Card"/>
  </r>
  <r>
    <n v="3987"/>
    <x v="19"/>
    <n v="160"/>
    <x v="331"/>
    <n v="2.9"/>
    <s v="Credit Card"/>
  </r>
  <r>
    <n v="4014"/>
    <x v="22"/>
    <n v="99"/>
    <x v="225"/>
    <n v="1.2"/>
    <s v="Cash"/>
  </r>
  <r>
    <n v="4009"/>
    <x v="49"/>
    <n v="90"/>
    <x v="251"/>
    <n v="1.1000000000000001"/>
    <s v="Credit Card"/>
  </r>
  <r>
    <n v="4005"/>
    <x v="20"/>
    <n v="73"/>
    <x v="203"/>
    <n v="1.1000000000000001"/>
    <s v="Cash"/>
  </r>
  <r>
    <n v="4025"/>
    <x v="32"/>
    <n v="31"/>
    <x v="79"/>
    <n v="4.4000000000000004"/>
    <s v="Cash"/>
  </r>
  <r>
    <n v="4030"/>
    <x v="27"/>
    <n v="163"/>
    <x v="6"/>
    <n v="3.2"/>
    <s v="Cash"/>
  </r>
  <r>
    <n v="4083"/>
    <x v="40"/>
    <n v="165"/>
    <x v="188"/>
    <n v="2.9761904761904701"/>
    <s v="Cash"/>
  </r>
  <r>
    <n v="4054"/>
    <x v="4"/>
    <n v="186"/>
    <x v="300"/>
    <n v="3.5"/>
    <s v="Credit Card"/>
  </r>
  <r>
    <n v="3990"/>
    <x v="38"/>
    <n v="106.80769230769199"/>
    <x v="328"/>
    <n v="4.9000000000000004"/>
    <s v="Credit Card"/>
  </r>
  <r>
    <n v="4067"/>
    <x v="15"/>
    <n v="87"/>
    <x v="200"/>
    <n v="1.1000000000000001"/>
    <s v="Credit Card"/>
  </r>
  <r>
    <n v="4009"/>
    <x v="30"/>
    <n v="165"/>
    <x v="199"/>
    <n v="3.0542857142857098"/>
    <s v="Credit Card"/>
  </r>
  <r>
    <n v="4110"/>
    <x v="41"/>
    <n v="110"/>
    <x v="273"/>
    <n v="4.5999999999999996"/>
    <s v="Credit Card"/>
  </r>
  <r>
    <n v="4012"/>
    <x v="30"/>
    <n v="23"/>
    <x v="3"/>
    <n v="3.2"/>
    <s v="Cash"/>
  </r>
  <r>
    <n v="4029"/>
    <x v="31"/>
    <n v="71"/>
    <x v="190"/>
    <n v="2.96470588235294"/>
    <s v="Cash"/>
  </r>
  <r>
    <n v="4005"/>
    <x v="2"/>
    <n v="38"/>
    <x v="74"/>
    <n v="3.9"/>
    <s v="Cash"/>
  </r>
  <r>
    <n v="4064"/>
    <x v="27"/>
    <n v="173"/>
    <x v="318"/>
    <n v="2.8"/>
    <s v="Cash"/>
  </r>
  <r>
    <n v="4003"/>
    <x v="26"/>
    <n v="145"/>
    <x v="158"/>
    <n v="2"/>
    <s v="Credit Card"/>
  </r>
  <r>
    <n v="4061"/>
    <x v="39"/>
    <n v="13"/>
    <x v="112"/>
    <n v="1.1000000000000001"/>
    <s v="Cash"/>
  </r>
  <r>
    <n v="3994"/>
    <x v="13"/>
    <n v="91"/>
    <x v="121"/>
    <n v="4.0999999999999996"/>
    <s v="Cash"/>
  </r>
  <r>
    <n v="3964"/>
    <x v="30"/>
    <n v="84.528571428571396"/>
    <x v="331"/>
    <n v="1.9"/>
    <s v="Cash"/>
  </r>
  <r>
    <n v="4031"/>
    <x v="11"/>
    <n v="155"/>
    <x v="169"/>
    <n v="1"/>
    <s v="Credit Card"/>
  </r>
  <r>
    <n v="4024"/>
    <x v="24"/>
    <n v="149"/>
    <x v="337"/>
    <n v="4.5"/>
    <s v="Cash"/>
  </r>
  <r>
    <n v="4017"/>
    <x v="40"/>
    <n v="130"/>
    <x v="270"/>
    <n v="4.7"/>
    <s v="Cash"/>
  </r>
  <r>
    <n v="4115"/>
    <x v="6"/>
    <n v="28"/>
    <x v="235"/>
    <n v="3"/>
    <s v="Credit Card"/>
  </r>
  <r>
    <n v="4072"/>
    <x v="8"/>
    <n v="120.375"/>
    <x v="325"/>
    <n v="3.8"/>
    <s v="Credit Card"/>
  </r>
  <r>
    <n v="4020"/>
    <x v="6"/>
    <n v="105.81034482758599"/>
    <x v="292"/>
    <n v="4.7"/>
    <s v="Credit Card"/>
  </r>
  <r>
    <n v="4051"/>
    <x v="12"/>
    <n v="20"/>
    <x v="219"/>
    <n v="1.2"/>
    <s v="Cash"/>
  </r>
  <r>
    <n v="4106"/>
    <x v="22"/>
    <n v="111"/>
    <x v="353"/>
    <n v="3.8"/>
    <s v="Cash"/>
  </r>
  <r>
    <n v="4122"/>
    <x v="37"/>
    <n v="170"/>
    <x v="287"/>
    <n v="4.5999999999999996"/>
    <s v="Cash"/>
  </r>
  <r>
    <n v="4074"/>
    <x v="40"/>
    <n v="116"/>
    <x v="84"/>
    <n v="1.7"/>
    <s v="Credit Card"/>
  </r>
  <r>
    <n v="3978"/>
    <x v="13"/>
    <n v="112"/>
    <x v="354"/>
    <n v="2.2999999999999998"/>
    <s v="Cash"/>
  </r>
  <r>
    <n v="3959"/>
    <x v="3"/>
    <n v="98.967741935483801"/>
    <x v="349"/>
    <n v="1.6"/>
    <s v="Credit Card"/>
  </r>
  <r>
    <n v="4077"/>
    <x v="7"/>
    <n v="167"/>
    <x v="217"/>
    <n v="1.8"/>
    <s v="Cash"/>
  </r>
  <r>
    <n v="3991"/>
    <x v="5"/>
    <n v="99.697674418604606"/>
    <x v="249"/>
    <n v="1"/>
    <s v="Cash"/>
  </r>
  <r>
    <n v="4039"/>
    <x v="0"/>
    <n v="112.145454545454"/>
    <x v="247"/>
    <n v="4.2"/>
    <s v="Cash"/>
  </r>
  <r>
    <n v="4058"/>
    <x v="22"/>
    <n v="95.292307692307602"/>
    <x v="96"/>
    <n v="4.0999999999999996"/>
    <s v="Credit Card"/>
  </r>
  <r>
    <n v="4011"/>
    <x v="26"/>
    <n v="49"/>
    <x v="356"/>
    <n v="3"/>
    <s v="Cash"/>
  </r>
  <r>
    <n v="4055"/>
    <x v="14"/>
    <n v="110"/>
    <x v="148"/>
    <n v="2.4"/>
    <s v="Cash"/>
  </r>
  <r>
    <n v="4065"/>
    <x v="46"/>
    <n v="176"/>
    <x v="301"/>
    <n v="4.4000000000000004"/>
    <s v="Credit Card"/>
  </r>
  <r>
    <n v="4109"/>
    <x v="30"/>
    <n v="26"/>
    <x v="14"/>
    <n v="2.8"/>
    <s v="Credit Card"/>
  </r>
  <r>
    <n v="4022"/>
    <x v="19"/>
    <n v="121"/>
    <x v="110"/>
    <n v="4.5999999999999996"/>
    <s v="Cash"/>
  </r>
  <r>
    <n v="3975"/>
    <x v="0"/>
    <n v="71"/>
    <x v="118"/>
    <n v="1.6"/>
    <s v="Cash"/>
  </r>
  <r>
    <n v="3981"/>
    <x v="1"/>
    <n v="93.340909090909093"/>
    <x v="1"/>
    <n v="4.8"/>
    <s v="Credit Card"/>
  </r>
  <r>
    <n v="4099"/>
    <x v="4"/>
    <n v="114.77966101694901"/>
    <x v="76"/>
    <n v="2.8"/>
    <s v="Cash"/>
  </r>
  <r>
    <n v="3972"/>
    <x v="11"/>
    <n v="126"/>
    <x v="32"/>
    <n v="3.8"/>
    <s v="Credit Card"/>
  </r>
  <r>
    <n v="3970"/>
    <x v="24"/>
    <n v="24"/>
    <x v="292"/>
    <n v="2.88305084745762"/>
    <s v="Cash"/>
  </r>
  <r>
    <n v="4042"/>
    <x v="34"/>
    <n v="199"/>
    <x v="276"/>
    <n v="3.8"/>
    <s v="Cash"/>
  </r>
  <r>
    <n v="4017"/>
    <x v="38"/>
    <n v="54"/>
    <x v="269"/>
    <n v="1.4"/>
    <s v="Cash"/>
  </r>
  <r>
    <n v="4077"/>
    <x v="26"/>
    <n v="111.854838709677"/>
    <x v="225"/>
    <n v="2.1"/>
    <s v="Cash"/>
  </r>
  <r>
    <n v="4047"/>
    <x v="42"/>
    <n v="189"/>
    <x v="117"/>
    <n v="2.7"/>
    <s v="Credit Card"/>
  </r>
  <r>
    <n v="4112"/>
    <x v="35"/>
    <n v="97.720588235294102"/>
    <x v="96"/>
    <n v="3.0156626506023998"/>
    <s v="Credit Card"/>
  </r>
  <r>
    <n v="4110"/>
    <x v="21"/>
    <n v="98"/>
    <x v="144"/>
    <n v="4.8"/>
    <s v="Cash"/>
  </r>
  <r>
    <n v="3968"/>
    <x v="36"/>
    <n v="194"/>
    <x v="356"/>
    <n v="2.6"/>
    <s v="Credit Card"/>
  </r>
  <r>
    <n v="3958"/>
    <x v="33"/>
    <n v="105"/>
    <x v="162"/>
    <n v="4.5999999999999996"/>
    <s v="Credit Card"/>
  </r>
  <r>
    <n v="4021"/>
    <x v="45"/>
    <n v="106.297872340425"/>
    <x v="112"/>
    <n v="1.5"/>
    <s v="Cash"/>
  </r>
  <r>
    <n v="4086"/>
    <x v="44"/>
    <n v="78"/>
    <x v="211"/>
    <n v="3.3"/>
    <s v="Credit Card"/>
  </r>
  <r>
    <n v="4115"/>
    <x v="39"/>
    <n v="40"/>
    <x v="193"/>
    <n v="2.8"/>
    <s v="Cash"/>
  </r>
  <r>
    <n v="4054"/>
    <x v="34"/>
    <n v="17"/>
    <x v="251"/>
    <n v="2.5"/>
    <s v="Cash"/>
  </r>
  <r>
    <n v="4034"/>
    <x v="37"/>
    <n v="119"/>
    <x v="233"/>
    <n v="1.3"/>
    <s v="Credit Card"/>
  </r>
  <r>
    <n v="4058"/>
    <x v="45"/>
    <n v="26"/>
    <x v="299"/>
    <n v="1.7"/>
    <s v="Credit Card"/>
  </r>
  <r>
    <n v="4051"/>
    <x v="16"/>
    <n v="157"/>
    <x v="359"/>
    <n v="3.2"/>
    <s v="Credit Card"/>
  </r>
  <r>
    <n v="3990"/>
    <x v="35"/>
    <n v="137"/>
    <x v="360"/>
    <n v="1.6"/>
    <s v="Credit Card"/>
  </r>
  <r>
    <n v="4100"/>
    <x v="38"/>
    <n v="102"/>
    <x v="355"/>
    <n v="3.8"/>
    <s v="Cash"/>
  </r>
  <r>
    <n v="3967"/>
    <x v="9"/>
    <n v="109.08474576271099"/>
    <x v="326"/>
    <n v="3.0693548387096699"/>
    <s v="Credit Card"/>
  </r>
  <r>
    <n v="4105"/>
    <x v="31"/>
    <n v="52"/>
    <x v="268"/>
    <n v="2.96470588235294"/>
    <s v="Credit Card"/>
  </r>
  <r>
    <n v="4002"/>
    <x v="12"/>
    <n v="75"/>
    <x v="316"/>
    <n v="1.5"/>
    <s v="Cash"/>
  </r>
  <r>
    <n v="4023"/>
    <x v="23"/>
    <n v="156"/>
    <x v="165"/>
    <n v="3.3"/>
    <s v="Credit Card"/>
  </r>
  <r>
    <n v="4000"/>
    <x v="8"/>
    <n v="39"/>
    <x v="209"/>
    <n v="2.91904761904761"/>
    <s v="Credit Card"/>
  </r>
  <r>
    <n v="4085"/>
    <x v="6"/>
    <n v="140"/>
    <x v="307"/>
    <n v="1.5"/>
    <s v="Cash"/>
  </r>
  <r>
    <n v="4083"/>
    <x v="17"/>
    <n v="117.172413793103"/>
    <x v="138"/>
    <n v="4.4000000000000004"/>
    <s v="Cash"/>
  </r>
  <r>
    <n v="4043"/>
    <x v="42"/>
    <n v="13"/>
    <x v="100"/>
    <n v="1.8"/>
    <s v="Credit Card"/>
  </r>
  <r>
    <n v="4076"/>
    <x v="43"/>
    <n v="130"/>
    <x v="227"/>
    <n v="2.9"/>
    <s v="Credit Card"/>
  </r>
  <r>
    <n v="3990"/>
    <x v="19"/>
    <n v="48"/>
    <x v="39"/>
    <n v="3.02830188679245"/>
    <s v="Credit Card"/>
  </r>
  <r>
    <n v="3979"/>
    <x v="16"/>
    <n v="102.74"/>
    <x v="241"/>
    <n v="3.5"/>
    <s v="Cash"/>
  </r>
  <r>
    <n v="4038"/>
    <x v="42"/>
    <n v="19"/>
    <x v="60"/>
    <n v="4.2"/>
    <s v="Cash"/>
  </r>
  <r>
    <n v="4092"/>
    <x v="24"/>
    <n v="192"/>
    <x v="122"/>
    <n v="1.5"/>
    <s v="Cash"/>
  </r>
  <r>
    <n v="4067"/>
    <x v="6"/>
    <n v="117"/>
    <x v="237"/>
    <n v="4.4000000000000004"/>
    <s v="Credit Card"/>
  </r>
  <r>
    <n v="3993"/>
    <x v="33"/>
    <n v="73"/>
    <x v="304"/>
    <n v="3.4933333333333301"/>
    <s v="Cash"/>
  </r>
  <r>
    <n v="4023"/>
    <x v="4"/>
    <n v="194"/>
    <x v="361"/>
    <n v="4.9000000000000004"/>
    <s v="Credit Card"/>
  </r>
  <r>
    <n v="3986"/>
    <x v="27"/>
    <n v="29"/>
    <x v="266"/>
    <n v="2"/>
    <s v="Cash"/>
  </r>
  <r>
    <n v="4037"/>
    <x v="22"/>
    <n v="40"/>
    <x v="361"/>
    <n v="4.4000000000000004"/>
    <s v="Credit Card"/>
  </r>
  <r>
    <n v="3968"/>
    <x v="36"/>
    <n v="23"/>
    <x v="206"/>
    <n v="1.9"/>
    <s v="Cash"/>
  </r>
  <r>
    <n v="3989"/>
    <x v="40"/>
    <n v="114.396551724137"/>
    <x v="191"/>
    <n v="1.2"/>
    <s v="Credit Card"/>
  </r>
  <r>
    <n v="4084"/>
    <x v="10"/>
    <n v="21"/>
    <x v="315"/>
    <n v="4.5"/>
    <s v="Cash"/>
  </r>
  <r>
    <n v="4028"/>
    <x v="0"/>
    <n v="27"/>
    <x v="170"/>
    <n v="1.1000000000000001"/>
    <s v="Credit Card"/>
  </r>
  <r>
    <n v="4049"/>
    <x v="0"/>
    <n v="82"/>
    <x v="355"/>
    <n v="4.7"/>
    <s v="Credit Card"/>
  </r>
  <r>
    <n v="4067"/>
    <x v="42"/>
    <n v="89"/>
    <x v="76"/>
    <n v="3.4"/>
    <s v="Cash"/>
  </r>
  <r>
    <n v="4029"/>
    <x v="23"/>
    <n v="151"/>
    <x v="313"/>
    <n v="4"/>
    <s v="Cash"/>
  </r>
  <r>
    <n v="4024"/>
    <x v="38"/>
    <n v="104"/>
    <x v="167"/>
    <n v="3.5"/>
    <s v="Credit Card"/>
  </r>
  <r>
    <n v="4113"/>
    <x v="19"/>
    <n v="154"/>
    <x v="332"/>
    <n v="4.5999999999999996"/>
    <s v="Cash"/>
  </r>
  <r>
    <n v="4024"/>
    <x v="41"/>
    <n v="199"/>
    <x v="157"/>
    <n v="4"/>
    <s v="Cash"/>
  </r>
  <r>
    <n v="4089"/>
    <x v="0"/>
    <n v="128"/>
    <x v="171"/>
    <n v="3.4"/>
    <s v="Credit Card"/>
  </r>
  <r>
    <n v="4037"/>
    <x v="35"/>
    <n v="136"/>
    <x v="191"/>
    <n v="4.0999999999999996"/>
    <s v="Cash"/>
  </r>
  <r>
    <n v="4068"/>
    <x v="29"/>
    <n v="60"/>
    <x v="168"/>
    <n v="1.1000000000000001"/>
    <s v="Credit Card"/>
  </r>
  <r>
    <n v="3999"/>
    <x v="9"/>
    <n v="149"/>
    <x v="341"/>
    <n v="3.0693548387096699"/>
    <s v="Credit Card"/>
  </r>
  <r>
    <n v="4037"/>
    <x v="49"/>
    <n v="72"/>
    <x v="127"/>
    <n v="3.19629629629629"/>
    <s v="Credit Card"/>
  </r>
  <r>
    <n v="4082"/>
    <x v="49"/>
    <n v="105.1"/>
    <x v="220"/>
    <n v="1.6"/>
    <s v="Credit Card"/>
  </r>
  <r>
    <n v="3995"/>
    <x v="27"/>
    <n v="16"/>
    <x v="290"/>
    <n v="2.5"/>
    <s v="Credit Card"/>
  </r>
  <r>
    <n v="4099"/>
    <x v="41"/>
    <n v="98"/>
    <x v="45"/>
    <n v="2.9"/>
    <s v="Credit Card"/>
  </r>
  <r>
    <n v="4119"/>
    <x v="4"/>
    <n v="187"/>
    <x v="40"/>
    <n v="4.7"/>
    <s v="Credit Card"/>
  </r>
  <r>
    <n v="4069"/>
    <x v="47"/>
    <n v="95"/>
    <x v="174"/>
    <n v="3.1"/>
    <s v="Cash"/>
  </r>
  <r>
    <n v="3970"/>
    <x v="7"/>
    <n v="103.564102564102"/>
    <x v="354"/>
    <n v="2.2000000000000002"/>
    <s v="Credit Card"/>
  </r>
  <r>
    <n v="4005"/>
    <x v="15"/>
    <n v="198"/>
    <x v="342"/>
    <n v="3"/>
    <s v="Credit Card"/>
  </r>
  <r>
    <n v="3995"/>
    <x v="2"/>
    <n v="36"/>
    <x v="145"/>
    <n v="4.5"/>
    <s v="Credit Card"/>
  </r>
  <r>
    <n v="3970"/>
    <x v="14"/>
    <n v="70"/>
    <x v="144"/>
    <n v="3.8"/>
    <s v="Credit Card"/>
  </r>
  <r>
    <n v="4015"/>
    <x v="38"/>
    <n v="25"/>
    <x v="150"/>
    <n v="3.4"/>
    <s v="Credit Card"/>
  </r>
  <r>
    <n v="4003"/>
    <x v="18"/>
    <n v="46"/>
    <x v="172"/>
    <n v="3.3"/>
    <s v="Credit Card"/>
  </r>
  <r>
    <n v="3966"/>
    <x v="49"/>
    <n v="33"/>
    <x v="46"/>
    <n v="1.4"/>
    <s v="Credit Card"/>
  </r>
  <r>
    <n v="4077"/>
    <x v="27"/>
    <n v="108.734693877551"/>
    <x v="187"/>
    <n v="2.4"/>
    <s v="Credit Card"/>
  </r>
  <r>
    <n v="4023"/>
    <x v="17"/>
    <n v="143"/>
    <x v="284"/>
    <n v="3.5"/>
    <s v="Credit Card"/>
  </r>
  <r>
    <n v="3998"/>
    <x v="4"/>
    <n v="105"/>
    <x v="84"/>
    <n v="2.1"/>
    <s v="Cash"/>
  </r>
  <r>
    <n v="4076"/>
    <x v="26"/>
    <n v="31"/>
    <x v="309"/>
    <n v="2.2000000000000002"/>
    <s v="Cash"/>
  </r>
  <r>
    <n v="4068"/>
    <x v="11"/>
    <n v="139"/>
    <x v="272"/>
    <n v="2.2999999999999998"/>
    <s v="Credit Card"/>
  </r>
  <r>
    <n v="3986"/>
    <x v="37"/>
    <n v="108.54716981132"/>
    <x v="188"/>
    <n v="4.5999999999999996"/>
    <s v="Cash"/>
  </r>
  <r>
    <n v="4083"/>
    <x v="29"/>
    <n v="29"/>
    <x v="300"/>
    <n v="2.4"/>
    <s v="Credit Card"/>
  </r>
  <r>
    <n v="3967"/>
    <x v="33"/>
    <n v="25"/>
    <x v="191"/>
    <n v="4.3"/>
    <s v="Cash"/>
  </r>
  <r>
    <n v="4070"/>
    <x v="29"/>
    <n v="43"/>
    <x v="304"/>
    <n v="2.6"/>
    <s v="Cash"/>
  </r>
  <r>
    <n v="4048"/>
    <x v="25"/>
    <n v="76"/>
    <x v="267"/>
    <n v="2.7"/>
    <s v="Cash"/>
  </r>
  <r>
    <n v="4100"/>
    <x v="1"/>
    <n v="110"/>
    <x v="299"/>
    <n v="4.0999999999999996"/>
    <s v="Cash"/>
  </r>
  <r>
    <n v="4081"/>
    <x v="2"/>
    <n v="198"/>
    <x v="112"/>
    <n v="1.6"/>
    <s v="Cash"/>
  </r>
  <r>
    <n v="4074"/>
    <x v="9"/>
    <n v="125"/>
    <x v="142"/>
    <n v="2.2000000000000002"/>
    <s v="Credit Card"/>
  </r>
  <r>
    <n v="4083"/>
    <x v="31"/>
    <n v="29"/>
    <x v="331"/>
    <n v="2.4"/>
    <s v="Credit Card"/>
  </r>
  <r>
    <n v="3985"/>
    <x v="39"/>
    <n v="44"/>
    <x v="197"/>
    <n v="2.2999999999999998"/>
    <s v="Credit Card"/>
  </r>
  <r>
    <n v="3994"/>
    <x v="39"/>
    <n v="159"/>
    <x v="69"/>
    <n v="3.3"/>
    <s v="Cash"/>
  </r>
  <r>
    <n v="3988"/>
    <x v="1"/>
    <n v="93.340909090909093"/>
    <x v="252"/>
    <n v="3.9"/>
    <s v="Cash"/>
  </r>
  <r>
    <n v="4046"/>
    <x v="39"/>
    <n v="93.135593220338905"/>
    <x v="290"/>
    <n v="3.6"/>
    <s v="Credit Card"/>
  </r>
  <r>
    <n v="3980"/>
    <x v="40"/>
    <n v="90"/>
    <x v="311"/>
    <n v="4.2"/>
    <s v="Cash"/>
  </r>
  <r>
    <n v="4009"/>
    <x v="1"/>
    <n v="147"/>
    <x v="74"/>
    <n v="1.7"/>
    <s v="Cash"/>
  </r>
  <r>
    <n v="4029"/>
    <x v="19"/>
    <n v="63"/>
    <x v="120"/>
    <n v="3"/>
    <s v="Cash"/>
  </r>
  <r>
    <n v="4003"/>
    <x v="10"/>
    <n v="128"/>
    <x v="116"/>
    <n v="2.9"/>
    <s v="Credit Card"/>
  </r>
  <r>
    <n v="4000"/>
    <x v="31"/>
    <n v="40"/>
    <x v="254"/>
    <n v="3.3"/>
    <s v="Credit Card"/>
  </r>
  <r>
    <n v="4087"/>
    <x v="37"/>
    <n v="108.54716981132"/>
    <x v="65"/>
    <n v="1.6"/>
    <s v="Credit Card"/>
  </r>
  <r>
    <n v="4026"/>
    <x v="26"/>
    <n v="87"/>
    <x v="8"/>
    <n v="2"/>
    <s v="Cash"/>
  </r>
  <r>
    <n v="4101"/>
    <x v="48"/>
    <n v="188"/>
    <x v="232"/>
    <n v="4.3"/>
    <s v="Credit Card"/>
  </r>
  <r>
    <n v="4106"/>
    <x v="11"/>
    <n v="65"/>
    <x v="175"/>
    <n v="1"/>
    <s v="Cash"/>
  </r>
  <r>
    <n v="4011"/>
    <x v="14"/>
    <n v="93"/>
    <x v="56"/>
    <n v="4.7"/>
    <s v="Cash"/>
  </r>
  <r>
    <n v="4106"/>
    <x v="42"/>
    <n v="106.72413793103399"/>
    <x v="248"/>
    <n v="2.8"/>
    <s v="Cash"/>
  </r>
  <r>
    <n v="3958"/>
    <x v="34"/>
    <n v="101"/>
    <x v="101"/>
    <n v="3.3"/>
    <s v="Credit Card"/>
  </r>
  <r>
    <n v="4091"/>
    <x v="29"/>
    <n v="22"/>
    <x v="257"/>
    <n v="3.3"/>
    <s v="Cash"/>
  </r>
  <r>
    <n v="4103"/>
    <x v="10"/>
    <n v="76"/>
    <x v="274"/>
    <n v="1.2"/>
    <s v="Cash"/>
  </r>
  <r>
    <n v="4003"/>
    <x v="11"/>
    <n v="54"/>
    <x v="76"/>
    <n v="4.9000000000000004"/>
    <s v="Cash"/>
  </r>
  <r>
    <n v="4063"/>
    <x v="42"/>
    <n v="106.72413793103399"/>
    <x v="294"/>
    <n v="2.9"/>
    <s v="Cash"/>
  </r>
  <r>
    <n v="3976"/>
    <x v="3"/>
    <n v="125"/>
    <x v="53"/>
    <n v="1.5"/>
    <s v="Cash"/>
  </r>
  <r>
    <n v="4020"/>
    <x v="48"/>
    <n v="150"/>
    <x v="15"/>
    <n v="2.4"/>
    <s v="Cash"/>
  </r>
  <r>
    <n v="4084"/>
    <x v="8"/>
    <n v="128"/>
    <x v="309"/>
    <n v="1.2"/>
    <s v="Cash"/>
  </r>
  <r>
    <n v="3981"/>
    <x v="22"/>
    <n v="95.292307692307602"/>
    <x v="34"/>
    <n v="2.1"/>
    <s v="Credit Card"/>
  </r>
  <r>
    <n v="4041"/>
    <x v="21"/>
    <n v="41"/>
    <x v="339"/>
    <n v="2.1"/>
    <s v="Cash"/>
  </r>
  <r>
    <n v="3963"/>
    <x v="49"/>
    <n v="105.1"/>
    <x v="348"/>
    <n v="4.7"/>
    <s v="Credit Card"/>
  </r>
  <r>
    <n v="4029"/>
    <x v="7"/>
    <n v="66"/>
    <x v="189"/>
    <n v="1.8"/>
    <s v="Credit Card"/>
  </r>
  <r>
    <n v="3988"/>
    <x v="13"/>
    <n v="103.108695652173"/>
    <x v="24"/>
    <n v="3.3"/>
    <s v="Cash"/>
  </r>
  <r>
    <n v="4057"/>
    <x v="6"/>
    <n v="105"/>
    <x v="288"/>
    <n v="2.9230769230769198"/>
    <s v="Credit Card"/>
  </r>
  <r>
    <n v="4052"/>
    <x v="34"/>
    <n v="175"/>
    <x v="80"/>
    <n v="3.5"/>
    <s v="Credit Card"/>
  </r>
  <r>
    <n v="4108"/>
    <x v="49"/>
    <n v="105.1"/>
    <x v="76"/>
    <n v="2.7"/>
    <s v="Credit Card"/>
  </r>
  <r>
    <n v="3984"/>
    <x v="34"/>
    <n v="29"/>
    <x v="292"/>
    <n v="3.5"/>
    <s v="Cash"/>
  </r>
  <r>
    <n v="4039"/>
    <x v="47"/>
    <n v="114.217391304347"/>
    <x v="287"/>
    <n v="2.1"/>
    <s v="Credit Card"/>
  </r>
  <r>
    <n v="3996"/>
    <x v="30"/>
    <n v="84.528571428571396"/>
    <x v="288"/>
    <n v="4.4000000000000004"/>
    <s v="Credit Card"/>
  </r>
  <r>
    <n v="3964"/>
    <x v="15"/>
    <n v="123"/>
    <x v="106"/>
    <n v="3.2"/>
    <s v="Credit Card"/>
  </r>
  <r>
    <n v="3977"/>
    <x v="32"/>
    <n v="33"/>
    <x v="229"/>
    <n v="1.9"/>
    <s v="Credit Card"/>
  </r>
  <r>
    <n v="4074"/>
    <x v="23"/>
    <n v="94"/>
    <x v="288"/>
    <n v="4.3"/>
    <s v="Credit Card"/>
  </r>
  <r>
    <n v="4079"/>
    <x v="40"/>
    <n v="114.396551724137"/>
    <x v="88"/>
    <n v="3.5"/>
    <s v="Credit Card"/>
  </r>
  <r>
    <n v="4073"/>
    <x v="32"/>
    <n v="22"/>
    <x v="206"/>
    <n v="1.4"/>
    <s v="Cash"/>
  </r>
  <r>
    <n v="4117"/>
    <x v="1"/>
    <n v="93.340909090909093"/>
    <x v="253"/>
    <n v="4.9000000000000004"/>
    <s v="Credit Card"/>
  </r>
  <r>
    <n v="4025"/>
    <x v="14"/>
    <n v="195"/>
    <x v="202"/>
    <n v="2.9"/>
    <s v="Credit Card"/>
  </r>
  <r>
    <n v="4109"/>
    <x v="38"/>
    <n v="17"/>
    <x v="255"/>
    <n v="3.15"/>
    <s v="Cash"/>
  </r>
  <r>
    <n v="3958"/>
    <x v="30"/>
    <n v="119"/>
    <x v="261"/>
    <n v="1.9"/>
    <s v="Credit Card"/>
  </r>
  <r>
    <n v="4041"/>
    <x v="21"/>
    <n v="107.68518518518501"/>
    <x v="191"/>
    <n v="1.7"/>
    <s v="Cash"/>
  </r>
  <r>
    <n v="3968"/>
    <x v="36"/>
    <n v="57"/>
    <x v="74"/>
    <n v="1.9"/>
    <s v="Credit Card"/>
  </r>
  <r>
    <n v="4116"/>
    <x v="31"/>
    <n v="124"/>
    <x v="270"/>
    <n v="2"/>
    <s v="Credit Card"/>
  </r>
  <r>
    <n v="4072"/>
    <x v="25"/>
    <n v="18"/>
    <x v="311"/>
    <n v="3.3"/>
    <s v="Cash"/>
  </r>
  <r>
    <n v="4040"/>
    <x v="31"/>
    <n v="167"/>
    <x v="192"/>
    <n v="2.5"/>
    <s v="Cash"/>
  </r>
  <r>
    <n v="4102"/>
    <x v="45"/>
    <n v="85"/>
    <x v="356"/>
    <n v="1.4"/>
    <s v="Credit Card"/>
  </r>
  <r>
    <n v="3990"/>
    <x v="16"/>
    <n v="150"/>
    <x v="261"/>
    <n v="3.06153846153846"/>
    <s v="Credit Card"/>
  </r>
  <r>
    <n v="4011"/>
    <x v="17"/>
    <n v="32"/>
    <x v="101"/>
    <n v="2.8"/>
    <s v="Cash"/>
  </r>
  <r>
    <n v="3969"/>
    <x v="21"/>
    <n v="45"/>
    <x v="341"/>
    <n v="2.5"/>
    <s v="Cash"/>
  </r>
  <r>
    <n v="4121"/>
    <x v="0"/>
    <n v="174"/>
    <x v="99"/>
    <n v="2.5"/>
    <s v="Credit Card"/>
  </r>
  <r>
    <n v="4029"/>
    <x v="30"/>
    <n v="144"/>
    <x v="314"/>
    <n v="2.1"/>
    <s v="Cash"/>
  </r>
  <r>
    <n v="4039"/>
    <x v="47"/>
    <n v="149"/>
    <x v="63"/>
    <n v="3"/>
    <s v="Cash"/>
  </r>
  <r>
    <n v="3971"/>
    <x v="45"/>
    <n v="107"/>
    <x v="264"/>
    <n v="3.1"/>
    <s v="Credit Card"/>
  </r>
  <r>
    <n v="3975"/>
    <x v="38"/>
    <n v="101"/>
    <x v="358"/>
    <n v="3"/>
    <s v="Credit Card"/>
  </r>
  <r>
    <n v="4097"/>
    <x v="34"/>
    <n v="134"/>
    <x v="92"/>
    <n v="4.4000000000000004"/>
    <s v="Credit Card"/>
  </r>
  <r>
    <n v="4111"/>
    <x v="12"/>
    <n v="154"/>
    <x v="249"/>
    <n v="2.5"/>
    <s v="Credit Card"/>
  </r>
  <r>
    <n v="4054"/>
    <x v="3"/>
    <n v="109"/>
    <x v="315"/>
    <n v="3.4"/>
    <s v="Credit Card"/>
  </r>
  <r>
    <n v="3980"/>
    <x v="4"/>
    <n v="16"/>
    <x v="150"/>
    <n v="2.5"/>
    <s v="Credit Card"/>
  </r>
  <r>
    <n v="4059"/>
    <x v="0"/>
    <n v="66"/>
    <x v="69"/>
    <n v="1.8"/>
    <s v="Credit Card"/>
  </r>
  <r>
    <n v="4022"/>
    <x v="12"/>
    <n v="102.377358490566"/>
    <x v="335"/>
    <n v="2.6"/>
    <s v="Cash"/>
  </r>
  <r>
    <n v="4002"/>
    <x v="47"/>
    <n v="81"/>
    <x v="209"/>
    <n v="2.2000000000000002"/>
    <s v="Cash"/>
  </r>
  <r>
    <n v="4018"/>
    <x v="7"/>
    <n v="103.564102564102"/>
    <x v="175"/>
    <n v="3.4"/>
    <s v="Cash"/>
  </r>
  <r>
    <n v="4059"/>
    <x v="5"/>
    <n v="145"/>
    <x v="246"/>
    <n v="1.1000000000000001"/>
    <s v="Credit Card"/>
  </r>
  <r>
    <n v="3979"/>
    <x v="8"/>
    <n v="159"/>
    <x v="172"/>
    <n v="2"/>
    <s v="Credit Card"/>
  </r>
  <r>
    <n v="3962"/>
    <x v="7"/>
    <n v="50"/>
    <x v="125"/>
    <n v="2.8"/>
    <s v="Credit Card"/>
  </r>
  <r>
    <n v="4010"/>
    <x v="14"/>
    <n v="110.56666666666599"/>
    <x v="30"/>
    <n v="2.6"/>
    <s v="Credit Card"/>
  </r>
  <r>
    <n v="3998"/>
    <x v="41"/>
    <n v="78"/>
    <x v="349"/>
    <n v="2.5"/>
    <s v="Credit Card"/>
  </r>
  <r>
    <n v="4056"/>
    <x v="43"/>
    <n v="198"/>
    <x v="137"/>
    <n v="3.9"/>
    <s v="Cash"/>
  </r>
  <r>
    <n v="4060"/>
    <x v="35"/>
    <n v="97.720588235294102"/>
    <x v="185"/>
    <n v="1.4"/>
    <s v="Credit Card"/>
  </r>
  <r>
    <n v="4029"/>
    <x v="1"/>
    <n v="66"/>
    <x v="114"/>
    <n v="1.9"/>
    <s v="Credit Card"/>
  </r>
  <r>
    <n v="4122"/>
    <x v="45"/>
    <n v="109"/>
    <x v="111"/>
    <n v="5"/>
    <s v="Cash"/>
  </r>
  <r>
    <n v="3996"/>
    <x v="47"/>
    <n v="54"/>
    <x v="48"/>
    <n v="1.7"/>
    <s v="Credit Card"/>
  </r>
  <r>
    <n v="3987"/>
    <x v="21"/>
    <n v="107.68518518518501"/>
    <x v="151"/>
    <n v="3.6"/>
    <s v="Cash"/>
  </r>
  <r>
    <n v="4033"/>
    <x v="23"/>
    <n v="198"/>
    <x v="31"/>
    <n v="4.2"/>
    <s v="Credit Card"/>
  </r>
  <r>
    <n v="4082"/>
    <x v="2"/>
    <n v="161"/>
    <x v="216"/>
    <n v="4.9000000000000004"/>
    <s v="Credit Card"/>
  </r>
  <r>
    <n v="4067"/>
    <x v="17"/>
    <n v="117.172413793103"/>
    <x v="46"/>
    <n v="4"/>
    <s v="Credit Card"/>
  </r>
  <r>
    <n v="4036"/>
    <x v="43"/>
    <n v="155"/>
    <x v="312"/>
    <n v="3.27111111111111"/>
    <s v="Cash"/>
  </r>
  <r>
    <n v="4111"/>
    <x v="4"/>
    <n v="154"/>
    <x v="119"/>
    <n v="1.4"/>
    <s v="Credit Card"/>
  </r>
  <r>
    <n v="3990"/>
    <x v="27"/>
    <n v="136"/>
    <x v="49"/>
    <n v="1.2"/>
    <s v="Cash"/>
  </r>
  <r>
    <n v="4048"/>
    <x v="30"/>
    <n v="54"/>
    <x v="170"/>
    <n v="3.0542857142857098"/>
    <s v="Credit Card"/>
  </r>
  <r>
    <n v="3981"/>
    <x v="39"/>
    <n v="33"/>
    <x v="109"/>
    <n v="2.8"/>
    <s v="Cash"/>
  </r>
  <r>
    <n v="4051"/>
    <x v="25"/>
    <n v="103.98245614035"/>
    <x v="199"/>
    <n v="4.4000000000000004"/>
    <s v="Credit Card"/>
  </r>
  <r>
    <n v="4088"/>
    <x v="28"/>
    <n v="15"/>
    <x v="254"/>
    <n v="4.7"/>
    <s v="Credit Card"/>
  </r>
  <r>
    <n v="4008"/>
    <x v="49"/>
    <n v="10"/>
    <x v="318"/>
    <n v="2.2000000000000002"/>
    <s v="Credit Card"/>
  </r>
  <r>
    <n v="4082"/>
    <x v="26"/>
    <n v="167"/>
    <x v="88"/>
    <n v="1.9"/>
    <s v="Cash"/>
  </r>
  <r>
    <n v="4071"/>
    <x v="30"/>
    <n v="43"/>
    <x v="95"/>
    <n v="3.0542857142857098"/>
    <s v="Credit Card"/>
  </r>
  <r>
    <n v="4056"/>
    <x v="47"/>
    <n v="55"/>
    <x v="73"/>
    <n v="3.2020408163265301"/>
    <s v="Cash"/>
  </r>
  <r>
    <n v="4078"/>
    <x v="37"/>
    <n v="92"/>
    <x v="67"/>
    <n v="4.0999999999999996"/>
    <s v="Credit Card"/>
  </r>
  <r>
    <n v="4025"/>
    <x v="33"/>
    <n v="97.071428571428498"/>
    <x v="347"/>
    <n v="4.8"/>
    <s v="Credit Card"/>
  </r>
  <r>
    <n v="4101"/>
    <x v="31"/>
    <n v="113.54098360655701"/>
    <x v="228"/>
    <n v="3.2"/>
    <s v="Credit Card"/>
  </r>
  <r>
    <n v="4110"/>
    <x v="28"/>
    <n v="46"/>
    <x v="313"/>
    <n v="4.5999999999999996"/>
    <s v="Cash"/>
  </r>
  <r>
    <n v="4065"/>
    <x v="49"/>
    <n v="144"/>
    <x v="187"/>
    <n v="4.2"/>
    <s v="Cash"/>
  </r>
  <r>
    <n v="3980"/>
    <x v="36"/>
    <n v="28"/>
    <x v="31"/>
    <n v="3.9"/>
    <s v="Cash"/>
  </r>
  <r>
    <n v="4065"/>
    <x v="10"/>
    <n v="179"/>
    <x v="357"/>
    <n v="2.7471698113207501"/>
    <s v="Credit Card"/>
  </r>
  <r>
    <n v="4051"/>
    <x v="38"/>
    <n v="35"/>
    <x v="197"/>
    <n v="4.3"/>
    <s v="Cash"/>
  </r>
  <r>
    <n v="4114"/>
    <x v="14"/>
    <n v="92"/>
    <x v="91"/>
    <n v="1.5"/>
    <s v="Cash"/>
  </r>
  <r>
    <n v="4004"/>
    <x v="38"/>
    <n v="106.80769230769199"/>
    <x v="18"/>
    <n v="4"/>
    <s v="Credit Card"/>
  </r>
  <r>
    <n v="4068"/>
    <x v="27"/>
    <n v="108.734693877551"/>
    <x v="88"/>
    <n v="1.6"/>
    <s v="Credit Card"/>
  </r>
  <r>
    <n v="4118"/>
    <x v="9"/>
    <n v="173"/>
    <x v="88"/>
    <n v="2"/>
    <s v="Credit Card"/>
  </r>
  <r>
    <n v="4066"/>
    <x v="39"/>
    <n v="176"/>
    <x v="75"/>
    <n v="2.70806451612903"/>
    <s v="Credit Card"/>
  </r>
  <r>
    <n v="3980"/>
    <x v="41"/>
    <n v="191"/>
    <x v="279"/>
    <n v="4.0999999999999996"/>
    <s v="Cash"/>
  </r>
  <r>
    <n v="3967"/>
    <x v="48"/>
    <n v="187"/>
    <x v="317"/>
    <n v="1.1000000000000001"/>
    <s v="Credit Card"/>
  </r>
  <r>
    <n v="4088"/>
    <x v="31"/>
    <n v="167"/>
    <x v="356"/>
    <n v="1.2"/>
    <s v="Credit Card"/>
  </r>
  <r>
    <n v="4044"/>
    <x v="27"/>
    <n v="67"/>
    <x v="188"/>
    <n v="1.2"/>
    <s v="Cash"/>
  </r>
  <r>
    <n v="4075"/>
    <x v="24"/>
    <n v="54"/>
    <x v="275"/>
    <n v="1.5"/>
    <s v="Cash"/>
  </r>
  <r>
    <n v="4014"/>
    <x v="45"/>
    <n v="197"/>
    <x v="295"/>
    <n v="4.3"/>
    <s v="Credit Card"/>
  </r>
  <r>
    <n v="4122"/>
    <x v="47"/>
    <n v="42"/>
    <x v="314"/>
    <n v="2.1"/>
    <s v="Cash"/>
  </r>
  <r>
    <n v="3996"/>
    <x v="36"/>
    <n v="103.222222222222"/>
    <x v="32"/>
    <n v="1.7"/>
    <s v="Credit Card"/>
  </r>
  <r>
    <n v="4083"/>
    <x v="44"/>
    <n v="118.531914893617"/>
    <x v="239"/>
    <n v="2"/>
    <s v="Cash"/>
  </r>
  <r>
    <n v="4091"/>
    <x v="40"/>
    <n v="156"/>
    <x v="205"/>
    <n v="4"/>
    <s v="Credit Card"/>
  </r>
  <r>
    <n v="4118"/>
    <x v="44"/>
    <n v="155"/>
    <x v="69"/>
    <n v="3.262"/>
    <s v="Cash"/>
  </r>
  <r>
    <n v="4122"/>
    <x v="11"/>
    <n v="112.64705882352899"/>
    <x v="258"/>
    <n v="1"/>
    <s v="Cash"/>
  </r>
  <r>
    <n v="4091"/>
    <x v="5"/>
    <n v="166"/>
    <x v="102"/>
    <n v="4.2"/>
    <s v="Credit Card"/>
  </r>
  <r>
    <n v="3978"/>
    <x v="0"/>
    <n v="154"/>
    <x v="347"/>
    <n v="2.6"/>
    <s v="Credit Card"/>
  </r>
  <r>
    <n v="4031"/>
    <x v="8"/>
    <n v="120.375"/>
    <x v="319"/>
    <n v="2.6"/>
    <s v="Cash"/>
  </r>
  <r>
    <n v="4076"/>
    <x v="46"/>
    <n v="94"/>
    <x v="280"/>
    <n v="4.8"/>
    <s v="Cash"/>
  </r>
  <r>
    <n v="4068"/>
    <x v="39"/>
    <n v="70"/>
    <x v="207"/>
    <n v="2.4"/>
    <s v="Credit Card"/>
  </r>
  <r>
    <n v="3977"/>
    <x v="28"/>
    <n v="91"/>
    <x v="83"/>
    <n v="3.9"/>
    <s v="Credit Card"/>
  </r>
  <r>
    <n v="4079"/>
    <x v="1"/>
    <n v="93.340909090909093"/>
    <x v="248"/>
    <n v="4"/>
    <s v="Credit Card"/>
  </r>
  <r>
    <n v="4033"/>
    <x v="41"/>
    <n v="32"/>
    <x v="83"/>
    <n v="2.6"/>
    <s v="Credit Card"/>
  </r>
  <r>
    <n v="3995"/>
    <x v="14"/>
    <n v="181"/>
    <x v="38"/>
    <n v="3"/>
    <s v="Credit Card"/>
  </r>
  <r>
    <n v="3989"/>
    <x v="42"/>
    <n v="95"/>
    <x v="355"/>
    <n v="1.8"/>
    <s v="Credit Card"/>
  </r>
  <r>
    <n v="4033"/>
    <x v="13"/>
    <n v="77"/>
    <x v="105"/>
    <n v="2.5"/>
    <s v="Credit Card"/>
  </r>
  <r>
    <n v="4020"/>
    <x v="43"/>
    <n v="187"/>
    <x v="263"/>
    <n v="3.4"/>
    <s v="Credit Card"/>
  </r>
  <r>
    <n v="4090"/>
    <x v="21"/>
    <n v="107.68518518518501"/>
    <x v="102"/>
    <n v="2.5"/>
    <s v="Credit Card"/>
  </r>
  <r>
    <n v="4066"/>
    <x v="8"/>
    <n v="37"/>
    <x v="183"/>
    <n v="2.2999999999999998"/>
    <s v="Credit Card"/>
  </r>
  <r>
    <n v="4032"/>
    <x v="5"/>
    <n v="22"/>
    <x v="227"/>
    <n v="1.1000000000000001"/>
    <s v="Credit Card"/>
  </r>
  <r>
    <n v="4102"/>
    <x v="41"/>
    <n v="197"/>
    <x v="228"/>
    <n v="3.6"/>
    <s v="Cash"/>
  </r>
  <r>
    <n v="3969"/>
    <x v="34"/>
    <n v="52"/>
    <x v="250"/>
    <n v="4.5"/>
    <s v="Credit Card"/>
  </r>
  <r>
    <n v="4098"/>
    <x v="43"/>
    <n v="136"/>
    <x v="304"/>
    <n v="4"/>
    <s v="Cash"/>
  </r>
  <r>
    <n v="3976"/>
    <x v="10"/>
    <n v="99"/>
    <x v="75"/>
    <n v="2.2000000000000002"/>
    <s v="Credit Card"/>
  </r>
  <r>
    <n v="3968"/>
    <x v="41"/>
    <n v="35"/>
    <x v="14"/>
    <n v="1.1000000000000001"/>
    <s v="Cash"/>
  </r>
  <r>
    <n v="4088"/>
    <x v="31"/>
    <n v="157"/>
    <x v="32"/>
    <n v="2.8"/>
    <s v="Cash"/>
  </r>
  <r>
    <n v="3984"/>
    <x v="21"/>
    <n v="185"/>
    <x v="300"/>
    <n v="2.9"/>
    <s v="Credit Card"/>
  </r>
  <r>
    <n v="4087"/>
    <x v="13"/>
    <n v="125"/>
    <x v="33"/>
    <n v="4.5"/>
    <s v="Cash"/>
  </r>
  <r>
    <n v="4065"/>
    <x v="34"/>
    <n v="90.925925925925895"/>
    <x v="29"/>
    <n v="2.7"/>
    <s v="Cash"/>
  </r>
  <r>
    <n v="4062"/>
    <x v="5"/>
    <n v="85"/>
    <x v="128"/>
    <n v="2.8953488372092999"/>
    <s v="Cash"/>
  </r>
  <r>
    <n v="3981"/>
    <x v="44"/>
    <n v="118.531914893617"/>
    <x v="152"/>
    <n v="4.5999999999999996"/>
    <s v="Cash"/>
  </r>
  <r>
    <n v="4075"/>
    <x v="21"/>
    <n v="36"/>
    <x v="280"/>
    <n v="2.2000000000000002"/>
    <s v="Credit Card"/>
  </r>
  <r>
    <n v="4102"/>
    <x v="1"/>
    <n v="93.340909090909093"/>
    <x v="51"/>
    <n v="3.0185185185185102"/>
    <s v="Credit Card"/>
  </r>
  <r>
    <n v="4021"/>
    <x v="43"/>
    <n v="111.564102564102"/>
    <x v="55"/>
    <n v="2.5"/>
    <s v="Cash"/>
  </r>
  <r>
    <n v="4047"/>
    <x v="0"/>
    <n v="197"/>
    <x v="95"/>
    <n v="2.7"/>
    <s v="Cash"/>
  </r>
  <r>
    <n v="4022"/>
    <x v="19"/>
    <n v="120.22"/>
    <x v="22"/>
    <n v="2.4"/>
    <s v="Credit Card"/>
  </r>
  <r>
    <n v="4106"/>
    <x v="6"/>
    <n v="33"/>
    <x v="207"/>
    <n v="2.9"/>
    <s v="Credit Card"/>
  </r>
  <r>
    <n v="3977"/>
    <x v="2"/>
    <n v="167"/>
    <x v="52"/>
    <n v="4.5"/>
    <s v="Credit Card"/>
  </r>
  <r>
    <n v="4085"/>
    <x v="22"/>
    <n v="190"/>
    <x v="72"/>
    <n v="2.4"/>
    <s v="Cash"/>
  </r>
  <r>
    <n v="3961"/>
    <x v="33"/>
    <n v="97.071428571428498"/>
    <x v="209"/>
    <n v="4.7"/>
    <s v="Credit Card"/>
  </r>
  <r>
    <n v="3986"/>
    <x v="26"/>
    <n v="52"/>
    <x v="214"/>
    <n v="5"/>
    <s v="Credit Card"/>
  </r>
  <r>
    <n v="4075"/>
    <x v="30"/>
    <n v="121"/>
    <x v="82"/>
    <n v="3.8"/>
    <s v="Credit Card"/>
  </r>
  <r>
    <n v="4002"/>
    <x v="49"/>
    <n v="105.1"/>
    <x v="45"/>
    <n v="1.1000000000000001"/>
    <s v="Cash"/>
  </r>
  <r>
    <n v="4003"/>
    <x v="14"/>
    <n v="110.56666666666599"/>
    <x v="232"/>
    <n v="3.1"/>
    <s v="Cash"/>
  </r>
  <r>
    <n v="4057"/>
    <x v="23"/>
    <n v="58"/>
    <x v="288"/>
    <n v="2.8291666666666599"/>
    <s v="Cash"/>
  </r>
  <r>
    <n v="3968"/>
    <x v="38"/>
    <n v="151"/>
    <x v="212"/>
    <n v="4.2"/>
    <s v="Credit Card"/>
  </r>
  <r>
    <n v="3978"/>
    <x v="39"/>
    <n v="196"/>
    <x v="212"/>
    <n v="3.5"/>
    <s v="Cash"/>
  </r>
  <r>
    <n v="4063"/>
    <x v="42"/>
    <n v="179"/>
    <x v="354"/>
    <n v="1.2"/>
    <s v="Credit Card"/>
  </r>
  <r>
    <n v="4033"/>
    <x v="27"/>
    <n v="70"/>
    <x v="226"/>
    <n v="1.5"/>
    <s v="Cash"/>
  </r>
  <r>
    <n v="4037"/>
    <x v="16"/>
    <n v="102.74"/>
    <x v="108"/>
    <n v="3"/>
    <s v="Cash"/>
  </r>
  <r>
    <n v="4107"/>
    <x v="23"/>
    <n v="150"/>
    <x v="93"/>
    <n v="1.1000000000000001"/>
    <s v="Credit Card"/>
  </r>
  <r>
    <n v="4073"/>
    <x v="36"/>
    <n v="49"/>
    <x v="230"/>
    <n v="3.9"/>
    <s v="Cash"/>
  </r>
  <r>
    <n v="4072"/>
    <x v="20"/>
    <n v="107.949152542372"/>
    <x v="128"/>
    <n v="1.3"/>
    <s v="Cash"/>
  </r>
  <r>
    <n v="4116"/>
    <x v="31"/>
    <n v="113.54098360655701"/>
    <x v="28"/>
    <n v="4.7"/>
    <s v="Cash"/>
  </r>
  <r>
    <n v="4024"/>
    <x v="48"/>
    <n v="123.21818181818099"/>
    <x v="19"/>
    <n v="3.6"/>
    <s v="Credit Card"/>
  </r>
  <r>
    <n v="4044"/>
    <x v="36"/>
    <n v="170"/>
    <x v="204"/>
    <n v="3.9"/>
    <s v="Credit Card"/>
  </r>
  <r>
    <n v="4004"/>
    <x v="36"/>
    <n v="61"/>
    <x v="307"/>
    <n v="1.6"/>
    <s v="Credit Card"/>
  </r>
  <r>
    <n v="4011"/>
    <x v="0"/>
    <n v="112.145454545454"/>
    <x v="289"/>
    <n v="1.4"/>
    <s v="Cash"/>
  </r>
  <r>
    <n v="4004"/>
    <x v="18"/>
    <n v="173"/>
    <x v="57"/>
    <n v="2.6"/>
    <s v="Cash"/>
  </r>
  <r>
    <n v="3977"/>
    <x v="36"/>
    <n v="30"/>
    <x v="163"/>
    <n v="3.0230769230769199"/>
    <s v="Cash"/>
  </r>
  <r>
    <n v="4111"/>
    <x v="49"/>
    <n v="39"/>
    <x v="108"/>
    <n v="4.8"/>
    <s v="Cash"/>
  </r>
  <r>
    <n v="4023"/>
    <x v="31"/>
    <n v="111"/>
    <x v="222"/>
    <n v="3.3"/>
    <s v="Cash"/>
  </r>
  <r>
    <n v="3984"/>
    <x v="24"/>
    <n v="179"/>
    <x v="167"/>
    <n v="4.3"/>
    <s v="Credit Card"/>
  </r>
  <r>
    <n v="4068"/>
    <x v="3"/>
    <n v="174"/>
    <x v="122"/>
    <n v="3.2"/>
    <s v="Cash"/>
  </r>
  <r>
    <n v="4093"/>
    <x v="49"/>
    <n v="57"/>
    <x v="137"/>
    <n v="4.7"/>
    <s v="Credit Card"/>
  </r>
  <r>
    <n v="3961"/>
    <x v="42"/>
    <n v="107"/>
    <x v="60"/>
    <n v="2.92063492063492"/>
    <s v="Credit Card"/>
  </r>
  <r>
    <n v="3958"/>
    <x v="47"/>
    <n v="124"/>
    <x v="22"/>
    <n v="3.2020408163265301"/>
    <s v="Cash"/>
  </r>
  <r>
    <n v="4058"/>
    <x v="35"/>
    <n v="97.720588235294102"/>
    <x v="122"/>
    <n v="2.1"/>
    <s v="Cash"/>
  </r>
  <r>
    <n v="3986"/>
    <x v="29"/>
    <n v="77"/>
    <x v="230"/>
    <n v="1.3"/>
    <s v="Credit Card"/>
  </r>
  <r>
    <n v="3960"/>
    <x v="42"/>
    <n v="78"/>
    <x v="247"/>
    <n v="4.9000000000000004"/>
    <s v="Cash"/>
  </r>
  <r>
    <n v="4000"/>
    <x v="7"/>
    <n v="48"/>
    <x v="206"/>
    <n v="3"/>
    <s v="Credit Card"/>
  </r>
  <r>
    <n v="4079"/>
    <x v="27"/>
    <n v="180"/>
    <x v="140"/>
    <n v="2.69137931034482"/>
    <s v="Cash"/>
  </r>
  <r>
    <n v="4074"/>
    <x v="10"/>
    <n v="103.354166666666"/>
    <x v="130"/>
    <n v="4.5999999999999996"/>
    <s v="Cash"/>
  </r>
  <r>
    <n v="4060"/>
    <x v="7"/>
    <n v="148"/>
    <x v="232"/>
    <n v="4.9000000000000004"/>
    <s v="Credit Card"/>
  </r>
  <r>
    <n v="4111"/>
    <x v="4"/>
    <n v="160"/>
    <x v="279"/>
    <n v="4.8"/>
    <s v="Cash"/>
  </r>
  <r>
    <n v="4081"/>
    <x v="28"/>
    <n v="25"/>
    <x v="124"/>
    <n v="3.2"/>
    <s v="Cash"/>
  </r>
  <r>
    <n v="4034"/>
    <x v="17"/>
    <n v="143"/>
    <x v="66"/>
    <n v="4.3"/>
    <s v="Credit Card"/>
  </r>
  <r>
    <n v="4115"/>
    <x v="22"/>
    <n v="147"/>
    <x v="228"/>
    <n v="3.7"/>
    <s v="Cash"/>
  </r>
  <r>
    <n v="4114"/>
    <x v="6"/>
    <n v="131"/>
    <x v="59"/>
    <n v="3.7"/>
    <s v="Cash"/>
  </r>
  <r>
    <n v="4049"/>
    <x v="40"/>
    <n v="70"/>
    <x v="224"/>
    <n v="3.4"/>
    <s v="Credit Card"/>
  </r>
  <r>
    <n v="4058"/>
    <x v="46"/>
    <n v="30"/>
    <x v="331"/>
    <n v="4.2"/>
    <s v="Credit Card"/>
  </r>
  <r>
    <n v="4034"/>
    <x v="9"/>
    <n v="192"/>
    <x v="15"/>
    <n v="2"/>
    <s v="Cash"/>
  </r>
  <r>
    <n v="3979"/>
    <x v="36"/>
    <n v="103.222222222222"/>
    <x v="69"/>
    <n v="2.7"/>
    <s v="Cash"/>
  </r>
  <r>
    <n v="3989"/>
    <x v="1"/>
    <n v="142"/>
    <x v="142"/>
    <n v="4.8"/>
    <s v="Cash"/>
  </r>
  <r>
    <n v="3991"/>
    <x v="18"/>
    <n v="183"/>
    <x v="325"/>
    <n v="4.9000000000000004"/>
    <s v="Credit Card"/>
  </r>
  <r>
    <n v="3960"/>
    <x v="30"/>
    <n v="47"/>
    <x v="101"/>
    <n v="1.2"/>
    <s v="Cash"/>
  </r>
  <r>
    <n v="4005"/>
    <x v="40"/>
    <n v="114.396551724137"/>
    <x v="7"/>
    <n v="4.2"/>
    <s v="Cash"/>
  </r>
  <r>
    <n v="3985"/>
    <x v="30"/>
    <n v="54"/>
    <x v="93"/>
    <n v="4.3"/>
    <s v="Cash"/>
  </r>
  <r>
    <n v="3961"/>
    <x v="25"/>
    <n v="52"/>
    <x v="159"/>
    <n v="4.4000000000000004"/>
    <s v="Credit Card"/>
  </r>
  <r>
    <n v="4005"/>
    <x v="17"/>
    <n v="59"/>
    <x v="294"/>
    <n v="4.8"/>
    <s v="Cash"/>
  </r>
  <r>
    <n v="3963"/>
    <x v="10"/>
    <n v="103.354166666666"/>
    <x v="333"/>
    <n v="1.6"/>
    <s v="Cash"/>
  </r>
  <r>
    <n v="4010"/>
    <x v="39"/>
    <n v="184"/>
    <x v="106"/>
    <n v="2.70806451612903"/>
    <s v="Cash"/>
  </r>
  <r>
    <n v="4080"/>
    <x v="1"/>
    <n v="170"/>
    <x v="360"/>
    <n v="2.5"/>
    <s v="Credit Card"/>
  </r>
  <r>
    <n v="3994"/>
    <x v="4"/>
    <n v="114.77966101694901"/>
    <x v="250"/>
    <n v="2.7"/>
    <s v="Credit Card"/>
  </r>
  <r>
    <n v="4018"/>
    <x v="47"/>
    <n v="91"/>
    <x v="185"/>
    <n v="1.3"/>
    <s v="Cash"/>
  </r>
  <r>
    <n v="4068"/>
    <x v="23"/>
    <n v="27"/>
    <x v="291"/>
    <n v="2.9"/>
    <s v="Cash"/>
  </r>
  <r>
    <n v="4117"/>
    <x v="19"/>
    <n v="120.22"/>
    <x v="334"/>
    <n v="1.3"/>
    <s v="Cash"/>
  </r>
  <r>
    <n v="4094"/>
    <x v="41"/>
    <n v="151"/>
    <x v="30"/>
    <n v="4.5999999999999996"/>
    <s v="Cash"/>
  </r>
  <r>
    <n v="4005"/>
    <x v="35"/>
    <n v="80"/>
    <x v="299"/>
    <n v="4.3"/>
    <s v="Cash"/>
  </r>
  <r>
    <n v="3979"/>
    <x v="40"/>
    <n v="13"/>
    <x v="288"/>
    <n v="2.9"/>
    <s v="Cash"/>
  </r>
  <r>
    <n v="4034"/>
    <x v="17"/>
    <n v="169"/>
    <x v="39"/>
    <n v="3.2083333333333299"/>
    <s v="Cash"/>
  </r>
  <r>
    <n v="4075"/>
    <x v="19"/>
    <n v="117"/>
    <x v="222"/>
    <n v="1.5"/>
    <s v="Cash"/>
  </r>
  <r>
    <n v="3994"/>
    <x v="17"/>
    <n v="117.172413793103"/>
    <x v="300"/>
    <n v="4.5"/>
    <s v="Credit Card"/>
  </r>
  <r>
    <n v="4078"/>
    <x v="15"/>
    <n v="119.195652173913"/>
    <x v="79"/>
    <n v="4.8"/>
    <s v="Credit Card"/>
  </r>
  <r>
    <n v="4065"/>
    <x v="11"/>
    <n v="159"/>
    <x v="230"/>
    <n v="2.6"/>
    <s v="Cash"/>
  </r>
  <r>
    <n v="3962"/>
    <x v="21"/>
    <n v="35"/>
    <x v="256"/>
    <n v="2.1"/>
    <s v="Credit Card"/>
  </r>
  <r>
    <n v="3986"/>
    <x v="35"/>
    <n v="154"/>
    <x v="11"/>
    <n v="1.7"/>
    <s v="Cash"/>
  </r>
  <r>
    <n v="3999"/>
    <x v="9"/>
    <n v="83"/>
    <x v="208"/>
    <n v="2.2999999999999998"/>
    <s v="Cash"/>
  </r>
  <r>
    <n v="3996"/>
    <x v="44"/>
    <n v="98"/>
    <x v="203"/>
    <n v="1.3"/>
    <s v="Credit Card"/>
  </r>
  <r>
    <n v="4070"/>
    <x v="25"/>
    <n v="77"/>
    <x v="31"/>
    <n v="3.2016129032257998"/>
    <s v="Cash"/>
  </r>
  <r>
    <n v="4081"/>
    <x v="24"/>
    <n v="134"/>
    <x v="351"/>
    <n v="1"/>
    <s v="Cash"/>
  </r>
  <r>
    <n v="4077"/>
    <x v="31"/>
    <n v="131"/>
    <x v="112"/>
    <n v="3"/>
    <s v="Cash"/>
  </r>
  <r>
    <n v="3962"/>
    <x v="30"/>
    <n v="84.528571428571396"/>
    <x v="107"/>
    <n v="3.0542857142857098"/>
    <s v="Credit Card"/>
  </r>
  <r>
    <n v="4072"/>
    <x v="27"/>
    <n v="46"/>
    <x v="347"/>
    <n v="4.2"/>
    <s v="Cash"/>
  </r>
  <r>
    <n v="4106"/>
    <x v="9"/>
    <n v="184"/>
    <x v="270"/>
    <n v="5"/>
    <s v="Credit Card"/>
  </r>
  <r>
    <n v="4019"/>
    <x v="42"/>
    <n v="19"/>
    <x v="87"/>
    <n v="2.92063492063492"/>
    <s v="Cash"/>
  </r>
  <r>
    <n v="4008"/>
    <x v="31"/>
    <n v="94"/>
    <x v="75"/>
    <n v="1.5"/>
    <s v="Cash"/>
  </r>
  <r>
    <n v="4032"/>
    <x v="37"/>
    <n v="22"/>
    <x v="230"/>
    <n v="2.5"/>
    <s v="Credit Card"/>
  </r>
  <r>
    <n v="4102"/>
    <x v="45"/>
    <n v="78"/>
    <x v="266"/>
    <n v="4.3"/>
    <s v="Cash"/>
  </r>
  <r>
    <n v="4057"/>
    <x v="5"/>
    <n v="15"/>
    <x v="322"/>
    <n v="3.3"/>
    <s v="Cash"/>
  </r>
  <r>
    <n v="3970"/>
    <x v="13"/>
    <n v="87"/>
    <x v="292"/>
    <n v="3.04897959183673"/>
    <s v="Cash"/>
  </r>
  <r>
    <n v="4042"/>
    <x v="12"/>
    <n v="135"/>
    <x v="76"/>
    <n v="2.2999999999999998"/>
    <s v="Credit Card"/>
  </r>
  <r>
    <n v="3959"/>
    <x v="17"/>
    <n v="185"/>
    <x v="311"/>
    <n v="3.2083333333333299"/>
    <s v="Credit Card"/>
  </r>
  <r>
    <n v="3983"/>
    <x v="20"/>
    <n v="107.949152542372"/>
    <x v="84"/>
    <n v="5"/>
    <s v="Cash"/>
  </r>
  <r>
    <n v="4118"/>
    <x v="44"/>
    <n v="44"/>
    <x v="322"/>
    <n v="4.3"/>
    <s v="Credit Card"/>
  </r>
  <r>
    <n v="4067"/>
    <x v="24"/>
    <n v="200"/>
    <x v="242"/>
    <n v="1.7"/>
    <s v="Cash"/>
  </r>
  <r>
    <n v="4063"/>
    <x v="19"/>
    <n v="92"/>
    <x v="199"/>
    <n v="5"/>
    <s v="Credit Card"/>
  </r>
  <r>
    <n v="4083"/>
    <x v="31"/>
    <n v="116"/>
    <x v="342"/>
    <n v="3.4"/>
    <s v="Credit Card"/>
  </r>
  <r>
    <n v="4105"/>
    <x v="35"/>
    <n v="32"/>
    <x v="252"/>
    <n v="3.1"/>
    <s v="Credit Card"/>
  </r>
  <r>
    <n v="4109"/>
    <x v="7"/>
    <n v="103.564102564102"/>
    <x v="362"/>
    <n v="2.1"/>
    <s v="Credit Card"/>
  </r>
  <r>
    <n v="4098"/>
    <x v="11"/>
    <n v="114"/>
    <x v="292"/>
    <n v="2.45818181818181"/>
    <s v="Cash"/>
  </r>
  <r>
    <n v="4031"/>
    <x v="37"/>
    <n v="142"/>
    <x v="29"/>
    <n v="2"/>
    <s v="Credit Card"/>
  </r>
  <r>
    <n v="3966"/>
    <x v="38"/>
    <n v="24"/>
    <x v="270"/>
    <n v="3.8"/>
    <s v="Cash"/>
  </r>
  <r>
    <n v="4081"/>
    <x v="29"/>
    <n v="50"/>
    <x v="335"/>
    <n v="2.6590163934426201"/>
    <s v="Credit Card"/>
  </r>
  <r>
    <n v="4059"/>
    <x v="48"/>
    <n v="123.21818181818099"/>
    <x v="137"/>
    <n v="3.8"/>
    <s v="Cash"/>
  </r>
  <r>
    <n v="4081"/>
    <x v="13"/>
    <n v="113"/>
    <x v="71"/>
    <n v="3.04897959183673"/>
    <s v="Cash"/>
  </r>
  <r>
    <n v="4088"/>
    <x v="40"/>
    <n v="114.396551724137"/>
    <x v="114"/>
    <n v="3.7"/>
    <s v="Cash"/>
  </r>
  <r>
    <n v="4108"/>
    <x v="40"/>
    <n v="155"/>
    <x v="314"/>
    <n v="4.2"/>
    <s v="Credit Card"/>
  </r>
  <r>
    <n v="4113"/>
    <x v="18"/>
    <n v="105.95348837209301"/>
    <x v="208"/>
    <n v="3"/>
    <s v="Credit Card"/>
  </r>
  <r>
    <n v="4081"/>
    <x v="22"/>
    <n v="95.292307692307702"/>
    <x v="270"/>
    <n v="3.8"/>
    <s v="Credit Card"/>
  </r>
  <r>
    <n v="4016"/>
    <x v="38"/>
    <n v="24"/>
    <x v="194"/>
    <n v="4.2"/>
    <s v="Cash"/>
  </r>
  <r>
    <n v="3972"/>
    <x v="22"/>
    <n v="126"/>
    <x v="28"/>
    <n v="4.9000000000000004"/>
    <s v="Cash"/>
  </r>
  <r>
    <n v="4092"/>
    <x v="35"/>
    <n v="97.720588235294102"/>
    <x v="327"/>
    <n v="2.2999999999999998"/>
    <s v="Cash"/>
  </r>
  <r>
    <n v="3961"/>
    <x v="48"/>
    <n v="60"/>
    <x v="241"/>
    <n v="1.6"/>
    <s v="Credit Card"/>
  </r>
  <r>
    <n v="4065"/>
    <x v="22"/>
    <n v="128"/>
    <x v="311"/>
    <n v="1.3"/>
    <s v="Credit Card"/>
  </r>
  <r>
    <n v="4104"/>
    <x v="39"/>
    <n v="172"/>
    <x v="214"/>
    <n v="1.5"/>
    <s v="Credit Card"/>
  </r>
  <r>
    <n v="4037"/>
    <x v="23"/>
    <n v="184"/>
    <x v="165"/>
    <n v="2.8"/>
    <s v="Credit Card"/>
  </r>
  <r>
    <n v="4098"/>
    <x v="26"/>
    <n v="111.854838709677"/>
    <x v="243"/>
    <n v="1.3"/>
    <s v="Credit Card"/>
  </r>
  <r>
    <n v="3973"/>
    <x v="33"/>
    <n v="162"/>
    <x v="142"/>
    <n v="3.8"/>
    <s v="Cash"/>
  </r>
  <r>
    <n v="4025"/>
    <x v="4"/>
    <n v="131"/>
    <x v="217"/>
    <n v="3.9"/>
    <s v="Cash"/>
  </r>
  <r>
    <n v="4122"/>
    <x v="29"/>
    <n v="99"/>
    <x v="106"/>
    <n v="1.5"/>
    <s v="Cash"/>
  </r>
  <r>
    <n v="4063"/>
    <x v="27"/>
    <n v="76"/>
    <x v="97"/>
    <n v="4.8"/>
    <s v="Credit Card"/>
  </r>
  <r>
    <n v="4078"/>
    <x v="3"/>
    <n v="186"/>
    <x v="93"/>
    <n v="3.4"/>
    <s v="Cash"/>
  </r>
  <r>
    <n v="3986"/>
    <x v="20"/>
    <n v="107.949152542372"/>
    <x v="332"/>
    <n v="1.8"/>
    <s v="Cash"/>
  </r>
  <r>
    <n v="4083"/>
    <x v="32"/>
    <n v="110.431818181818"/>
    <x v="362"/>
    <n v="1.1000000000000001"/>
    <s v="Credit Card"/>
  </r>
  <r>
    <n v="4116"/>
    <x v="43"/>
    <n v="111.564102564102"/>
    <x v="203"/>
    <n v="1.8"/>
    <s v="Cash"/>
  </r>
  <r>
    <n v="4122"/>
    <x v="30"/>
    <n v="64"/>
    <x v="143"/>
    <n v="3.0542857142857098"/>
    <s v="Cash"/>
  </r>
  <r>
    <n v="4045"/>
    <x v="10"/>
    <n v="175"/>
    <x v="166"/>
    <n v="2.7471698113207501"/>
    <s v="Credit Card"/>
  </r>
  <r>
    <n v="4071"/>
    <x v="20"/>
    <n v="62"/>
    <x v="82"/>
    <n v="2"/>
    <s v="Credit Card"/>
  </r>
  <r>
    <n v="4068"/>
    <x v="3"/>
    <n v="114"/>
    <x v="273"/>
    <n v="3"/>
    <s v="Credit Card"/>
  </r>
  <r>
    <n v="3962"/>
    <x v="6"/>
    <n v="184"/>
    <x v="202"/>
    <n v="2.6"/>
    <s v="Cash"/>
  </r>
  <r>
    <n v="3998"/>
    <x v="6"/>
    <n v="105.81034482758599"/>
    <x v="83"/>
    <n v="2.2999999999999998"/>
    <s v="Cash"/>
  </r>
  <r>
    <n v="4030"/>
    <x v="3"/>
    <n v="175"/>
    <x v="345"/>
    <n v="2.2999999999999998"/>
    <s v="Credit Card"/>
  </r>
  <r>
    <n v="4006"/>
    <x v="10"/>
    <n v="103.354166666666"/>
    <x v="304"/>
    <n v="2.7"/>
    <s v="Credit Card"/>
  </r>
  <r>
    <n v="4077"/>
    <x v="26"/>
    <n v="67"/>
    <x v="94"/>
    <n v="4.7"/>
    <s v="Credit Card"/>
  </r>
  <r>
    <n v="4045"/>
    <x v="30"/>
    <n v="88"/>
    <x v="305"/>
    <n v="3.8"/>
    <s v="Credit Card"/>
  </r>
  <r>
    <n v="4069"/>
    <x v="36"/>
    <n v="191"/>
    <x v="5"/>
    <n v="3.0230769230769199"/>
    <s v="Credit Card"/>
  </r>
  <r>
    <n v="4016"/>
    <x v="30"/>
    <n v="118"/>
    <x v="319"/>
    <n v="4.8"/>
    <s v="Cash"/>
  </r>
  <r>
    <n v="4086"/>
    <x v="28"/>
    <n v="99"/>
    <x v="278"/>
    <n v="2.9"/>
    <s v="Cash"/>
  </r>
  <r>
    <n v="4013"/>
    <x v="10"/>
    <n v="65"/>
    <x v="260"/>
    <n v="1.6"/>
    <s v="Cash"/>
  </r>
  <r>
    <n v="4107"/>
    <x v="46"/>
    <n v="183"/>
    <x v="234"/>
    <n v="2"/>
    <s v="Credit Card"/>
  </r>
  <r>
    <n v="4043"/>
    <x v="21"/>
    <n v="169"/>
    <x v="139"/>
    <n v="4.8"/>
    <s v="Cash"/>
  </r>
  <r>
    <n v="4111"/>
    <x v="13"/>
    <n v="36"/>
    <x v="85"/>
    <n v="3.9"/>
    <s v="Credit Card"/>
  </r>
  <r>
    <n v="4076"/>
    <x v="44"/>
    <n v="118.531914893617"/>
    <x v="55"/>
    <n v="4.0999999999999996"/>
    <s v="Credit Card"/>
  </r>
  <r>
    <n v="3990"/>
    <x v="12"/>
    <n v="105"/>
    <x v="60"/>
    <n v="3.8"/>
    <s v="Cash"/>
  </r>
  <r>
    <n v="4032"/>
    <x v="3"/>
    <n v="162"/>
    <x v="31"/>
    <n v="2.5"/>
    <s v="Cash"/>
  </r>
  <r>
    <n v="4056"/>
    <x v="26"/>
    <n v="86"/>
    <x v="55"/>
    <n v="3"/>
    <s v="Cash"/>
  </r>
  <r>
    <n v="4063"/>
    <x v="5"/>
    <n v="133"/>
    <x v="279"/>
    <n v="4.3"/>
    <s v="Credit Card"/>
  </r>
  <r>
    <n v="4049"/>
    <x v="8"/>
    <n v="120.375"/>
    <x v="238"/>
    <n v="1.8"/>
    <s v="Cash"/>
  </r>
  <r>
    <n v="4077"/>
    <x v="25"/>
    <n v="173"/>
    <x v="319"/>
    <n v="3.6"/>
    <s v="Credit Card"/>
  </r>
  <r>
    <n v="3998"/>
    <x v="5"/>
    <n v="80"/>
    <x v="243"/>
    <n v="3"/>
    <s v="Cash"/>
  </r>
  <r>
    <n v="4116"/>
    <x v="25"/>
    <n v="192"/>
    <x v="29"/>
    <n v="4.5999999999999996"/>
    <s v="Cash"/>
  </r>
  <r>
    <n v="4010"/>
    <x v="32"/>
    <n v="176"/>
    <x v="248"/>
    <n v="3.4"/>
    <s v="Cash"/>
  </r>
  <r>
    <n v="4029"/>
    <x v="49"/>
    <n v="48"/>
    <x v="317"/>
    <n v="2.7"/>
    <s v="Cash"/>
  </r>
  <r>
    <n v="3979"/>
    <x v="1"/>
    <n v="71"/>
    <x v="301"/>
    <n v="4.2"/>
    <s v="Credit Card"/>
  </r>
  <r>
    <n v="4080"/>
    <x v="17"/>
    <n v="163"/>
    <x v="275"/>
    <n v="3.9"/>
    <s v="Cash"/>
  </r>
  <r>
    <n v="3990"/>
    <x v="6"/>
    <n v="91"/>
    <x v="360"/>
    <n v="3.2"/>
    <s v="Credit Card"/>
  </r>
  <r>
    <n v="4001"/>
    <x v="29"/>
    <n v="194"/>
    <x v="80"/>
    <n v="1.2"/>
    <s v="Credit Card"/>
  </r>
  <r>
    <n v="4008"/>
    <x v="13"/>
    <n v="103.108695652173"/>
    <x v="228"/>
    <n v="2.6"/>
    <s v="Cash"/>
  </r>
  <r>
    <n v="3997"/>
    <x v="22"/>
    <n v="85"/>
    <x v="6"/>
    <n v="4.2"/>
    <s v="Credit Card"/>
  </r>
  <r>
    <n v="4112"/>
    <x v="18"/>
    <n v="117"/>
    <x v="169"/>
    <n v="4.5"/>
    <s v="Cash"/>
  </r>
  <r>
    <n v="4082"/>
    <x v="47"/>
    <n v="198"/>
    <x v="152"/>
    <n v="4.7"/>
    <s v="Credit Card"/>
  </r>
  <r>
    <n v="3982"/>
    <x v="38"/>
    <n v="106.80769230769199"/>
    <x v="178"/>
    <n v="1.9"/>
    <s v="Credit Card"/>
  </r>
  <r>
    <n v="4063"/>
    <x v="4"/>
    <n v="156"/>
    <x v="341"/>
    <n v="3.4"/>
    <s v="Credit Card"/>
  </r>
  <r>
    <n v="4083"/>
    <x v="23"/>
    <n v="97"/>
    <x v="190"/>
    <n v="2.2000000000000002"/>
    <s v="Credit Card"/>
  </r>
  <r>
    <n v="4034"/>
    <x v="17"/>
    <n v="66"/>
    <x v="68"/>
    <n v="1.2"/>
    <s v="Cash"/>
  </r>
  <r>
    <n v="4017"/>
    <x v="48"/>
    <n v="173"/>
    <x v="186"/>
    <n v="4.5999999999999996"/>
    <s v="Cash"/>
  </r>
  <r>
    <n v="4010"/>
    <x v="17"/>
    <n v="181"/>
    <x v="20"/>
    <n v="2.1"/>
    <s v="Credit Card"/>
  </r>
  <r>
    <n v="4099"/>
    <x v="29"/>
    <n v="86"/>
    <x v="88"/>
    <n v="1.2"/>
    <s v="Credit Card"/>
  </r>
  <r>
    <n v="3969"/>
    <x v="21"/>
    <n v="178"/>
    <x v="297"/>
    <n v="2.8"/>
    <s v="Credit Card"/>
  </r>
  <r>
    <n v="3961"/>
    <x v="39"/>
    <n v="56"/>
    <x v="252"/>
    <n v="2.7"/>
    <s v="Cash"/>
  </r>
  <r>
    <n v="4048"/>
    <x v="26"/>
    <n v="130"/>
    <x v="139"/>
    <n v="4.2"/>
    <s v="Cash"/>
  </r>
  <r>
    <n v="4023"/>
    <x v="41"/>
    <n v="117.354166666666"/>
    <x v="259"/>
    <n v="4.3"/>
    <s v="Cash"/>
  </r>
  <r>
    <n v="4048"/>
    <x v="41"/>
    <n v="153"/>
    <x v="162"/>
    <n v="2.7"/>
    <s v="Cash"/>
  </r>
  <r>
    <n v="3997"/>
    <x v="15"/>
    <n v="56"/>
    <x v="273"/>
    <n v="4.8"/>
    <s v="Credit Card"/>
  </r>
  <r>
    <n v="4001"/>
    <x v="37"/>
    <n v="95"/>
    <x v="139"/>
    <n v="3.6"/>
    <s v="Credit Card"/>
  </r>
  <r>
    <n v="4085"/>
    <x v="37"/>
    <n v="66"/>
    <x v="348"/>
    <n v="3.4"/>
    <s v="Cash"/>
  </r>
  <r>
    <n v="3965"/>
    <x v="34"/>
    <n v="200"/>
    <x v="96"/>
    <n v="3.1546875000000001"/>
    <s v="Cash"/>
  </r>
  <r>
    <n v="3973"/>
    <x v="46"/>
    <n v="117"/>
    <x v="126"/>
    <n v="1.9"/>
    <s v="Cash"/>
  </r>
  <r>
    <n v="4043"/>
    <x v="22"/>
    <n v="94"/>
    <x v="186"/>
    <n v="2.2000000000000002"/>
    <s v="Cash"/>
  </r>
  <r>
    <n v="4067"/>
    <x v="28"/>
    <n v="159"/>
    <x v="271"/>
    <n v="1.9"/>
    <s v="Cash"/>
  </r>
  <r>
    <n v="3986"/>
    <x v="0"/>
    <n v="40"/>
    <x v="9"/>
    <n v="3.2"/>
    <s v="Cash"/>
  </r>
  <r>
    <n v="4115"/>
    <x v="36"/>
    <n v="172"/>
    <x v="152"/>
    <n v="3.2"/>
    <s v="Cash"/>
  </r>
  <r>
    <n v="4015"/>
    <x v="13"/>
    <n v="168"/>
    <x v="128"/>
    <n v="3.7"/>
    <s v="Credit Card"/>
  </r>
  <r>
    <n v="3987"/>
    <x v="13"/>
    <n v="103.108695652173"/>
    <x v="157"/>
    <n v="3.04897959183673"/>
    <s v="Cash"/>
  </r>
  <r>
    <n v="4100"/>
    <x v="48"/>
    <n v="138"/>
    <x v="118"/>
    <n v="4.8"/>
    <s v="Credit Card"/>
  </r>
  <r>
    <n v="4014"/>
    <x v="48"/>
    <n v="123.21818181818099"/>
    <x v="33"/>
    <n v="3"/>
    <s v="Cash"/>
  </r>
  <r>
    <n v="4081"/>
    <x v="18"/>
    <n v="145"/>
    <x v="134"/>
    <n v="4"/>
    <s v="Credit Card"/>
  </r>
  <r>
    <n v="4023"/>
    <x v="35"/>
    <n v="23"/>
    <x v="127"/>
    <n v="3.6"/>
    <s v="Credit Card"/>
  </r>
  <r>
    <n v="4044"/>
    <x v="12"/>
    <n v="48"/>
    <x v="237"/>
    <n v="2.7"/>
    <s v="Credit Card"/>
  </r>
  <r>
    <n v="4047"/>
    <x v="11"/>
    <n v="112.64705882352899"/>
    <x v="87"/>
    <n v="1.8"/>
    <s v="Cash"/>
  </r>
  <r>
    <n v="3968"/>
    <x v="7"/>
    <n v="114"/>
    <x v="105"/>
    <n v="1.4"/>
    <s v="Cash"/>
  </r>
  <r>
    <n v="4099"/>
    <x v="46"/>
    <n v="127"/>
    <x v="26"/>
    <n v="2.2000000000000002"/>
    <s v="Cash"/>
  </r>
  <r>
    <n v="4025"/>
    <x v="24"/>
    <n v="103.267857142857"/>
    <x v="4"/>
    <n v="3.2"/>
    <s v="Cash"/>
  </r>
  <r>
    <n v="3995"/>
    <x v="36"/>
    <n v="56"/>
    <x v="324"/>
    <n v="3.0230769230769199"/>
    <s v="Credit Card"/>
  </r>
  <r>
    <n v="4088"/>
    <x v="35"/>
    <n v="134"/>
    <x v="221"/>
    <n v="4.5"/>
    <s v="Cash"/>
  </r>
  <r>
    <n v="4111"/>
    <x v="41"/>
    <n v="55"/>
    <x v="257"/>
    <n v="1"/>
    <s v="Cash"/>
  </r>
  <r>
    <n v="3983"/>
    <x v="24"/>
    <n v="24"/>
    <x v="116"/>
    <n v="4.0999999999999996"/>
    <s v="Credit Card"/>
  </r>
  <r>
    <n v="3969"/>
    <x v="33"/>
    <n v="97.071428571428498"/>
    <x v="183"/>
    <n v="4.8"/>
    <s v="Credit Card"/>
  </r>
  <r>
    <n v="4069"/>
    <x v="4"/>
    <n v="53"/>
    <x v="221"/>
    <n v="1.5"/>
    <s v="Credit Card"/>
  </r>
  <r>
    <n v="4074"/>
    <x v="38"/>
    <n v="50"/>
    <x v="360"/>
    <n v="1.5"/>
    <s v="Credit Card"/>
  </r>
  <r>
    <n v="3985"/>
    <x v="18"/>
    <n v="32"/>
    <x v="363"/>
    <n v="4.0999999999999996"/>
    <s v="Credit Card"/>
  </r>
  <r>
    <n v="3984"/>
    <x v="35"/>
    <n v="97.720588235294102"/>
    <x v="358"/>
    <n v="1.5"/>
    <s v="Cash"/>
  </r>
  <r>
    <n v="4113"/>
    <x v="23"/>
    <n v="119"/>
    <x v="341"/>
    <n v="2.1"/>
    <s v="Credit Card"/>
  </r>
  <r>
    <n v="4113"/>
    <x v="14"/>
    <n v="132"/>
    <x v="266"/>
    <n v="3.05820895522388"/>
    <s v="Credit Card"/>
  </r>
  <r>
    <n v="3983"/>
    <x v="20"/>
    <n v="19"/>
    <x v="84"/>
    <n v="2.4"/>
    <s v="Cash"/>
  </r>
  <r>
    <n v="4100"/>
    <x v="22"/>
    <n v="197"/>
    <x v="294"/>
    <n v="1.8"/>
    <s v="Cash"/>
  </r>
  <r>
    <n v="3967"/>
    <x v="21"/>
    <n v="13"/>
    <x v="177"/>
    <n v="3.9"/>
    <s v="Credit Card"/>
  </r>
  <r>
    <n v="4086"/>
    <x v="35"/>
    <n v="145"/>
    <x v="348"/>
    <n v="3.5"/>
    <s v="Cash"/>
  </r>
  <r>
    <n v="3983"/>
    <x v="25"/>
    <n v="103.98245614035"/>
    <x v="266"/>
    <n v="4.0999999999999996"/>
    <s v="Cash"/>
  </r>
  <r>
    <n v="3999"/>
    <x v="14"/>
    <n v="170"/>
    <x v="7"/>
    <n v="1.6"/>
    <s v="Cash"/>
  </r>
  <r>
    <n v="4118"/>
    <x v="22"/>
    <n v="67"/>
    <x v="362"/>
    <n v="3.1"/>
    <s v="Cash"/>
  </r>
  <r>
    <n v="3987"/>
    <x v="43"/>
    <n v="98"/>
    <x v="205"/>
    <n v="1.8"/>
    <s v="Cash"/>
  </r>
  <r>
    <n v="4009"/>
    <x v="49"/>
    <n v="36"/>
    <x v="356"/>
    <n v="4"/>
    <s v="Cash"/>
  </r>
  <r>
    <n v="4049"/>
    <x v="31"/>
    <n v="160"/>
    <x v="132"/>
    <n v="2.4"/>
    <s v="Cash"/>
  </r>
  <r>
    <n v="3997"/>
    <x v="49"/>
    <n v="26"/>
    <x v="98"/>
    <n v="4"/>
    <s v="Cash"/>
  </r>
  <r>
    <n v="4031"/>
    <x v="31"/>
    <n v="86"/>
    <x v="281"/>
    <n v="3"/>
    <s v="Cash"/>
  </r>
  <r>
    <n v="4070"/>
    <x v="0"/>
    <n v="126"/>
    <x v="291"/>
    <n v="1.8"/>
    <s v="Credit Card"/>
  </r>
  <r>
    <n v="4086"/>
    <x v="15"/>
    <n v="162"/>
    <x v="18"/>
    <n v="3.5"/>
    <s v="Cash"/>
  </r>
  <r>
    <n v="4084"/>
    <x v="43"/>
    <n v="121"/>
    <x v="165"/>
    <n v="4"/>
    <s v="Cash"/>
  </r>
  <r>
    <n v="3982"/>
    <x v="13"/>
    <n v="44"/>
    <x v="226"/>
    <n v="3.04897959183673"/>
    <s v="Credit Card"/>
  </r>
  <r>
    <n v="3996"/>
    <x v="49"/>
    <n v="135"/>
    <x v="53"/>
    <n v="1.9"/>
    <s v="Credit Card"/>
  </r>
  <r>
    <n v="4122"/>
    <x v="28"/>
    <n v="58"/>
    <x v="243"/>
    <n v="4.7"/>
    <s v="Credit Card"/>
  </r>
  <r>
    <n v="4050"/>
    <x v="6"/>
    <n v="105.81034482758599"/>
    <x v="244"/>
    <n v="4.0999999999999996"/>
    <s v="Credit Card"/>
  </r>
  <r>
    <n v="4042"/>
    <x v="11"/>
    <n v="113"/>
    <x v="363"/>
    <n v="3.6"/>
    <s v="Cash"/>
  </r>
  <r>
    <n v="3992"/>
    <x v="43"/>
    <n v="111.564102564102"/>
    <x v="57"/>
    <n v="1.2"/>
    <s v="Credit Card"/>
  </r>
  <r>
    <n v="3988"/>
    <x v="18"/>
    <n v="43"/>
    <x v="214"/>
    <n v="1"/>
    <s v="Cash"/>
  </r>
  <r>
    <n v="4008"/>
    <x v="49"/>
    <n v="15"/>
    <x v="207"/>
    <n v="5"/>
    <s v="Credit Card"/>
  </r>
  <r>
    <n v="4069"/>
    <x v="25"/>
    <n v="53"/>
    <x v="362"/>
    <n v="3.6"/>
    <s v="Credit Card"/>
  </r>
  <r>
    <n v="4063"/>
    <x v="5"/>
    <n v="99.697674418604606"/>
    <x v="150"/>
    <n v="4.4000000000000004"/>
    <s v="Cash"/>
  </r>
  <r>
    <n v="3958"/>
    <x v="34"/>
    <n v="19"/>
    <x v="94"/>
    <n v="4.4000000000000004"/>
    <s v="Cash"/>
  </r>
  <r>
    <n v="4019"/>
    <x v="32"/>
    <n v="173"/>
    <x v="173"/>
    <n v="3.01249999999999"/>
    <s v="Cash"/>
  </r>
  <r>
    <n v="4078"/>
    <x v="1"/>
    <n v="146"/>
    <x v="343"/>
    <n v="3.4"/>
    <s v="Credit Card"/>
  </r>
  <r>
    <n v="4044"/>
    <x v="20"/>
    <n v="162"/>
    <x v="81"/>
    <n v="1.5"/>
    <s v="Credit Card"/>
  </r>
  <r>
    <n v="4030"/>
    <x v="14"/>
    <n v="179"/>
    <x v="166"/>
    <n v="3"/>
    <s v="Credit Card"/>
  </r>
  <r>
    <n v="4086"/>
    <x v="13"/>
    <n v="103.108695652173"/>
    <x v="221"/>
    <n v="3.9"/>
    <s v="Credit Card"/>
  </r>
  <r>
    <n v="4000"/>
    <x v="17"/>
    <n v="22"/>
    <x v="284"/>
    <n v="3.5"/>
    <s v="Credit Card"/>
  </r>
  <r>
    <n v="3978"/>
    <x v="16"/>
    <n v="116"/>
    <x v="37"/>
    <n v="3.06153846153846"/>
    <s v="Credit Card"/>
  </r>
  <r>
    <n v="4025"/>
    <x v="47"/>
    <n v="41"/>
    <x v="245"/>
    <n v="2.2999999999999998"/>
    <s v="Cash"/>
  </r>
  <r>
    <n v="4052"/>
    <x v="36"/>
    <n v="131"/>
    <x v="7"/>
    <n v="4.3"/>
    <s v="Credit Card"/>
  </r>
  <r>
    <n v="4063"/>
    <x v="33"/>
    <n v="62"/>
    <x v="212"/>
    <n v="4.4000000000000004"/>
    <s v="Credit Card"/>
  </r>
  <r>
    <n v="4049"/>
    <x v="23"/>
    <n v="171"/>
    <x v="71"/>
    <n v="2.8291666666666599"/>
    <s v="Credit Card"/>
  </r>
  <r>
    <n v="4118"/>
    <x v="46"/>
    <n v="107.26027397260199"/>
    <x v="95"/>
    <n v="4.9000000000000004"/>
    <s v="Credit Card"/>
  </r>
  <r>
    <n v="4019"/>
    <x v="29"/>
    <n v="35"/>
    <x v="152"/>
    <n v="2"/>
    <s v="Cash"/>
  </r>
  <r>
    <n v="3995"/>
    <x v="40"/>
    <n v="79"/>
    <x v="97"/>
    <n v="1.6"/>
    <s v="Credit Card"/>
  </r>
  <r>
    <n v="4092"/>
    <x v="46"/>
    <n v="189"/>
    <x v="294"/>
    <n v="2.6"/>
    <s v="Credit Card"/>
  </r>
  <r>
    <n v="4064"/>
    <x v="48"/>
    <n v="123.21818181818099"/>
    <x v="39"/>
    <n v="3"/>
    <s v="Cash"/>
  </r>
  <r>
    <n v="4015"/>
    <x v="36"/>
    <n v="36"/>
    <x v="30"/>
    <n v="1.3"/>
    <s v="Cash"/>
  </r>
  <r>
    <n v="3992"/>
    <x v="13"/>
    <n v="168"/>
    <x v="258"/>
    <n v="2.2000000000000002"/>
    <s v="Credit Card"/>
  </r>
  <r>
    <n v="4066"/>
    <x v="0"/>
    <n v="112.145454545454"/>
    <x v="84"/>
    <n v="3.0636363636363599"/>
    <s v="Cash"/>
  </r>
  <r>
    <n v="4062"/>
    <x v="45"/>
    <n v="106.297872340425"/>
    <x v="67"/>
    <n v="2.2999999999999998"/>
    <s v="Cash"/>
  </r>
  <r>
    <n v="4061"/>
    <x v="6"/>
    <n v="105.81034482758599"/>
    <x v="100"/>
    <n v="4.5"/>
    <s v="Credit Card"/>
  </r>
  <r>
    <n v="4074"/>
    <x v="42"/>
    <n v="106.72413793103399"/>
    <x v="353"/>
    <n v="3.4"/>
    <s v="Cash"/>
  </r>
  <r>
    <n v="4089"/>
    <x v="26"/>
    <n v="111.854838709677"/>
    <x v="234"/>
    <n v="2.5"/>
    <s v="Cash"/>
  </r>
  <r>
    <n v="4049"/>
    <x v="41"/>
    <n v="143"/>
    <x v="221"/>
    <n v="3.07213114754098"/>
    <s v="Cash"/>
  </r>
  <r>
    <n v="3964"/>
    <x v="16"/>
    <n v="101"/>
    <x v="237"/>
    <n v="2.2999999999999998"/>
    <s v="Cash"/>
  </r>
  <r>
    <n v="4070"/>
    <x v="34"/>
    <n v="85"/>
    <x v="95"/>
    <n v="1.7"/>
    <s v="Credit Card"/>
  </r>
  <r>
    <n v="3994"/>
    <x v="14"/>
    <n v="110.56666666666599"/>
    <x v="19"/>
    <n v="4.2"/>
    <s v="Credit Card"/>
  </r>
  <r>
    <n v="3959"/>
    <x v="9"/>
    <n v="63"/>
    <x v="264"/>
    <n v="2.1"/>
    <s v="Cash"/>
  </r>
  <r>
    <n v="4089"/>
    <x v="20"/>
    <n v="133"/>
    <x v="41"/>
    <n v="3.2"/>
    <s v="Credit Card"/>
  </r>
  <r>
    <n v="3974"/>
    <x v="44"/>
    <n v="10"/>
    <x v="30"/>
    <n v="4.4000000000000004"/>
    <s v="Cash"/>
  </r>
  <r>
    <n v="3978"/>
    <x v="37"/>
    <n v="108.54716981132"/>
    <x v="246"/>
    <n v="3.2"/>
    <s v="Credit Card"/>
  </r>
  <r>
    <n v="4043"/>
    <x v="13"/>
    <n v="103.108695652173"/>
    <x v="6"/>
    <n v="3.8"/>
    <s v="Cash"/>
  </r>
  <r>
    <n v="4037"/>
    <x v="21"/>
    <n v="107.68518518518501"/>
    <x v="326"/>
    <n v="3.2"/>
    <s v="Credit Card"/>
  </r>
  <r>
    <n v="4059"/>
    <x v="2"/>
    <n v="136"/>
    <x v="306"/>
    <n v="4.5999999999999996"/>
    <s v="Cash"/>
  </r>
  <r>
    <n v="3999"/>
    <x v="26"/>
    <n v="111.854838709677"/>
    <x v="189"/>
    <n v="1.2"/>
    <s v="Credit Card"/>
  </r>
  <r>
    <n v="4068"/>
    <x v="13"/>
    <n v="103.108695652173"/>
    <x v="135"/>
    <n v="2.7"/>
    <s v="Cash"/>
  </r>
  <r>
    <n v="3972"/>
    <x v="1"/>
    <n v="195"/>
    <x v="125"/>
    <n v="2.1"/>
    <s v="Cash"/>
  </r>
  <r>
    <n v="4057"/>
    <x v="26"/>
    <n v="75"/>
    <x v="78"/>
    <n v="3"/>
    <s v="Cash"/>
  </r>
  <r>
    <n v="3966"/>
    <x v="15"/>
    <n v="126"/>
    <x v="274"/>
    <n v="3.22399999999999"/>
    <s v="Credit Card"/>
  </r>
  <r>
    <n v="4121"/>
    <x v="30"/>
    <n v="85"/>
    <x v="66"/>
    <n v="3.4"/>
    <s v="Cash"/>
  </r>
  <r>
    <n v="3995"/>
    <x v="41"/>
    <n v="22"/>
    <x v="277"/>
    <n v="2.9"/>
    <s v="Credit Card"/>
  </r>
  <r>
    <n v="4104"/>
    <x v="12"/>
    <n v="102.377358490566"/>
    <x v="36"/>
    <n v="2.4"/>
    <s v="Credit Card"/>
  </r>
  <r>
    <n v="3971"/>
    <x v="6"/>
    <n v="105.81034482758599"/>
    <x v="76"/>
    <n v="2.1"/>
    <s v="Cash"/>
  </r>
  <r>
    <n v="4118"/>
    <x v="4"/>
    <n v="114.77966101694901"/>
    <x v="197"/>
    <n v="3.2"/>
    <s v="Credit Card"/>
  </r>
  <r>
    <n v="4090"/>
    <x v="10"/>
    <n v="183"/>
    <x v="357"/>
    <n v="1.3"/>
    <s v="Credit Card"/>
  </r>
  <r>
    <n v="4032"/>
    <x v="7"/>
    <n v="199"/>
    <x v="327"/>
    <n v="3.6"/>
    <s v="Cash"/>
  </r>
  <r>
    <n v="4064"/>
    <x v="38"/>
    <n v="106.80769230769199"/>
    <x v="64"/>
    <n v="4.5"/>
    <s v="Cash"/>
  </r>
  <r>
    <n v="4059"/>
    <x v="39"/>
    <n v="21"/>
    <x v="256"/>
    <n v="1.1000000000000001"/>
    <s v="Credit Card"/>
  </r>
  <r>
    <n v="4098"/>
    <x v="35"/>
    <n v="97.720588235294102"/>
    <x v="127"/>
    <n v="3.8"/>
    <s v="Cash"/>
  </r>
  <r>
    <n v="4034"/>
    <x v="2"/>
    <n v="100.679999999999"/>
    <x v="231"/>
    <n v="4.8"/>
    <s v="Cash"/>
  </r>
  <r>
    <n v="4037"/>
    <x v="33"/>
    <n v="94"/>
    <x v="243"/>
    <n v="3"/>
    <s v="Cash"/>
  </r>
  <r>
    <n v="4045"/>
    <x v="42"/>
    <n v="122"/>
    <x v="295"/>
    <n v="1"/>
    <s v="Cash"/>
  </r>
  <r>
    <n v="3959"/>
    <x v="29"/>
    <n v="78"/>
    <x v="44"/>
    <n v="2.1"/>
    <s v="Cash"/>
  </r>
  <r>
    <n v="4028"/>
    <x v="43"/>
    <n v="33"/>
    <x v="174"/>
    <n v="4.0999999999999996"/>
    <s v="Cash"/>
  </r>
  <r>
    <n v="4092"/>
    <x v="0"/>
    <n v="97"/>
    <x v="30"/>
    <n v="3.2"/>
    <s v="Credit Card"/>
  </r>
  <r>
    <n v="4113"/>
    <x v="42"/>
    <n v="106.72413793103399"/>
    <x v="335"/>
    <n v="2.92063492063492"/>
    <s v="Cash"/>
  </r>
  <r>
    <n v="3994"/>
    <x v="19"/>
    <n v="126"/>
    <x v="256"/>
    <n v="3.7"/>
    <s v="Credit Card"/>
  </r>
  <r>
    <n v="4060"/>
    <x v="39"/>
    <n v="108"/>
    <x v="112"/>
    <n v="3.1"/>
    <s v="Cash"/>
  </r>
  <r>
    <n v="4071"/>
    <x v="35"/>
    <n v="132"/>
    <x v="354"/>
    <n v="2.6"/>
    <s v="Credit Card"/>
  </r>
  <r>
    <n v="4121"/>
    <x v="8"/>
    <n v="176"/>
    <x v="246"/>
    <n v="4.5999999999999996"/>
    <s v="Cash"/>
  </r>
  <r>
    <n v="4009"/>
    <x v="25"/>
    <n v="52"/>
    <x v="212"/>
    <n v="2"/>
    <s v="Cash"/>
  </r>
  <r>
    <n v="4096"/>
    <x v="23"/>
    <n v="112.745762711864"/>
    <x v="7"/>
    <n v="1.5"/>
    <s v="Cash"/>
  </r>
  <r>
    <n v="4116"/>
    <x v="3"/>
    <n v="25"/>
    <x v="183"/>
    <n v="3.6"/>
    <s v="Credit Card"/>
  </r>
  <r>
    <n v="4115"/>
    <x v="24"/>
    <n v="50"/>
    <x v="239"/>
    <n v="4.9000000000000004"/>
    <s v="Cash"/>
  </r>
  <r>
    <n v="4070"/>
    <x v="42"/>
    <n v="106.72413793103399"/>
    <x v="247"/>
    <n v="1.8"/>
    <s v="Credit Card"/>
  </r>
  <r>
    <n v="4045"/>
    <x v="10"/>
    <n v="133"/>
    <x v="62"/>
    <n v="1.5"/>
    <s v="Cash"/>
  </r>
  <r>
    <n v="4060"/>
    <x v="12"/>
    <n v="183"/>
    <x v="30"/>
    <n v="3.6"/>
    <s v="Cash"/>
  </r>
  <r>
    <n v="4007"/>
    <x v="38"/>
    <n v="166"/>
    <x v="44"/>
    <n v="3.7"/>
    <s v="Cash"/>
  </r>
  <r>
    <n v="4034"/>
    <x v="35"/>
    <n v="101"/>
    <x v="140"/>
    <n v="1.2"/>
    <s v="Credit Card"/>
  </r>
  <r>
    <n v="3978"/>
    <x v="16"/>
    <n v="185"/>
    <x v="346"/>
    <n v="4"/>
    <s v="Cash"/>
  </r>
  <r>
    <n v="3966"/>
    <x v="49"/>
    <n v="196"/>
    <x v="100"/>
    <n v="3.7"/>
    <s v="Cash"/>
  </r>
  <r>
    <n v="4094"/>
    <x v="45"/>
    <n v="43"/>
    <x v="232"/>
    <n v="1.9"/>
    <s v="Credit Card"/>
  </r>
  <r>
    <n v="4042"/>
    <x v="8"/>
    <n v="134"/>
    <x v="262"/>
    <n v="3.3"/>
    <s v="Credit Card"/>
  </r>
  <r>
    <n v="4056"/>
    <x v="34"/>
    <n v="90.925925925925895"/>
    <x v="116"/>
    <n v="3.9"/>
    <s v="Cash"/>
  </r>
  <r>
    <n v="3989"/>
    <x v="46"/>
    <n v="21"/>
    <x v="119"/>
    <n v="1.1000000000000001"/>
    <s v="Credit Card"/>
  </r>
  <r>
    <n v="4090"/>
    <x v="25"/>
    <n v="103.98245614035"/>
    <x v="184"/>
    <n v="1.8"/>
    <s v="Cash"/>
  </r>
  <r>
    <n v="4095"/>
    <x v="39"/>
    <n v="13"/>
    <x v="300"/>
    <n v="3.9"/>
    <s v="Credit Card"/>
  </r>
  <r>
    <n v="4029"/>
    <x v="42"/>
    <n v="183"/>
    <x v="69"/>
    <n v="4.5"/>
    <s v="Credit Card"/>
  </r>
  <r>
    <n v="4011"/>
    <x v="11"/>
    <n v="200"/>
    <x v="16"/>
    <n v="2.6"/>
    <s v="Credit Card"/>
  </r>
  <r>
    <n v="3980"/>
    <x v="25"/>
    <n v="154"/>
    <x v="0"/>
    <n v="3.7"/>
    <s v="Credit Card"/>
  </r>
  <r>
    <n v="4087"/>
    <x v="44"/>
    <n v="181"/>
    <x v="54"/>
    <n v="1.8"/>
    <s v="Credit Card"/>
  </r>
  <r>
    <n v="4098"/>
    <x v="33"/>
    <n v="142"/>
    <x v="59"/>
    <n v="1.8"/>
    <s v="Cash"/>
  </r>
  <r>
    <n v="4036"/>
    <x v="38"/>
    <n v="189"/>
    <x v="354"/>
    <n v="4.5"/>
    <s v="Credit Card"/>
  </r>
  <r>
    <n v="4090"/>
    <x v="10"/>
    <n v="120"/>
    <x v="97"/>
    <n v="3.6"/>
    <s v="Credit Card"/>
  </r>
  <r>
    <n v="4044"/>
    <x v="17"/>
    <n v="73"/>
    <x v="180"/>
    <n v="4.8"/>
    <s v="Credit Card"/>
  </r>
  <r>
    <n v="4119"/>
    <x v="31"/>
    <n v="179"/>
    <x v="224"/>
    <n v="2"/>
    <s v="Credit Card"/>
  </r>
  <r>
    <n v="3997"/>
    <x v="31"/>
    <n v="108"/>
    <x v="291"/>
    <n v="1.6"/>
    <s v="Credit Card"/>
  </r>
  <r>
    <n v="3962"/>
    <x v="15"/>
    <n v="119.195652173913"/>
    <x v="162"/>
    <n v="4.3"/>
    <s v="Cash"/>
  </r>
  <r>
    <n v="3964"/>
    <x v="35"/>
    <n v="166"/>
    <x v="58"/>
    <n v="3.1"/>
    <s v="Credit Card"/>
  </r>
  <r>
    <n v="4095"/>
    <x v="26"/>
    <n v="111.854838709677"/>
    <x v="325"/>
    <n v="1.4"/>
    <s v="Cash"/>
  </r>
  <r>
    <n v="4108"/>
    <x v="25"/>
    <n v="50"/>
    <x v="225"/>
    <n v="2.1"/>
    <s v="Credit Card"/>
  </r>
  <r>
    <n v="4023"/>
    <x v="47"/>
    <n v="130"/>
    <x v="3"/>
    <n v="4.0999999999999996"/>
    <s v="Credit Card"/>
  </r>
  <r>
    <n v="4018"/>
    <x v="32"/>
    <n v="52"/>
    <x v="139"/>
    <n v="4.0999999999999996"/>
    <s v="Cash"/>
  </r>
  <r>
    <n v="4034"/>
    <x v="30"/>
    <n v="84.528571428571396"/>
    <x v="143"/>
    <n v="3.0542857142857098"/>
    <s v="Credit Card"/>
  </r>
  <r>
    <n v="4065"/>
    <x v="15"/>
    <n v="71"/>
    <x v="303"/>
    <n v="2.2000000000000002"/>
    <s v="Cash"/>
  </r>
  <r>
    <n v="4086"/>
    <x v="43"/>
    <n v="81"/>
    <x v="27"/>
    <n v="1.8"/>
    <s v="Cash"/>
  </r>
  <r>
    <n v="3985"/>
    <x v="45"/>
    <n v="106.297872340425"/>
    <x v="131"/>
    <n v="4.4000000000000004"/>
    <s v="Credit Card"/>
  </r>
  <r>
    <n v="3972"/>
    <x v="18"/>
    <n v="174"/>
    <x v="52"/>
    <n v="2.1"/>
    <s v="Credit Card"/>
  </r>
  <r>
    <n v="4052"/>
    <x v="31"/>
    <n v="70"/>
    <x v="187"/>
    <n v="2.8"/>
    <s v="Cash"/>
  </r>
  <r>
    <n v="4023"/>
    <x v="39"/>
    <n v="93.135593220338905"/>
    <x v="141"/>
    <n v="4.0999999999999996"/>
    <s v="Cash"/>
  </r>
  <r>
    <n v="4117"/>
    <x v="23"/>
    <n v="156"/>
    <x v="75"/>
    <n v="2.5"/>
    <s v="Credit Card"/>
  </r>
  <r>
    <n v="4086"/>
    <x v="15"/>
    <n v="137"/>
    <x v="327"/>
    <n v="3.2"/>
    <s v="Cash"/>
  </r>
  <r>
    <n v="4047"/>
    <x v="6"/>
    <n v="40"/>
    <x v="210"/>
    <n v="1.6"/>
    <s v="Credit Card"/>
  </r>
  <r>
    <n v="3988"/>
    <x v="3"/>
    <n v="200"/>
    <x v="166"/>
    <n v="2.5"/>
    <s v="Cash"/>
  </r>
  <r>
    <n v="3969"/>
    <x v="8"/>
    <n v="36"/>
    <x v="272"/>
    <n v="1.4"/>
    <s v="Credit Card"/>
  </r>
  <r>
    <n v="3988"/>
    <x v="36"/>
    <n v="19"/>
    <x v="169"/>
    <n v="3.1"/>
    <s v="Credit Card"/>
  </r>
  <r>
    <n v="4071"/>
    <x v="25"/>
    <n v="10"/>
    <x v="76"/>
    <n v="2.6"/>
    <s v="Cash"/>
  </r>
  <r>
    <n v="4033"/>
    <x v="25"/>
    <n v="164"/>
    <x v="87"/>
    <n v="3.2016129032257998"/>
    <s v="Cash"/>
  </r>
  <r>
    <n v="4103"/>
    <x v="47"/>
    <n v="173"/>
    <x v="98"/>
    <n v="1.4"/>
    <s v="Cash"/>
  </r>
  <r>
    <n v="3958"/>
    <x v="48"/>
    <n v="140"/>
    <x v="332"/>
    <n v="2"/>
    <s v="Cash"/>
  </r>
  <r>
    <n v="4073"/>
    <x v="24"/>
    <n v="177"/>
    <x v="331"/>
    <n v="4.8"/>
    <s v="Credit Card"/>
  </r>
  <r>
    <n v="4043"/>
    <x v="2"/>
    <n v="97"/>
    <x v="108"/>
    <n v="4.4000000000000004"/>
    <s v="Cash"/>
  </r>
  <r>
    <n v="4017"/>
    <x v="0"/>
    <n v="23"/>
    <x v="312"/>
    <n v="4.7"/>
    <s v="Credit Card"/>
  </r>
  <r>
    <n v="4105"/>
    <x v="16"/>
    <n v="126"/>
    <x v="287"/>
    <n v="3.5"/>
    <s v="Cash"/>
  </r>
  <r>
    <n v="4101"/>
    <x v="37"/>
    <n v="168"/>
    <x v="214"/>
    <n v="1"/>
    <s v="Credit Card"/>
  </r>
  <r>
    <n v="4117"/>
    <x v="29"/>
    <n v="193"/>
    <x v="112"/>
    <n v="2.2999999999999998"/>
    <s v="Credit Card"/>
  </r>
  <r>
    <n v="4093"/>
    <x v="18"/>
    <n v="193"/>
    <x v="308"/>
    <n v="3.2"/>
    <s v="Credit Card"/>
  </r>
  <r>
    <n v="4109"/>
    <x v="2"/>
    <n v="34"/>
    <x v="242"/>
    <n v="1"/>
    <s v="Cash"/>
  </r>
  <r>
    <n v="4016"/>
    <x v="3"/>
    <n v="66"/>
    <x v="148"/>
    <n v="1.4"/>
    <s v="Cash"/>
  </r>
  <r>
    <n v="4046"/>
    <x v="47"/>
    <n v="114.217391304347"/>
    <x v="277"/>
    <n v="4.0999999999999996"/>
    <s v="Cash"/>
  </r>
  <r>
    <n v="4033"/>
    <x v="23"/>
    <n v="172"/>
    <x v="175"/>
    <n v="4.2"/>
    <s v="Credit Card"/>
  </r>
  <r>
    <n v="4029"/>
    <x v="47"/>
    <n v="84"/>
    <x v="77"/>
    <n v="3.5"/>
    <s v="Cash"/>
  </r>
  <r>
    <n v="4103"/>
    <x v="44"/>
    <n v="105"/>
    <x v="314"/>
    <n v="4.8"/>
    <s v="Cash"/>
  </r>
  <r>
    <n v="3992"/>
    <x v="20"/>
    <n v="21"/>
    <x v="91"/>
    <n v="2.4"/>
    <s v="Cash"/>
  </r>
  <r>
    <n v="4053"/>
    <x v="19"/>
    <n v="136"/>
    <x v="4"/>
    <n v="3.5"/>
    <s v="Cash"/>
  </r>
  <r>
    <n v="4090"/>
    <x v="9"/>
    <n v="109.08474576271099"/>
    <x v="343"/>
    <n v="2.2999999999999998"/>
    <s v="Credit Card"/>
  </r>
  <r>
    <n v="4020"/>
    <x v="31"/>
    <n v="194"/>
    <x v="120"/>
    <n v="2.4"/>
    <s v="Cash"/>
  </r>
  <r>
    <n v="3983"/>
    <x v="30"/>
    <n v="75"/>
    <x v="159"/>
    <n v="3.1"/>
    <s v="Cash"/>
  </r>
  <r>
    <n v="4040"/>
    <x v="25"/>
    <n v="58"/>
    <x v="277"/>
    <n v="2.7"/>
    <s v="Cash"/>
  </r>
  <r>
    <n v="4089"/>
    <x v="15"/>
    <n v="119.195652173913"/>
    <x v="331"/>
    <n v="3.8"/>
    <s v="Credit Card"/>
  </r>
  <r>
    <n v="4106"/>
    <x v="25"/>
    <n v="65"/>
    <x v="262"/>
    <n v="4.5999999999999996"/>
    <s v="Cash"/>
  </r>
  <r>
    <n v="4006"/>
    <x v="32"/>
    <n v="58"/>
    <x v="320"/>
    <n v="4.5"/>
    <s v="Credit Card"/>
  </r>
  <r>
    <n v="4049"/>
    <x v="49"/>
    <n v="37"/>
    <x v="364"/>
    <n v="2.6"/>
    <s v="Cash"/>
  </r>
  <r>
    <n v="4073"/>
    <x v="46"/>
    <n v="21"/>
    <x v="149"/>
    <n v="1.3"/>
    <s v="Credit Card"/>
  </r>
  <r>
    <n v="3982"/>
    <x v="36"/>
    <n v="182"/>
    <x v="192"/>
    <n v="4.9000000000000004"/>
    <s v="Credit Card"/>
  </r>
  <r>
    <n v="3994"/>
    <x v="4"/>
    <n v="125"/>
    <x v="362"/>
    <n v="1.5"/>
    <s v="Cash"/>
  </r>
  <r>
    <n v="4065"/>
    <x v="46"/>
    <n v="160"/>
    <x v="85"/>
    <n v="1.9"/>
    <s v="Credit Card"/>
  </r>
  <r>
    <n v="4062"/>
    <x v="49"/>
    <n v="44"/>
    <x v="227"/>
    <n v="3.19629629629629"/>
    <s v="Cash"/>
  </r>
  <r>
    <n v="3977"/>
    <x v="30"/>
    <n v="11"/>
    <x v="45"/>
    <n v="4.7"/>
    <s v="Cash"/>
  </r>
  <r>
    <n v="3980"/>
    <x v="14"/>
    <n v="22"/>
    <x v="241"/>
    <n v="5"/>
    <s v="Cash"/>
  </r>
  <r>
    <n v="3972"/>
    <x v="44"/>
    <n v="120"/>
    <x v="237"/>
    <n v="4.5999999999999996"/>
    <s v="Cash"/>
  </r>
  <r>
    <n v="4065"/>
    <x v="24"/>
    <n v="133"/>
    <x v="363"/>
    <n v="1.4"/>
    <s v="Cash"/>
  </r>
  <r>
    <n v="3990"/>
    <x v="31"/>
    <n v="55"/>
    <x v="312"/>
    <n v="3.4"/>
    <s v="Credit Card"/>
  </r>
  <r>
    <n v="4078"/>
    <x v="27"/>
    <n v="54"/>
    <x v="350"/>
    <n v="2.69137931034482"/>
    <s v="Credit Card"/>
  </r>
  <r>
    <n v="4011"/>
    <x v="28"/>
    <n v="42"/>
    <x v="164"/>
    <n v="3.4"/>
    <s v="Credit Card"/>
  </r>
  <r>
    <n v="4071"/>
    <x v="41"/>
    <n v="117.354166666666"/>
    <x v="189"/>
    <n v="4.8"/>
    <s v="Credit Card"/>
  </r>
  <r>
    <n v="3976"/>
    <x v="17"/>
    <n v="165"/>
    <x v="223"/>
    <n v="2.9"/>
    <s v="Credit Card"/>
  </r>
  <r>
    <n v="4051"/>
    <x v="42"/>
    <n v="139"/>
    <x v="267"/>
    <n v="1.7"/>
    <s v="Cash"/>
  </r>
  <r>
    <n v="4091"/>
    <x v="49"/>
    <n v="117"/>
    <x v="200"/>
    <n v="3.9"/>
    <s v="Cash"/>
  </r>
  <r>
    <n v="4060"/>
    <x v="28"/>
    <n v="187"/>
    <x v="203"/>
    <n v="3"/>
    <s v="Credit Card"/>
  </r>
  <r>
    <n v="4107"/>
    <x v="15"/>
    <n v="80"/>
    <x v="50"/>
    <n v="4.2"/>
    <s v="Credit Card"/>
  </r>
  <r>
    <n v="4100"/>
    <x v="13"/>
    <n v="97"/>
    <x v="294"/>
    <n v="1.4"/>
    <s v="Credit Card"/>
  </r>
  <r>
    <n v="4089"/>
    <x v="27"/>
    <n v="125"/>
    <x v="294"/>
    <n v="1.9"/>
    <s v="Cash"/>
  </r>
  <r>
    <n v="4058"/>
    <x v="28"/>
    <n v="45"/>
    <x v="78"/>
    <n v="1"/>
    <s v="Credit Card"/>
  </r>
  <r>
    <n v="4024"/>
    <x v="25"/>
    <n v="189"/>
    <x v="8"/>
    <n v="4.7"/>
    <s v="Credit Card"/>
  </r>
  <r>
    <n v="4106"/>
    <x v="27"/>
    <n v="141"/>
    <x v="134"/>
    <n v="3.2"/>
    <s v="Credit Card"/>
  </r>
  <r>
    <n v="4084"/>
    <x v="17"/>
    <n v="189"/>
    <x v="328"/>
    <n v="4"/>
    <s v="Cash"/>
  </r>
  <r>
    <n v="4119"/>
    <x v="21"/>
    <n v="90"/>
    <x v="339"/>
    <n v="3.3"/>
    <s v="Cash"/>
  </r>
  <r>
    <n v="4065"/>
    <x v="13"/>
    <n v="151"/>
    <x v="202"/>
    <n v="1.8"/>
    <s v="Cash"/>
  </r>
  <r>
    <n v="4069"/>
    <x v="23"/>
    <n v="61"/>
    <x v="235"/>
    <n v="1.9"/>
    <s v="Credit Card"/>
  </r>
  <r>
    <n v="4082"/>
    <x v="10"/>
    <n v="192"/>
    <x v="165"/>
    <n v="2.7471698113207501"/>
    <s v="Cash"/>
  </r>
  <r>
    <n v="4063"/>
    <x v="25"/>
    <n v="98"/>
    <x v="72"/>
    <n v="4.3"/>
    <s v="Cash"/>
  </r>
  <r>
    <n v="3998"/>
    <x v="5"/>
    <n v="43"/>
    <x v="210"/>
    <n v="2.2000000000000002"/>
    <s v="Cash"/>
  </r>
  <r>
    <n v="3993"/>
    <x v="38"/>
    <n v="176"/>
    <x v="67"/>
    <n v="3.15"/>
    <s v="Cash"/>
  </r>
  <r>
    <n v="4086"/>
    <x v="24"/>
    <n v="55"/>
    <x v="124"/>
    <n v="3.5"/>
    <s v="Cash"/>
  </r>
  <r>
    <n v="3989"/>
    <x v="37"/>
    <n v="187"/>
    <x v="4"/>
    <n v="3.0546875"/>
    <s v="Cash"/>
  </r>
  <r>
    <n v="4081"/>
    <x v="26"/>
    <n v="191"/>
    <x v="227"/>
    <n v="3.9"/>
    <s v="Cash"/>
  </r>
  <r>
    <n v="4074"/>
    <x v="24"/>
    <n v="103.267857142857"/>
    <x v="70"/>
    <n v="4"/>
    <s v="Credit Card"/>
  </r>
  <r>
    <n v="3990"/>
    <x v="20"/>
    <n v="132"/>
    <x v="292"/>
    <n v="4.3"/>
    <s v="Cash"/>
  </r>
  <r>
    <n v="4088"/>
    <x v="39"/>
    <n v="180"/>
    <x v="13"/>
    <n v="3.8"/>
    <s v="Cash"/>
  </r>
  <r>
    <n v="4092"/>
    <x v="25"/>
    <n v="182"/>
    <x v="82"/>
    <n v="1.6"/>
    <s v="Cash"/>
  </r>
  <r>
    <n v="3987"/>
    <x v="4"/>
    <n v="146"/>
    <x v="232"/>
    <n v="1.7"/>
    <s v="Cash"/>
  </r>
  <r>
    <n v="4011"/>
    <x v="1"/>
    <n v="118"/>
    <x v="63"/>
    <n v="3.0185185185185102"/>
    <s v="Credit Card"/>
  </r>
  <r>
    <n v="4073"/>
    <x v="46"/>
    <n v="143"/>
    <x v="235"/>
    <n v="4.4000000000000004"/>
    <s v="Credit Card"/>
  </r>
  <r>
    <n v="4078"/>
    <x v="7"/>
    <n v="103.564102564102"/>
    <x v="92"/>
    <n v="1.3"/>
    <s v="Credit Card"/>
  </r>
  <r>
    <n v="3965"/>
    <x v="48"/>
    <n v="23"/>
    <x v="255"/>
    <n v="1.3"/>
    <s v="Credit Card"/>
  </r>
  <r>
    <n v="3997"/>
    <x v="40"/>
    <n v="61"/>
    <x v="109"/>
    <n v="2.7"/>
    <s v="Credit Card"/>
  </r>
  <r>
    <n v="4100"/>
    <x v="43"/>
    <n v="51"/>
    <x v="229"/>
    <n v="1.7"/>
    <s v="Credit Card"/>
  </r>
  <r>
    <n v="4051"/>
    <x v="4"/>
    <n v="184"/>
    <x v="222"/>
    <n v="3.9"/>
    <s v="Cash"/>
  </r>
  <r>
    <n v="3987"/>
    <x v="18"/>
    <n v="25"/>
    <x v="34"/>
    <n v="3.1"/>
    <s v="Cash"/>
  </r>
  <r>
    <n v="4111"/>
    <x v="26"/>
    <n v="85"/>
    <x v="218"/>
    <n v="3.4"/>
    <s v="Credit Card"/>
  </r>
  <r>
    <n v="4061"/>
    <x v="38"/>
    <n v="148"/>
    <x v="59"/>
    <n v="3.3"/>
    <s v="Credit Card"/>
  </r>
  <r>
    <n v="3985"/>
    <x v="12"/>
    <n v="102.377358490566"/>
    <x v="270"/>
    <n v="2.8"/>
    <s v="Cash"/>
  </r>
  <r>
    <n v="3987"/>
    <x v="6"/>
    <n v="36"/>
    <x v="147"/>
    <n v="3.4"/>
    <s v="Credit Card"/>
  </r>
  <r>
    <n v="4051"/>
    <x v="44"/>
    <n v="182"/>
    <x v="308"/>
    <n v="1.9"/>
    <s v="Cash"/>
  </r>
  <r>
    <n v="4103"/>
    <x v="46"/>
    <n v="67"/>
    <x v="310"/>
    <n v="1.7"/>
    <s v="Credit Card"/>
  </r>
  <r>
    <n v="4031"/>
    <x v="29"/>
    <n v="153"/>
    <x v="279"/>
    <n v="2.8"/>
    <s v="Cash"/>
  </r>
  <r>
    <n v="3967"/>
    <x v="4"/>
    <n v="140"/>
    <x v="100"/>
    <n v="3.4"/>
    <s v="Credit Card"/>
  </r>
  <r>
    <n v="4090"/>
    <x v="15"/>
    <n v="188"/>
    <x v="283"/>
    <n v="4.2"/>
    <s v="Cash"/>
  </r>
  <r>
    <n v="3996"/>
    <x v="18"/>
    <n v="180"/>
    <x v="210"/>
    <n v="1.8"/>
    <s v="Cash"/>
  </r>
  <r>
    <n v="3987"/>
    <x v="15"/>
    <n v="119.195652173913"/>
    <x v="348"/>
    <n v="4.0999999999999996"/>
    <s v="Cash"/>
  </r>
  <r>
    <n v="4052"/>
    <x v="12"/>
    <n v="116"/>
    <x v="248"/>
    <n v="1.4"/>
    <s v="Cash"/>
  </r>
  <r>
    <n v="4035"/>
    <x v="34"/>
    <n v="185"/>
    <x v="166"/>
    <n v="4.2"/>
    <s v="Credit Card"/>
  </r>
  <r>
    <n v="4052"/>
    <x v="11"/>
    <n v="151"/>
    <x v="251"/>
    <n v="1.2"/>
    <s v="Cash"/>
  </r>
  <r>
    <n v="4034"/>
    <x v="30"/>
    <n v="84.528571428571396"/>
    <x v="170"/>
    <n v="3.1"/>
    <s v="Credit Card"/>
  </r>
  <r>
    <n v="4032"/>
    <x v="17"/>
    <n v="61"/>
    <x v="285"/>
    <n v="3.2"/>
    <s v="Cash"/>
  </r>
  <r>
    <n v="4081"/>
    <x v="41"/>
    <n v="123"/>
    <x v="307"/>
    <n v="3.6"/>
    <s v="Cash"/>
  </r>
  <r>
    <n v="3964"/>
    <x v="46"/>
    <n v="172"/>
    <x v="226"/>
    <n v="4.3"/>
    <s v="Credit Card"/>
  </r>
  <r>
    <n v="3993"/>
    <x v="17"/>
    <n v="175"/>
    <x v="100"/>
    <n v="3.2083333333333299"/>
    <s v="Cash"/>
  </r>
  <r>
    <n v="3993"/>
    <x v="15"/>
    <n v="160"/>
    <x v="360"/>
    <n v="4.5"/>
    <s v="Credit Card"/>
  </r>
  <r>
    <n v="4107"/>
    <x v="10"/>
    <n v="164"/>
    <x v="339"/>
    <n v="2"/>
    <s v="Credit Card"/>
  </r>
  <r>
    <n v="4064"/>
    <x v="8"/>
    <n v="120.375"/>
    <x v="217"/>
    <n v="2.91904761904761"/>
    <s v="Credit Card"/>
  </r>
  <r>
    <n v="3969"/>
    <x v="16"/>
    <n v="59"/>
    <x v="57"/>
    <n v="3.2"/>
    <s v="Credit Card"/>
  </r>
  <r>
    <n v="4035"/>
    <x v="31"/>
    <n v="55"/>
    <x v="216"/>
    <n v="2.96470588235294"/>
    <s v="Credit Card"/>
  </r>
  <r>
    <n v="4029"/>
    <x v="3"/>
    <n v="29"/>
    <x v="319"/>
    <n v="1.3"/>
    <s v="Credit Card"/>
  </r>
  <r>
    <n v="4012"/>
    <x v="22"/>
    <n v="95.292307692307602"/>
    <x v="75"/>
    <n v="1.4"/>
    <s v="Cash"/>
  </r>
  <r>
    <n v="4003"/>
    <x v="8"/>
    <n v="120.375"/>
    <x v="145"/>
    <n v="3.2"/>
    <s v="Cash"/>
  </r>
  <r>
    <n v="4082"/>
    <x v="9"/>
    <n v="106"/>
    <x v="159"/>
    <n v="1.2"/>
    <s v="Credit Card"/>
  </r>
  <r>
    <n v="3957"/>
    <x v="9"/>
    <n v="109.08474576271099"/>
    <x v="227"/>
    <n v="4.4000000000000004"/>
    <s v="Credit Card"/>
  </r>
  <r>
    <n v="3988"/>
    <x v="40"/>
    <n v="77"/>
    <x v="79"/>
    <n v="4.2"/>
    <s v="Credit Card"/>
  </r>
  <r>
    <n v="4097"/>
    <x v="29"/>
    <n v="88.827586206896498"/>
    <x v="119"/>
    <n v="1.4"/>
    <s v="Cash"/>
  </r>
  <r>
    <n v="4046"/>
    <x v="31"/>
    <n v="75"/>
    <x v="161"/>
    <n v="2.8"/>
    <s v="Credit Card"/>
  </r>
  <r>
    <n v="3974"/>
    <x v="48"/>
    <n v="123.21818181818099"/>
    <x v="174"/>
    <n v="3.5"/>
    <s v="Cash"/>
  </r>
  <r>
    <n v="3968"/>
    <x v="45"/>
    <n v="49"/>
    <x v="237"/>
    <n v="3.1235294117647001"/>
    <s v="Cash"/>
  </r>
  <r>
    <n v="4063"/>
    <x v="33"/>
    <n v="97.071428571428498"/>
    <x v="36"/>
    <n v="2.8"/>
    <s v="Credit Card"/>
  </r>
  <r>
    <n v="4080"/>
    <x v="0"/>
    <n v="162"/>
    <x v="243"/>
    <n v="5"/>
    <s v="Credit Card"/>
  </r>
  <r>
    <n v="4103"/>
    <x v="14"/>
    <n v="110.56666666666599"/>
    <x v="274"/>
    <n v="1.1000000000000001"/>
    <s v="Credit Card"/>
  </r>
  <r>
    <n v="4036"/>
    <x v="36"/>
    <n v="167"/>
    <x v="269"/>
    <n v="3.0230769230769199"/>
    <s v="Credit Card"/>
  </r>
  <r>
    <n v="4101"/>
    <x v="6"/>
    <n v="87"/>
    <x v="302"/>
    <n v="2.9230769230769198"/>
    <s v="Cash"/>
  </r>
  <r>
    <n v="4072"/>
    <x v="28"/>
    <n v="156"/>
    <x v="219"/>
    <n v="1.1000000000000001"/>
    <s v="Cash"/>
  </r>
  <r>
    <n v="4043"/>
    <x v="35"/>
    <n v="28"/>
    <x v="289"/>
    <n v="1.1000000000000001"/>
    <s v="Credit Card"/>
  </r>
  <r>
    <n v="4053"/>
    <x v="34"/>
    <n v="91"/>
    <x v="48"/>
    <n v="4"/>
    <s v="Cash"/>
  </r>
  <r>
    <n v="4078"/>
    <x v="42"/>
    <n v="57"/>
    <x v="15"/>
    <n v="3.3"/>
    <s v="Cash"/>
  </r>
  <r>
    <n v="4112"/>
    <x v="29"/>
    <n v="139"/>
    <x v="113"/>
    <n v="2.6590163934426201"/>
    <s v="Credit Card"/>
  </r>
  <r>
    <n v="3990"/>
    <x v="44"/>
    <n v="118.531914893617"/>
    <x v="169"/>
    <n v="4.8"/>
    <s v="Cash"/>
  </r>
  <r>
    <n v="3992"/>
    <x v="24"/>
    <n v="113"/>
    <x v="311"/>
    <n v="2.88305084745762"/>
    <s v="Cash"/>
  </r>
  <r>
    <n v="4086"/>
    <x v="29"/>
    <n v="88.827586206896498"/>
    <x v="205"/>
    <n v="3.2"/>
    <s v="Credit Card"/>
  </r>
  <r>
    <n v="4119"/>
    <x v="21"/>
    <n v="64"/>
    <x v="55"/>
    <n v="4.0999999999999996"/>
    <s v="Credit Card"/>
  </r>
  <r>
    <n v="4074"/>
    <x v="45"/>
    <n v="94"/>
    <x v="163"/>
    <n v="3.4"/>
    <s v="Cash"/>
  </r>
  <r>
    <n v="4072"/>
    <x v="9"/>
    <n v="65"/>
    <x v="273"/>
    <n v="5"/>
    <s v="Credit Card"/>
  </r>
  <r>
    <n v="4071"/>
    <x v="42"/>
    <n v="168"/>
    <x v="114"/>
    <n v="3.7"/>
    <s v="Cash"/>
  </r>
  <r>
    <n v="3995"/>
    <x v="49"/>
    <n v="153"/>
    <x v="280"/>
    <n v="3"/>
    <s v="Credit Card"/>
  </r>
  <r>
    <n v="4040"/>
    <x v="32"/>
    <n v="176"/>
    <x v="213"/>
    <n v="2.2000000000000002"/>
    <s v="Cash"/>
  </r>
  <r>
    <n v="3979"/>
    <x v="47"/>
    <n v="114.217391304347"/>
    <x v="122"/>
    <n v="3.2"/>
    <s v="Credit Card"/>
  </r>
  <r>
    <n v="4116"/>
    <x v="32"/>
    <n v="124"/>
    <x v="70"/>
    <n v="3.7"/>
    <s v="Cash"/>
  </r>
  <r>
    <n v="4116"/>
    <x v="37"/>
    <n v="174"/>
    <x v="153"/>
    <n v="2.1"/>
    <s v="Credit Card"/>
  </r>
  <r>
    <n v="4061"/>
    <x v="38"/>
    <n v="169"/>
    <x v="86"/>
    <n v="4.0999999999999996"/>
    <s v="Credit Card"/>
  </r>
  <r>
    <n v="4056"/>
    <x v="17"/>
    <n v="20"/>
    <x v="78"/>
    <n v="4.3"/>
    <s v="Cash"/>
  </r>
  <r>
    <n v="4016"/>
    <x v="3"/>
    <n v="92"/>
    <x v="122"/>
    <n v="3.5"/>
    <s v="Credit Card"/>
  </r>
  <r>
    <n v="4058"/>
    <x v="28"/>
    <n v="39"/>
    <x v="197"/>
    <n v="2.9636363636363598"/>
    <s v="Credit Card"/>
  </r>
  <r>
    <n v="4043"/>
    <x v="35"/>
    <n v="148"/>
    <x v="271"/>
    <n v="1.2"/>
    <s v="Credit Card"/>
  </r>
  <r>
    <n v="4095"/>
    <x v="5"/>
    <n v="16"/>
    <x v="88"/>
    <n v="1.1000000000000001"/>
    <s v="Credit Card"/>
  </r>
  <r>
    <n v="3968"/>
    <x v="35"/>
    <n v="105"/>
    <x v="280"/>
    <n v="1"/>
    <s v="Credit Card"/>
  </r>
  <r>
    <n v="4070"/>
    <x v="4"/>
    <n v="140"/>
    <x v="291"/>
    <n v="2"/>
    <s v="Credit Card"/>
  </r>
  <r>
    <n v="4028"/>
    <x v="6"/>
    <n v="21"/>
    <x v="234"/>
    <n v="2.4"/>
    <s v="Credit Card"/>
  </r>
  <r>
    <n v="4122"/>
    <x v="9"/>
    <n v="176"/>
    <x v="283"/>
    <n v="3.1"/>
    <s v="Credit Card"/>
  </r>
  <r>
    <n v="3979"/>
    <x v="10"/>
    <n v="103.354166666666"/>
    <x v="187"/>
    <n v="2.6"/>
    <s v="Cash"/>
  </r>
  <r>
    <n v="3999"/>
    <x v="43"/>
    <n v="34"/>
    <x v="253"/>
    <n v="1.9"/>
    <s v="Cash"/>
  </r>
  <r>
    <n v="3963"/>
    <x v="49"/>
    <n v="105.1"/>
    <x v="121"/>
    <n v="2.1"/>
    <s v="Credit Card"/>
  </r>
  <r>
    <n v="4103"/>
    <x v="4"/>
    <n v="147"/>
    <x v="107"/>
    <n v="2.2999999999999998"/>
    <s v="Cash"/>
  </r>
  <r>
    <n v="4118"/>
    <x v="23"/>
    <n v="170"/>
    <x v="253"/>
    <n v="2.5"/>
    <s v="Cash"/>
  </r>
  <r>
    <n v="4036"/>
    <x v="35"/>
    <n v="97.720588235294102"/>
    <x v="36"/>
    <n v="4.0999999999999996"/>
    <s v="Credit Card"/>
  </r>
  <r>
    <n v="4100"/>
    <x v="29"/>
    <n v="64"/>
    <x v="339"/>
    <n v="1.2"/>
    <s v="Credit Card"/>
  </r>
  <r>
    <n v="4122"/>
    <x v="39"/>
    <n v="118"/>
    <x v="136"/>
    <n v="3.5"/>
    <s v="Cash"/>
  </r>
  <r>
    <n v="3988"/>
    <x v="48"/>
    <n v="62"/>
    <x v="235"/>
    <n v="3"/>
    <s v="Credit Card"/>
  </r>
  <r>
    <n v="4121"/>
    <x v="41"/>
    <n v="189"/>
    <x v="220"/>
    <n v="2.6"/>
    <s v="Credit Card"/>
  </r>
  <r>
    <n v="4100"/>
    <x v="25"/>
    <n v="199"/>
    <x v="233"/>
    <n v="3.2"/>
    <s v="Cash"/>
  </r>
  <r>
    <n v="3978"/>
    <x v="27"/>
    <n v="175"/>
    <x v="273"/>
    <n v="4.0999999999999996"/>
    <s v="Credit Card"/>
  </r>
  <r>
    <n v="4006"/>
    <x v="5"/>
    <n v="28"/>
    <x v="109"/>
    <n v="2.8953488372092999"/>
    <s v="Credit Card"/>
  </r>
  <r>
    <n v="4115"/>
    <x v="38"/>
    <n v="49"/>
    <x v="161"/>
    <n v="3.5"/>
    <s v="Credit Card"/>
  </r>
  <r>
    <n v="4095"/>
    <x v="1"/>
    <n v="93.340909090909093"/>
    <x v="311"/>
    <n v="4.7"/>
    <s v="Cash"/>
  </r>
  <r>
    <n v="4104"/>
    <x v="34"/>
    <n v="19"/>
    <x v="106"/>
    <n v="1.3"/>
    <s v="Cash"/>
  </r>
  <r>
    <n v="3970"/>
    <x v="44"/>
    <n v="118.531914893617"/>
    <x v="263"/>
    <n v="1.2"/>
    <s v="Credit Card"/>
  </r>
  <r>
    <n v="4102"/>
    <x v="32"/>
    <n v="110.431818181818"/>
    <x v="351"/>
    <n v="2.6"/>
    <s v="Credit Card"/>
  </r>
  <r>
    <n v="4090"/>
    <x v="13"/>
    <n v="152"/>
    <x v="70"/>
    <n v="1.5"/>
    <s v="Cash"/>
  </r>
  <r>
    <n v="4005"/>
    <x v="14"/>
    <n v="110.56666666666599"/>
    <x v="66"/>
    <n v="3.1"/>
    <s v="Credit Card"/>
  </r>
  <r>
    <n v="4078"/>
    <x v="4"/>
    <n v="76"/>
    <x v="56"/>
    <n v="2.8333333333333299"/>
    <s v="Cash"/>
  </r>
  <r>
    <n v="4085"/>
    <x v="0"/>
    <n v="125"/>
    <x v="120"/>
    <n v="2"/>
    <s v="Credit Card"/>
  </r>
  <r>
    <n v="3961"/>
    <x v="12"/>
    <n v="120"/>
    <x v="31"/>
    <n v="1.7"/>
    <s v="Cash"/>
  </r>
  <r>
    <n v="3987"/>
    <x v="48"/>
    <n v="109"/>
    <x v="22"/>
    <n v="3"/>
    <s v="Credit Card"/>
  </r>
  <r>
    <n v="4093"/>
    <x v="42"/>
    <n v="146"/>
    <x v="200"/>
    <n v="3.1"/>
    <s v="Cash"/>
  </r>
  <r>
    <n v="4003"/>
    <x v="15"/>
    <n v="119.195652173913"/>
    <x v="248"/>
    <n v="4.0999999999999996"/>
    <s v="Cash"/>
  </r>
  <r>
    <n v="3961"/>
    <x v="46"/>
    <n v="26"/>
    <x v="192"/>
    <n v="1.3"/>
    <s v="Credit Card"/>
  </r>
  <r>
    <n v="4027"/>
    <x v="24"/>
    <n v="159"/>
    <x v="87"/>
    <n v="1.6"/>
    <s v="Cash"/>
  </r>
  <r>
    <n v="4009"/>
    <x v="10"/>
    <n v="103.354166666666"/>
    <x v="107"/>
    <n v="2.7471698113207501"/>
    <s v="Cash"/>
  </r>
  <r>
    <n v="4019"/>
    <x v="35"/>
    <n v="101"/>
    <x v="290"/>
    <n v="3.5"/>
    <s v="Credit Card"/>
  </r>
  <r>
    <n v="4105"/>
    <x v="24"/>
    <n v="37"/>
    <x v="264"/>
    <n v="1.7"/>
    <s v="Cash"/>
  </r>
  <r>
    <n v="4070"/>
    <x v="48"/>
    <n v="185"/>
    <x v="128"/>
    <n v="3.7"/>
    <s v="Credit Card"/>
  </r>
  <r>
    <n v="3978"/>
    <x v="2"/>
    <n v="32"/>
    <x v="264"/>
    <n v="2.6"/>
    <s v="Credit Card"/>
  </r>
  <r>
    <n v="4093"/>
    <x v="27"/>
    <n v="122"/>
    <x v="142"/>
    <n v="2"/>
    <s v="Cash"/>
  </r>
  <r>
    <n v="4112"/>
    <x v="17"/>
    <n v="179"/>
    <x v="71"/>
    <n v="3.9"/>
    <s v="Cash"/>
  </r>
  <r>
    <n v="4039"/>
    <x v="20"/>
    <n v="107.949152542372"/>
    <x v="156"/>
    <n v="3.9"/>
    <s v="Credit Card"/>
  </r>
  <r>
    <n v="4059"/>
    <x v="41"/>
    <n v="117.354166666666"/>
    <x v="123"/>
    <n v="1.9"/>
    <s v="Credit Card"/>
  </r>
  <r>
    <n v="4107"/>
    <x v="41"/>
    <n v="110"/>
    <x v="300"/>
    <n v="4.0999999999999996"/>
    <s v="Cash"/>
  </r>
  <r>
    <n v="3968"/>
    <x v="30"/>
    <n v="149"/>
    <x v="16"/>
    <n v="3.0542857142857098"/>
    <s v="Credit Card"/>
  </r>
  <r>
    <n v="4082"/>
    <x v="47"/>
    <n v="172"/>
    <x v="134"/>
    <n v="4.3"/>
    <s v="Credit Card"/>
  </r>
  <r>
    <n v="3962"/>
    <x v="10"/>
    <n v="103.354166666666"/>
    <x v="351"/>
    <n v="4.9000000000000004"/>
    <s v="Credit Card"/>
  </r>
  <r>
    <n v="4044"/>
    <x v="46"/>
    <n v="196"/>
    <x v="153"/>
    <n v="2.4"/>
    <s v="Cash"/>
  </r>
  <r>
    <n v="4068"/>
    <x v="26"/>
    <n v="12"/>
    <x v="242"/>
    <n v="4"/>
    <s v="Cash"/>
  </r>
  <r>
    <n v="4003"/>
    <x v="10"/>
    <n v="152"/>
    <x v="143"/>
    <n v="1.2"/>
    <s v="Cash"/>
  </r>
  <r>
    <n v="4063"/>
    <x v="22"/>
    <n v="95.292307692307602"/>
    <x v="147"/>
    <n v="1.9"/>
    <s v="Credit Card"/>
  </r>
  <r>
    <n v="3963"/>
    <x v="26"/>
    <n v="111.854838709677"/>
    <x v="335"/>
    <n v="2.4"/>
    <s v="Cash"/>
  </r>
  <r>
    <n v="4092"/>
    <x v="45"/>
    <n v="110"/>
    <x v="69"/>
    <n v="2.2000000000000002"/>
    <s v="Cash"/>
  </r>
  <r>
    <n v="4038"/>
    <x v="7"/>
    <n v="31"/>
    <x v="27"/>
    <n v="4.5999999999999996"/>
    <s v="Cash"/>
  </r>
  <r>
    <n v="4054"/>
    <x v="17"/>
    <n v="199"/>
    <x v="58"/>
    <n v="3.2083333333333299"/>
    <s v="Credit Card"/>
  </r>
  <r>
    <n v="4022"/>
    <x v="36"/>
    <n v="98"/>
    <x v="29"/>
    <n v="3.0230769230769199"/>
    <s v="Credit Card"/>
  </r>
  <r>
    <n v="3980"/>
    <x v="39"/>
    <n v="175"/>
    <x v="190"/>
    <n v="2.6"/>
    <s v="Cash"/>
  </r>
  <r>
    <n v="3986"/>
    <x v="10"/>
    <n v="46"/>
    <x v="202"/>
    <n v="2.2000000000000002"/>
    <s v="Cash"/>
  </r>
  <r>
    <n v="3982"/>
    <x v="16"/>
    <n v="102.74"/>
    <x v="32"/>
    <n v="4.3"/>
    <s v="Cash"/>
  </r>
  <r>
    <n v="4095"/>
    <x v="33"/>
    <n v="74"/>
    <x v="180"/>
    <n v="4.7"/>
    <s v="Credit Card"/>
  </r>
  <r>
    <n v="4000"/>
    <x v="27"/>
    <n v="108.734693877551"/>
    <x v="46"/>
    <n v="3.9"/>
    <s v="Cash"/>
  </r>
  <r>
    <n v="4030"/>
    <x v="23"/>
    <n v="112.745762711864"/>
    <x v="50"/>
    <n v="3.2"/>
    <s v="Credit Card"/>
  </r>
  <r>
    <n v="3993"/>
    <x v="14"/>
    <n v="23"/>
    <x v="120"/>
    <n v="1.7"/>
    <s v="Cash"/>
  </r>
  <r>
    <n v="4003"/>
    <x v="4"/>
    <n v="150"/>
    <x v="197"/>
    <n v="2.2999999999999998"/>
    <s v="Cash"/>
  </r>
  <r>
    <n v="4022"/>
    <x v="17"/>
    <n v="150"/>
    <x v="246"/>
    <n v="2.9"/>
    <s v="Credit Card"/>
  </r>
  <r>
    <n v="3979"/>
    <x v="12"/>
    <n v="102.377358490566"/>
    <x v="75"/>
    <n v="1.2"/>
    <s v="Credit Card"/>
  </r>
  <r>
    <n v="3996"/>
    <x v="17"/>
    <n v="74"/>
    <x v="110"/>
    <n v="1.2"/>
    <s v="Cash"/>
  </r>
  <r>
    <n v="4035"/>
    <x v="49"/>
    <n v="105.1"/>
    <x v="87"/>
    <n v="1.2"/>
    <s v="Cash"/>
  </r>
  <r>
    <n v="4061"/>
    <x v="33"/>
    <n v="134"/>
    <x v="28"/>
    <n v="2"/>
    <s v="Credit Card"/>
  </r>
  <r>
    <n v="4000"/>
    <x v="9"/>
    <n v="101"/>
    <x v="123"/>
    <n v="1.8"/>
    <s v="Cash"/>
  </r>
  <r>
    <n v="3972"/>
    <x v="45"/>
    <n v="106.297872340425"/>
    <x v="218"/>
    <n v="2.4"/>
    <s v="Credit Card"/>
  </r>
  <r>
    <n v="4114"/>
    <x v="4"/>
    <n v="35"/>
    <x v="259"/>
    <n v="2"/>
    <s v="Credit Card"/>
  </r>
  <r>
    <n v="4040"/>
    <x v="20"/>
    <n v="27"/>
    <x v="53"/>
    <n v="3.8"/>
    <s v="Credit Card"/>
  </r>
  <r>
    <n v="4003"/>
    <x v="27"/>
    <n v="91"/>
    <x v="42"/>
    <n v="1.9"/>
    <s v="Cash"/>
  </r>
  <r>
    <n v="3963"/>
    <x v="39"/>
    <n v="94"/>
    <x v="281"/>
    <n v="1.4"/>
    <s v="Cash"/>
  </r>
  <r>
    <n v="3971"/>
    <x v="0"/>
    <n v="88"/>
    <x v="40"/>
    <n v="3.0636363636363599"/>
    <s v="Credit Card"/>
  </r>
  <r>
    <n v="4033"/>
    <x v="13"/>
    <n v="49"/>
    <x v="293"/>
    <n v="3.1"/>
    <s v="Cash"/>
  </r>
  <r>
    <n v="4056"/>
    <x v="21"/>
    <n v="103"/>
    <x v="165"/>
    <n v="4.0999999999999996"/>
    <s v="Credit Card"/>
  </r>
  <r>
    <n v="3982"/>
    <x v="11"/>
    <n v="119"/>
    <x v="201"/>
    <n v="3.4"/>
    <s v="Credit Card"/>
  </r>
  <r>
    <n v="4038"/>
    <x v="35"/>
    <n v="97.720588235294102"/>
    <x v="80"/>
    <n v="3.4"/>
    <s v="Cash"/>
  </r>
  <r>
    <n v="3993"/>
    <x v="10"/>
    <n v="66"/>
    <x v="333"/>
    <n v="1.8"/>
    <s v="Cash"/>
  </r>
  <r>
    <n v="4062"/>
    <x v="10"/>
    <n v="174"/>
    <x v="138"/>
    <n v="2.6"/>
    <s v="Cash"/>
  </r>
  <r>
    <n v="4039"/>
    <x v="29"/>
    <n v="102"/>
    <x v="275"/>
    <n v="1.9"/>
    <s v="Credit Card"/>
  </r>
  <r>
    <n v="4023"/>
    <x v="29"/>
    <n v="88.827586206896498"/>
    <x v="338"/>
    <n v="4.4000000000000004"/>
    <s v="Cash"/>
  </r>
  <r>
    <n v="4053"/>
    <x v="19"/>
    <n v="132"/>
    <x v="10"/>
    <n v="4.8"/>
    <s v="Credit Card"/>
  </r>
  <r>
    <n v="3987"/>
    <x v="28"/>
    <n v="101"/>
    <x v="126"/>
    <n v="3.4"/>
    <s v="Cash"/>
  </r>
  <r>
    <n v="3970"/>
    <x v="28"/>
    <n v="134"/>
    <x v="0"/>
    <n v="4"/>
    <s v="Credit Card"/>
  </r>
  <r>
    <n v="4008"/>
    <x v="1"/>
    <n v="54"/>
    <x v="200"/>
    <n v="2.6"/>
    <s v="Credit Card"/>
  </r>
  <r>
    <n v="4018"/>
    <x v="9"/>
    <n v="30"/>
    <x v="8"/>
    <n v="3"/>
    <s v="Cash"/>
  </r>
  <r>
    <n v="4109"/>
    <x v="13"/>
    <n v="45"/>
    <x v="50"/>
    <n v="3.2"/>
    <s v="Cash"/>
  </r>
  <r>
    <n v="4107"/>
    <x v="46"/>
    <n v="60"/>
    <x v="126"/>
    <n v="4.5999999999999996"/>
    <s v="Cash"/>
  </r>
  <r>
    <n v="4017"/>
    <x v="46"/>
    <n v="170"/>
    <x v="132"/>
    <n v="2.9"/>
    <s v="Credit Card"/>
  </r>
  <r>
    <n v="4083"/>
    <x v="5"/>
    <n v="99.697674418604606"/>
    <x v="167"/>
    <n v="4.3"/>
    <s v="Cash"/>
  </r>
  <r>
    <n v="4087"/>
    <x v="38"/>
    <n v="106.80769230769199"/>
    <x v="334"/>
    <n v="1.1000000000000001"/>
    <s v="Credit Card"/>
  </r>
  <r>
    <n v="4086"/>
    <x v="4"/>
    <n v="114.77966101694901"/>
    <x v="287"/>
    <n v="4.0999999999999996"/>
    <s v="Credit Card"/>
  </r>
  <r>
    <n v="4055"/>
    <x v="10"/>
    <n v="17"/>
    <x v="91"/>
    <n v="1.5"/>
    <s v="Credit Card"/>
  </r>
  <r>
    <n v="3986"/>
    <x v="32"/>
    <n v="158"/>
    <x v="242"/>
    <n v="4.7"/>
    <s v="Cash"/>
  </r>
  <r>
    <n v="4025"/>
    <x v="23"/>
    <n v="161"/>
    <x v="349"/>
    <n v="2.5"/>
    <s v="Cash"/>
  </r>
  <r>
    <n v="3972"/>
    <x v="2"/>
    <n v="19"/>
    <x v="167"/>
    <n v="3.8"/>
    <s v="Credit Card"/>
  </r>
  <r>
    <n v="4038"/>
    <x v="39"/>
    <n v="149"/>
    <x v="295"/>
    <n v="2.1"/>
    <s v="Cash"/>
  </r>
  <r>
    <n v="4075"/>
    <x v="15"/>
    <n v="148"/>
    <x v="68"/>
    <n v="1.5"/>
    <s v="Cash"/>
  </r>
  <r>
    <n v="4098"/>
    <x v="14"/>
    <n v="48"/>
    <x v="207"/>
    <n v="2.7"/>
    <s v="Cash"/>
  </r>
  <r>
    <n v="4061"/>
    <x v="15"/>
    <n v="67"/>
    <x v="86"/>
    <n v="3.2240000000000002"/>
    <s v="Cash"/>
  </r>
  <r>
    <n v="3973"/>
    <x v="0"/>
    <n v="160"/>
    <x v="39"/>
    <n v="1.9"/>
    <s v="Credit Card"/>
  </r>
  <r>
    <n v="4080"/>
    <x v="39"/>
    <n v="84"/>
    <x v="14"/>
    <n v="4.2"/>
    <s v="Cash"/>
  </r>
  <r>
    <n v="3964"/>
    <x v="26"/>
    <n v="111.854838709677"/>
    <x v="197"/>
    <n v="1.2"/>
    <s v="Credit Card"/>
  </r>
  <r>
    <n v="4061"/>
    <x v="36"/>
    <n v="33"/>
    <x v="121"/>
    <n v="1.3"/>
    <s v="Credit Card"/>
  </r>
  <r>
    <n v="4119"/>
    <x v="14"/>
    <n v="138"/>
    <x v="101"/>
    <n v="3.1"/>
    <s v="Credit Card"/>
  </r>
  <r>
    <n v="4016"/>
    <x v="8"/>
    <n v="120.375"/>
    <x v="197"/>
    <n v="2.1"/>
    <s v="Credit Card"/>
  </r>
  <r>
    <n v="3961"/>
    <x v="42"/>
    <n v="167"/>
    <x v="118"/>
    <n v="1.9"/>
    <s v="Credit Card"/>
  </r>
  <r>
    <n v="4025"/>
    <x v="1"/>
    <n v="141"/>
    <x v="291"/>
    <n v="2.9"/>
    <s v="Cash"/>
  </r>
  <r>
    <n v="4098"/>
    <x v="18"/>
    <n v="105.95348837209301"/>
    <x v="19"/>
    <n v="3.3"/>
    <s v="Credit Card"/>
  </r>
  <r>
    <n v="4107"/>
    <x v="12"/>
    <n v="102.377358490566"/>
    <x v="93"/>
    <n v="2.6"/>
    <s v="Credit Card"/>
  </r>
  <r>
    <n v="3982"/>
    <x v="1"/>
    <n v="154"/>
    <x v="72"/>
    <n v="3.9"/>
    <s v="Cash"/>
  </r>
  <r>
    <n v="4020"/>
    <x v="7"/>
    <n v="47"/>
    <x v="298"/>
    <n v="3.4"/>
    <s v="Credit Card"/>
  </r>
  <r>
    <n v="4099"/>
    <x v="0"/>
    <n v="133"/>
    <x v="294"/>
    <n v="1.3"/>
    <s v="Cash"/>
  </r>
  <r>
    <n v="3989"/>
    <x v="15"/>
    <n v="20"/>
    <x v="291"/>
    <n v="2.2999999999999998"/>
    <s v="Cash"/>
  </r>
  <r>
    <n v="4034"/>
    <x v="27"/>
    <n v="134"/>
    <x v="253"/>
    <n v="1.4"/>
    <s v="Credit Card"/>
  </r>
  <r>
    <n v="4102"/>
    <x v="40"/>
    <n v="77"/>
    <x v="323"/>
    <n v="3.8"/>
    <s v="Cash"/>
  </r>
  <r>
    <n v="4061"/>
    <x v="49"/>
    <n v="20"/>
    <x v="251"/>
    <n v="2.2000000000000002"/>
    <s v="Credit Card"/>
  </r>
  <r>
    <n v="4071"/>
    <x v="13"/>
    <n v="142"/>
    <x v="299"/>
    <n v="2.6"/>
    <s v="Credit Card"/>
  </r>
  <r>
    <n v="3978"/>
    <x v="3"/>
    <n v="102"/>
    <x v="168"/>
    <n v="4.3"/>
    <s v="Cash"/>
  </r>
  <r>
    <n v="4119"/>
    <x v="37"/>
    <n v="126"/>
    <x v="88"/>
    <n v="4.0999999999999996"/>
    <s v="Cash"/>
  </r>
  <r>
    <n v="4085"/>
    <x v="9"/>
    <n v="20"/>
    <x v="35"/>
    <n v="3"/>
    <s v="Cash"/>
  </r>
  <r>
    <n v="4009"/>
    <x v="10"/>
    <n v="92"/>
    <x v="342"/>
    <n v="2.7"/>
    <s v="Cash"/>
  </r>
  <r>
    <n v="3993"/>
    <x v="11"/>
    <n v="112.64705882352899"/>
    <x v="57"/>
    <n v="1.2"/>
    <s v="Credit Card"/>
  </r>
  <r>
    <n v="4052"/>
    <x v="48"/>
    <n v="172"/>
    <x v="97"/>
    <n v="1.5"/>
    <s v="Credit Card"/>
  </r>
  <r>
    <n v="4095"/>
    <x v="42"/>
    <n v="199"/>
    <x v="188"/>
    <n v="4.0999999999999996"/>
    <s v="Cash"/>
  </r>
  <r>
    <n v="4000"/>
    <x v="31"/>
    <n v="149"/>
    <x v="222"/>
    <n v="2.96470588235294"/>
    <s v="Credit Card"/>
  </r>
  <r>
    <n v="4019"/>
    <x v="33"/>
    <n v="106"/>
    <x v="148"/>
    <n v="3.4933333333333301"/>
    <s v="Credit Card"/>
  </r>
  <r>
    <n v="4094"/>
    <x v="47"/>
    <n v="103"/>
    <x v="324"/>
    <n v="5"/>
    <s v="Cash"/>
  </r>
  <r>
    <n v="4065"/>
    <x v="10"/>
    <n v="29"/>
    <x v="207"/>
    <n v="1.8"/>
    <s v="Credit Card"/>
  </r>
  <r>
    <n v="4099"/>
    <x v="28"/>
    <n v="106"/>
    <x v="110"/>
    <n v="4.5"/>
    <s v="Cash"/>
  </r>
  <r>
    <n v="4072"/>
    <x v="43"/>
    <n v="67"/>
    <x v="88"/>
    <n v="3.27111111111111"/>
    <s v="Cash"/>
  </r>
  <r>
    <n v="3967"/>
    <x v="19"/>
    <n v="100"/>
    <x v="234"/>
    <n v="1.1000000000000001"/>
    <s v="Cash"/>
  </r>
  <r>
    <n v="3957"/>
    <x v="42"/>
    <n v="98"/>
    <x v="125"/>
    <n v="2.8"/>
    <s v="Cash"/>
  </r>
  <r>
    <n v="4075"/>
    <x v="37"/>
    <n v="133"/>
    <x v="227"/>
    <n v="4"/>
    <s v="Credit Card"/>
  </r>
  <r>
    <n v="4115"/>
    <x v="22"/>
    <n v="11"/>
    <x v="233"/>
    <n v="3.1712328767123199"/>
    <s v="Credit Card"/>
  </r>
  <r>
    <n v="4031"/>
    <x v="36"/>
    <n v="45"/>
    <x v="188"/>
    <n v="1.9"/>
    <s v="Credit Card"/>
  </r>
  <r>
    <n v="3999"/>
    <x v="28"/>
    <n v="68"/>
    <x v="238"/>
    <n v="2.4"/>
    <s v="Cash"/>
  </r>
  <r>
    <n v="3957"/>
    <x v="0"/>
    <n v="112.145454545454"/>
    <x v="364"/>
    <n v="3"/>
    <s v="Cash"/>
  </r>
  <r>
    <n v="3972"/>
    <x v="46"/>
    <n v="64"/>
    <x v="212"/>
    <n v="3.3"/>
    <s v="Cash"/>
  </r>
  <r>
    <n v="4080"/>
    <x v="41"/>
    <n v="117.354166666666"/>
    <x v="137"/>
    <n v="4.4000000000000004"/>
    <s v="Cash"/>
  </r>
  <r>
    <n v="4026"/>
    <x v="43"/>
    <n v="111.564102564102"/>
    <x v="39"/>
    <n v="3.2"/>
    <s v="Cash"/>
  </r>
  <r>
    <n v="4110"/>
    <x v="49"/>
    <n v="40"/>
    <x v="144"/>
    <n v="3.5"/>
    <s v="Credit Card"/>
  </r>
  <r>
    <n v="4021"/>
    <x v="15"/>
    <n v="116"/>
    <x v="130"/>
    <n v="4.3"/>
    <s v="Credit Card"/>
  </r>
  <r>
    <n v="4054"/>
    <x v="16"/>
    <n v="194"/>
    <x v="205"/>
    <n v="4.9000000000000004"/>
    <s v="Cash"/>
  </r>
  <r>
    <n v="4046"/>
    <x v="19"/>
    <n v="120.22"/>
    <x v="0"/>
    <n v="2.2000000000000002"/>
    <s v="Cash"/>
  </r>
  <r>
    <n v="4118"/>
    <x v="26"/>
    <n v="132"/>
    <x v="56"/>
    <n v="4.2"/>
    <s v="Credit Card"/>
  </r>
  <r>
    <n v="4011"/>
    <x v="8"/>
    <n v="51"/>
    <x v="104"/>
    <n v="4.0999999999999996"/>
    <s v="Cash"/>
  </r>
  <r>
    <n v="4106"/>
    <x v="49"/>
    <n v="115"/>
    <x v="14"/>
    <n v="1.9"/>
    <s v="Credit Card"/>
  </r>
  <r>
    <n v="4087"/>
    <x v="10"/>
    <n v="103.354166666666"/>
    <x v="72"/>
    <n v="4.7"/>
    <s v="Cash"/>
  </r>
  <r>
    <n v="4029"/>
    <x v="22"/>
    <n v="95.292307692307602"/>
    <x v="248"/>
    <n v="3.1"/>
    <s v="Cash"/>
  </r>
  <r>
    <n v="3968"/>
    <x v="3"/>
    <n v="51"/>
    <x v="95"/>
    <n v="1.8"/>
    <s v="Credit Card"/>
  </r>
  <r>
    <n v="3998"/>
    <x v="35"/>
    <n v="97.720588235294102"/>
    <x v="23"/>
    <n v="3.5"/>
    <s v="Credit Card"/>
  </r>
  <r>
    <n v="4093"/>
    <x v="16"/>
    <n v="156"/>
    <x v="103"/>
    <n v="1.4"/>
    <s v="Cash"/>
  </r>
  <r>
    <n v="4101"/>
    <x v="38"/>
    <n v="106.80769230769199"/>
    <x v="343"/>
    <n v="3.8"/>
    <s v="Credit Card"/>
  </r>
  <r>
    <n v="3974"/>
    <x v="31"/>
    <n v="113.54098360655701"/>
    <x v="219"/>
    <n v="2.96470588235294"/>
    <s v="Credit Card"/>
  </r>
  <r>
    <n v="4033"/>
    <x v="29"/>
    <n v="142"/>
    <x v="266"/>
    <n v="3"/>
    <s v="Cash"/>
  </r>
  <r>
    <n v="3979"/>
    <x v="3"/>
    <n v="163"/>
    <x v="50"/>
    <n v="3.3"/>
    <s v="Cash"/>
  </r>
  <r>
    <n v="4058"/>
    <x v="41"/>
    <n v="173"/>
    <x v="46"/>
    <n v="3.07213114754098"/>
    <s v="Credit Card"/>
  </r>
  <r>
    <n v="3988"/>
    <x v="18"/>
    <n v="105.95348837209301"/>
    <x v="339"/>
    <n v="3.3"/>
    <s v="Credit Card"/>
  </r>
  <r>
    <n v="3992"/>
    <x v="26"/>
    <n v="179"/>
    <x v="83"/>
    <n v="3.9"/>
    <s v="Cash"/>
  </r>
  <r>
    <n v="4099"/>
    <x v="22"/>
    <n v="31"/>
    <x v="187"/>
    <n v="2"/>
    <s v="Credit Card"/>
  </r>
  <r>
    <n v="4028"/>
    <x v="19"/>
    <n v="165"/>
    <x v="214"/>
    <n v="2.6"/>
    <s v="Credit Card"/>
  </r>
  <r>
    <n v="4067"/>
    <x v="44"/>
    <n v="133"/>
    <x v="115"/>
    <n v="3.3"/>
    <s v="Cash"/>
  </r>
  <r>
    <n v="4010"/>
    <x v="1"/>
    <n v="93.340909090909093"/>
    <x v="21"/>
    <n v="2.7"/>
    <s v="Credit Card"/>
  </r>
  <r>
    <n v="4113"/>
    <x v="46"/>
    <n v="163"/>
    <x v="86"/>
    <n v="4.2"/>
    <s v="Cash"/>
  </r>
  <r>
    <n v="4086"/>
    <x v="19"/>
    <n v="120.22"/>
    <x v="172"/>
    <n v="3.6"/>
    <s v="Cash"/>
  </r>
  <r>
    <n v="4038"/>
    <x v="37"/>
    <n v="56"/>
    <x v="343"/>
    <n v="3.6"/>
    <s v="Cash"/>
  </r>
  <r>
    <n v="4044"/>
    <x v="27"/>
    <n v="140"/>
    <x v="105"/>
    <n v="4"/>
    <s v="Credit Card"/>
  </r>
  <r>
    <n v="4119"/>
    <x v="44"/>
    <n v="195"/>
    <x v="2"/>
    <n v="4"/>
    <s v="Credit Card"/>
  </r>
  <r>
    <n v="4023"/>
    <x v="7"/>
    <n v="126"/>
    <x v="203"/>
    <n v="1.4"/>
    <s v="Credit Card"/>
  </r>
  <r>
    <n v="4072"/>
    <x v="22"/>
    <n v="27"/>
    <x v="301"/>
    <n v="1.6"/>
    <s v="Cash"/>
  </r>
  <r>
    <n v="4026"/>
    <x v="43"/>
    <n v="108"/>
    <x v="264"/>
    <n v="3.3"/>
    <s v="Cash"/>
  </r>
  <r>
    <n v="4019"/>
    <x v="23"/>
    <n v="112.745762711864"/>
    <x v="42"/>
    <n v="3.3"/>
    <s v="Cash"/>
  </r>
  <r>
    <n v="4039"/>
    <x v="9"/>
    <n v="109.08474576271099"/>
    <x v="118"/>
    <n v="3.3"/>
    <s v="Cash"/>
  </r>
  <r>
    <n v="4044"/>
    <x v="22"/>
    <n v="139"/>
    <x v="318"/>
    <n v="4.0999999999999996"/>
    <s v="Credit Card"/>
  </r>
  <r>
    <n v="4010"/>
    <x v="38"/>
    <n v="48"/>
    <x v="79"/>
    <n v="3.3"/>
    <s v="Cash"/>
  </r>
  <r>
    <n v="4074"/>
    <x v="8"/>
    <n v="55"/>
    <x v="265"/>
    <n v="4.4000000000000004"/>
    <s v="Credit Card"/>
  </r>
  <r>
    <n v="4110"/>
    <x v="32"/>
    <n v="167"/>
    <x v="190"/>
    <n v="4.5999999999999996"/>
    <s v="Credit Card"/>
  </r>
  <r>
    <n v="4041"/>
    <x v="36"/>
    <n v="146"/>
    <x v="95"/>
    <n v="4.4000000000000004"/>
    <s v="Credit Card"/>
  </r>
  <r>
    <n v="3961"/>
    <x v="46"/>
    <n v="40"/>
    <x v="82"/>
    <n v="1.9"/>
    <s v="Credit Card"/>
  </r>
  <r>
    <n v="3991"/>
    <x v="8"/>
    <n v="120.375"/>
    <x v="336"/>
    <n v="4.0999999999999996"/>
    <s v="Credit Card"/>
  </r>
  <r>
    <n v="4122"/>
    <x v="10"/>
    <n v="164"/>
    <x v="98"/>
    <n v="3.3"/>
    <s v="Cash"/>
  </r>
  <r>
    <n v="3957"/>
    <x v="30"/>
    <n v="10"/>
    <x v="61"/>
    <n v="1.2"/>
    <s v="Credit Card"/>
  </r>
  <r>
    <n v="4112"/>
    <x v="11"/>
    <n v="183"/>
    <x v="240"/>
    <n v="1.1000000000000001"/>
    <s v="Cash"/>
  </r>
  <r>
    <n v="4078"/>
    <x v="32"/>
    <n v="143"/>
    <x v="296"/>
    <n v="1.6"/>
    <s v="Credit Card"/>
  </r>
  <r>
    <n v="3958"/>
    <x v="13"/>
    <n v="21"/>
    <x v="328"/>
    <n v="2.8"/>
    <s v="Credit Card"/>
  </r>
  <r>
    <n v="3959"/>
    <x v="25"/>
    <n v="119"/>
    <x v="28"/>
    <n v="4.5999999999999996"/>
    <s v="Credit Card"/>
  </r>
  <r>
    <n v="4001"/>
    <x v="5"/>
    <n v="133"/>
    <x v="248"/>
    <n v="1.7"/>
    <s v="Cash"/>
  </r>
  <r>
    <n v="4062"/>
    <x v="20"/>
    <n v="107"/>
    <x v="176"/>
    <n v="3.2"/>
    <s v="Credit Card"/>
  </r>
  <r>
    <n v="4099"/>
    <x v="46"/>
    <n v="199"/>
    <x v="64"/>
    <n v="1.9"/>
    <s v="Cash"/>
  </r>
  <r>
    <n v="4082"/>
    <x v="12"/>
    <n v="188"/>
    <x v="91"/>
    <n v="2.2999999999999998"/>
    <s v="Cash"/>
  </r>
  <r>
    <n v="4057"/>
    <x v="12"/>
    <n v="118"/>
    <x v="219"/>
    <n v="4.5999999999999996"/>
    <s v="Credit Card"/>
  </r>
  <r>
    <n v="4094"/>
    <x v="2"/>
    <n v="100.68"/>
    <x v="169"/>
    <n v="4.5999999999999996"/>
    <s v="Credit Card"/>
  </r>
  <r>
    <n v="3977"/>
    <x v="39"/>
    <n v="69"/>
    <x v="328"/>
    <n v="3.6"/>
    <s v="Cash"/>
  </r>
  <r>
    <n v="3976"/>
    <x v="40"/>
    <n v="31"/>
    <x v="290"/>
    <n v="1.1000000000000001"/>
    <s v="Credit Card"/>
  </r>
  <r>
    <n v="4094"/>
    <x v="20"/>
    <n v="149"/>
    <x v="301"/>
    <n v="2.1"/>
    <s v="Credit Card"/>
  </r>
  <r>
    <n v="3964"/>
    <x v="28"/>
    <n v="58"/>
    <x v="118"/>
    <n v="2.9636363636363598"/>
    <s v="Credit Card"/>
  </r>
  <r>
    <n v="4070"/>
    <x v="9"/>
    <n v="109.08474576271099"/>
    <x v="35"/>
    <n v="2.6"/>
    <s v="Credit Card"/>
  </r>
  <r>
    <n v="3988"/>
    <x v="10"/>
    <n v="11"/>
    <x v="133"/>
    <n v="4.9000000000000004"/>
    <s v="Credit Card"/>
  </r>
  <r>
    <n v="4047"/>
    <x v="47"/>
    <n v="40"/>
    <x v="238"/>
    <n v="3.3"/>
    <s v="Cash"/>
  </r>
  <r>
    <n v="4053"/>
    <x v="3"/>
    <n v="106"/>
    <x v="131"/>
    <n v="1.1000000000000001"/>
    <s v="Cash"/>
  </r>
  <r>
    <n v="4110"/>
    <x v="40"/>
    <n v="186"/>
    <x v="107"/>
    <n v="4.0999999999999996"/>
    <s v="Cash"/>
  </r>
  <r>
    <n v="4048"/>
    <x v="16"/>
    <n v="114"/>
    <x v="33"/>
    <n v="4.0999999999999996"/>
    <s v="Credit Card"/>
  </r>
  <r>
    <n v="4056"/>
    <x v="31"/>
    <n v="49"/>
    <x v="193"/>
    <n v="1.6"/>
    <s v="Credit Card"/>
  </r>
  <r>
    <n v="4002"/>
    <x v="44"/>
    <n v="159"/>
    <x v="320"/>
    <n v="1.4"/>
    <s v="Cash"/>
  </r>
  <r>
    <n v="3959"/>
    <x v="47"/>
    <n v="147"/>
    <x v="338"/>
    <n v="3.3"/>
    <s v="Cash"/>
  </r>
  <r>
    <n v="3988"/>
    <x v="14"/>
    <n v="103"/>
    <x v="220"/>
    <n v="3.5"/>
    <s v="Credit Card"/>
  </r>
  <r>
    <n v="4075"/>
    <x v="45"/>
    <n v="184"/>
    <x v="195"/>
    <n v="1.9"/>
    <s v="Credit Card"/>
  </r>
  <r>
    <n v="4051"/>
    <x v="31"/>
    <n v="62"/>
    <x v="337"/>
    <n v="4.2"/>
    <s v="Credit Card"/>
  </r>
  <r>
    <n v="4006"/>
    <x v="48"/>
    <n v="152"/>
    <x v="31"/>
    <n v="3"/>
    <s v="Cash"/>
  </r>
  <r>
    <n v="4070"/>
    <x v="33"/>
    <n v="104"/>
    <x v="190"/>
    <n v="4.5"/>
    <s v="Cash"/>
  </r>
  <r>
    <n v="3959"/>
    <x v="2"/>
    <n v="133"/>
    <x v="66"/>
    <n v="4.2"/>
    <s v="Credit Card"/>
  </r>
  <r>
    <n v="4013"/>
    <x v="20"/>
    <n v="88"/>
    <x v="364"/>
    <n v="2.2999999999999998"/>
    <s v="Credit Card"/>
  </r>
  <r>
    <n v="3962"/>
    <x v="0"/>
    <n v="190"/>
    <x v="364"/>
    <n v="1.5"/>
    <s v="Credit Card"/>
  </r>
  <r>
    <n v="4028"/>
    <x v="6"/>
    <n v="45"/>
    <x v="47"/>
    <n v="4.0999999999999996"/>
    <s v="Cash"/>
  </r>
  <r>
    <n v="4048"/>
    <x v="17"/>
    <n v="178"/>
    <x v="83"/>
    <n v="1.6"/>
    <s v="Cash"/>
  </r>
  <r>
    <n v="4006"/>
    <x v="22"/>
    <n v="95.292307692307602"/>
    <x v="300"/>
    <n v="4.0999999999999996"/>
    <s v="Credit Card"/>
  </r>
  <r>
    <n v="3980"/>
    <x v="27"/>
    <n v="189"/>
    <x v="136"/>
    <n v="2.1"/>
    <s v="Credit Card"/>
  </r>
  <r>
    <n v="4114"/>
    <x v="27"/>
    <n v="35"/>
    <x v="29"/>
    <n v="4.4000000000000004"/>
    <s v="Credit Card"/>
  </r>
  <r>
    <n v="4117"/>
    <x v="28"/>
    <n v="112"/>
    <x v="338"/>
    <n v="1.7"/>
    <s v="Cash"/>
  </r>
  <r>
    <n v="4034"/>
    <x v="19"/>
    <n v="150"/>
    <x v="89"/>
    <n v="1"/>
    <s v="Cash"/>
  </r>
  <r>
    <n v="4013"/>
    <x v="17"/>
    <n v="185"/>
    <x v="25"/>
    <n v="3.1"/>
    <s v="Credit Card"/>
  </r>
  <r>
    <n v="4016"/>
    <x v="26"/>
    <n v="51"/>
    <x v="318"/>
    <n v="4.5999999999999996"/>
    <s v="Credit Card"/>
  </r>
  <r>
    <n v="4083"/>
    <x v="20"/>
    <n v="172"/>
    <x v="288"/>
    <n v="5"/>
    <s v="Credit Card"/>
  </r>
  <r>
    <n v="4049"/>
    <x v="17"/>
    <n v="117.172413793103"/>
    <x v="275"/>
    <n v="4.9000000000000004"/>
    <s v="Cash"/>
  </r>
  <r>
    <n v="3966"/>
    <x v="36"/>
    <n v="103.222222222222"/>
    <x v="211"/>
    <n v="1.8"/>
    <s v="Cash"/>
  </r>
  <r>
    <n v="4028"/>
    <x v="23"/>
    <n v="112.745762711864"/>
    <x v="309"/>
    <n v="2.8291666666666599"/>
    <s v="Credit Card"/>
  </r>
  <r>
    <n v="4083"/>
    <x v="29"/>
    <n v="121"/>
    <x v="237"/>
    <n v="3.4"/>
    <s v="Cash"/>
  </r>
  <r>
    <n v="4112"/>
    <x v="28"/>
    <n v="99.866666666666603"/>
    <x v="305"/>
    <n v="4.3"/>
    <s v="Credit Card"/>
  </r>
  <r>
    <n v="4010"/>
    <x v="49"/>
    <n v="104"/>
    <x v="173"/>
    <n v="3.19629629629629"/>
    <s v="Cash"/>
  </r>
  <r>
    <n v="3958"/>
    <x v="7"/>
    <n v="103.564102564102"/>
    <x v="54"/>
    <n v="2.5"/>
    <s v="Cash"/>
  </r>
  <r>
    <n v="4007"/>
    <x v="17"/>
    <n v="117.172413793103"/>
    <x v="262"/>
    <n v="3.2083333333333299"/>
    <s v="Cash"/>
  </r>
  <r>
    <n v="4120"/>
    <x v="32"/>
    <n v="112"/>
    <x v="210"/>
    <n v="1.3"/>
    <s v="Credit Card"/>
  </r>
  <r>
    <n v="4058"/>
    <x v="11"/>
    <n v="143"/>
    <x v="148"/>
    <n v="1.3"/>
    <s v="Credit Card"/>
  </r>
  <r>
    <n v="3985"/>
    <x v="12"/>
    <n v="162"/>
    <x v="238"/>
    <n v="1.2"/>
    <s v="Credit Card"/>
  </r>
  <r>
    <n v="4028"/>
    <x v="34"/>
    <n v="90.925925925925895"/>
    <x v="327"/>
    <n v="1.7"/>
    <s v="Cash"/>
  </r>
  <r>
    <n v="4102"/>
    <x v="10"/>
    <n v="54"/>
    <x v="338"/>
    <n v="1.8"/>
    <s v="Credit Card"/>
  </r>
  <r>
    <n v="4085"/>
    <x v="11"/>
    <n v="122"/>
    <x v="132"/>
    <n v="2.8"/>
    <s v="Cash"/>
  </r>
  <r>
    <n v="4083"/>
    <x v="37"/>
    <n v="108.54716981132"/>
    <x v="113"/>
    <n v="1.6"/>
    <s v="Cash"/>
  </r>
  <r>
    <n v="4000"/>
    <x v="45"/>
    <n v="142"/>
    <x v="9"/>
    <n v="1.9"/>
    <s v="Credit Card"/>
  </r>
  <r>
    <n v="4098"/>
    <x v="36"/>
    <n v="18"/>
    <x v="42"/>
    <n v="1.1000000000000001"/>
    <s v="Credit Card"/>
  </r>
  <r>
    <n v="4006"/>
    <x v="0"/>
    <n v="140"/>
    <x v="54"/>
    <n v="2.8"/>
    <s v="Cash"/>
  </r>
  <r>
    <n v="4101"/>
    <x v="30"/>
    <n v="69"/>
    <x v="84"/>
    <n v="1.6"/>
    <s v="Credit Card"/>
  </r>
  <r>
    <n v="4111"/>
    <x v="34"/>
    <n v="182"/>
    <x v="43"/>
    <n v="2.8"/>
    <s v="Cash"/>
  </r>
  <r>
    <n v="4101"/>
    <x v="49"/>
    <n v="105.1"/>
    <x v="209"/>
    <n v="2.6"/>
    <s v="Credit Card"/>
  </r>
  <r>
    <n v="4001"/>
    <x v="8"/>
    <n v="10"/>
    <x v="191"/>
    <n v="3.7"/>
    <s v="Credit Card"/>
  </r>
  <r>
    <n v="3973"/>
    <x v="16"/>
    <n v="32"/>
    <x v="195"/>
    <n v="2.4"/>
    <s v="Cash"/>
  </r>
  <r>
    <n v="4107"/>
    <x v="41"/>
    <n v="112"/>
    <x v="300"/>
    <n v="1.4"/>
    <s v="Credit Card"/>
  </r>
  <r>
    <n v="3989"/>
    <x v="23"/>
    <n v="111"/>
    <x v="184"/>
    <n v="3.9"/>
    <s v="Credit Card"/>
  </r>
  <r>
    <n v="3973"/>
    <x v="5"/>
    <n v="61"/>
    <x v="85"/>
    <n v="4.7"/>
    <s v="Credit Card"/>
  </r>
  <r>
    <n v="3989"/>
    <x v="43"/>
    <n v="198"/>
    <x v="331"/>
    <n v="4.9000000000000004"/>
    <s v="Credit Card"/>
  </r>
  <r>
    <n v="4023"/>
    <x v="34"/>
    <n v="33"/>
    <x v="187"/>
    <n v="4.7"/>
    <s v="Credit Card"/>
  </r>
  <r>
    <n v="4102"/>
    <x v="29"/>
    <n v="195"/>
    <x v="320"/>
    <n v="2.6590163934426201"/>
    <s v="Cash"/>
  </r>
  <r>
    <n v="4015"/>
    <x v="47"/>
    <n v="159"/>
    <x v="327"/>
    <n v="1.1000000000000001"/>
    <s v="Cash"/>
  </r>
  <r>
    <n v="4090"/>
    <x v="42"/>
    <n v="80"/>
    <x v="148"/>
    <n v="3.7"/>
    <s v="Cash"/>
  </r>
  <r>
    <n v="4027"/>
    <x v="29"/>
    <n v="59"/>
    <x v="359"/>
    <n v="4.9000000000000004"/>
    <s v="Credit Card"/>
  </r>
  <r>
    <n v="4006"/>
    <x v="27"/>
    <n v="113"/>
    <x v="155"/>
    <n v="2.8"/>
    <s v="Cash"/>
  </r>
  <r>
    <n v="3962"/>
    <x v="9"/>
    <n v="76"/>
    <x v="304"/>
    <n v="3.0693548387096699"/>
    <s v="Credit Card"/>
  </r>
  <r>
    <n v="4093"/>
    <x v="35"/>
    <n v="97.720588235294102"/>
    <x v="177"/>
    <n v="4.7"/>
    <s v="Credit Card"/>
  </r>
  <r>
    <n v="4114"/>
    <x v="38"/>
    <n v="153"/>
    <x v="189"/>
    <n v="4.7"/>
    <s v="Cash"/>
  </r>
  <r>
    <n v="4021"/>
    <x v="21"/>
    <n v="107.68518518518501"/>
    <x v="281"/>
    <n v="4.7"/>
    <s v="Credit Card"/>
  </r>
  <r>
    <n v="4100"/>
    <x v="37"/>
    <n v="39"/>
    <x v="3"/>
    <n v="2.9"/>
    <s v="Credit Card"/>
  </r>
  <r>
    <n v="4073"/>
    <x v="39"/>
    <n v="75"/>
    <x v="81"/>
    <n v="2.9"/>
    <s v="Cash"/>
  </r>
  <r>
    <n v="3957"/>
    <x v="0"/>
    <n v="157"/>
    <x v="73"/>
    <n v="5"/>
    <s v="Cash"/>
  </r>
  <r>
    <n v="4066"/>
    <x v="49"/>
    <n v="123"/>
    <x v="106"/>
    <n v="3.7"/>
    <s v="Credit Card"/>
  </r>
  <r>
    <n v="4121"/>
    <x v="30"/>
    <n v="154"/>
    <x v="280"/>
    <n v="3.0542857142857098"/>
    <s v="Credit Card"/>
  </r>
  <r>
    <n v="3970"/>
    <x v="36"/>
    <n v="72"/>
    <x v="291"/>
    <n v="2.5"/>
    <s v="Credit Card"/>
  </r>
  <r>
    <n v="4039"/>
    <x v="49"/>
    <n v="127"/>
    <x v="24"/>
    <n v="2.7"/>
    <s v="Credit Card"/>
  </r>
  <r>
    <n v="4067"/>
    <x v="6"/>
    <n v="160"/>
    <x v="59"/>
    <n v="4.9000000000000004"/>
    <s v="Credit Card"/>
  </r>
  <r>
    <n v="4061"/>
    <x v="46"/>
    <n v="133"/>
    <x v="347"/>
    <n v="2.9"/>
    <s v="Cash"/>
  </r>
  <r>
    <n v="4027"/>
    <x v="2"/>
    <n v="100.679999999999"/>
    <x v="240"/>
    <n v="4.9000000000000004"/>
    <s v="Credit Card"/>
  </r>
  <r>
    <n v="3988"/>
    <x v="15"/>
    <n v="119.195652173913"/>
    <x v="238"/>
    <n v="1.8"/>
    <s v="Cash"/>
  </r>
  <r>
    <n v="4089"/>
    <x v="36"/>
    <n v="66"/>
    <x v="51"/>
    <n v="4.5999999999999996"/>
    <s v="Cash"/>
  </r>
  <r>
    <n v="4076"/>
    <x v="24"/>
    <n v="68"/>
    <x v="148"/>
    <n v="2.2000000000000002"/>
    <s v="Credit Card"/>
  </r>
  <r>
    <n v="4083"/>
    <x v="9"/>
    <n v="115"/>
    <x v="286"/>
    <n v="3.9"/>
    <s v="Credit Card"/>
  </r>
  <r>
    <n v="4049"/>
    <x v="15"/>
    <n v="142"/>
    <x v="127"/>
    <n v="3.3"/>
    <s v="Cash"/>
  </r>
  <r>
    <n v="4089"/>
    <x v="40"/>
    <n v="189"/>
    <x v="13"/>
    <n v="2.9761904761904701"/>
    <s v="Credit Card"/>
  </r>
  <r>
    <n v="3968"/>
    <x v="20"/>
    <n v="73"/>
    <x v="314"/>
    <n v="2.2000000000000002"/>
    <s v="Cash"/>
  </r>
  <r>
    <n v="4014"/>
    <x v="12"/>
    <n v="112"/>
    <x v="344"/>
    <n v="2.5885245901639302"/>
    <s v="Credit Card"/>
  </r>
  <r>
    <n v="3969"/>
    <x v="5"/>
    <n v="97"/>
    <x v="251"/>
    <n v="2.7"/>
    <s v="Credit Card"/>
  </r>
  <r>
    <n v="4028"/>
    <x v="48"/>
    <n v="123.21818181818099"/>
    <x v="126"/>
    <n v="1.2"/>
    <s v="Cash"/>
  </r>
  <r>
    <n v="4064"/>
    <x v="44"/>
    <n v="131"/>
    <x v="304"/>
    <n v="3.7"/>
    <s v="Cash"/>
  </r>
  <r>
    <n v="4093"/>
    <x v="46"/>
    <n v="65"/>
    <x v="210"/>
    <n v="2.6"/>
    <s v="Cash"/>
  </r>
  <r>
    <n v="4071"/>
    <x v="33"/>
    <n v="78"/>
    <x v="25"/>
    <n v="4.7"/>
    <s v="Cash"/>
  </r>
  <r>
    <n v="4037"/>
    <x v="31"/>
    <n v="113.54098360655701"/>
    <x v="288"/>
    <n v="4"/>
    <s v="Credit Card"/>
  </r>
  <r>
    <n v="3958"/>
    <x v="48"/>
    <n v="58"/>
    <x v="11"/>
    <n v="3.1"/>
    <s v="Credit Card"/>
  </r>
  <r>
    <n v="4057"/>
    <x v="35"/>
    <n v="61"/>
    <x v="8"/>
    <n v="1.3"/>
    <s v="Credit Card"/>
  </r>
  <r>
    <n v="4006"/>
    <x v="17"/>
    <n v="71"/>
    <x v="276"/>
    <n v="3.6"/>
    <s v="Cash"/>
  </r>
  <r>
    <n v="4042"/>
    <x v="30"/>
    <n v="62"/>
    <x v="63"/>
    <n v="4.5999999999999996"/>
    <s v="Credit Card"/>
  </r>
  <r>
    <n v="3977"/>
    <x v="42"/>
    <n v="73"/>
    <x v="277"/>
    <n v="4.3"/>
    <s v="Credit Card"/>
  </r>
  <r>
    <n v="4103"/>
    <x v="34"/>
    <n v="101"/>
    <x v="138"/>
    <n v="1.8"/>
    <s v="Cash"/>
  </r>
  <r>
    <n v="3963"/>
    <x v="35"/>
    <n v="97.720588235294102"/>
    <x v="53"/>
    <n v="4.9000000000000004"/>
    <s v="Credit Card"/>
  </r>
  <r>
    <n v="4014"/>
    <x v="34"/>
    <n v="90.925925925925895"/>
    <x v="269"/>
    <n v="3.2"/>
    <s v="Credit Card"/>
  </r>
  <r>
    <n v="4065"/>
    <x v="7"/>
    <n v="183"/>
    <x v="161"/>
    <n v="3"/>
    <s v="Cash"/>
  </r>
  <r>
    <n v="3976"/>
    <x v="19"/>
    <n v="136"/>
    <x v="205"/>
    <n v="3.4"/>
    <s v="Credit Card"/>
  </r>
  <r>
    <n v="4020"/>
    <x v="5"/>
    <n v="148"/>
    <x v="112"/>
    <n v="2.7"/>
    <s v="Cash"/>
  </r>
  <r>
    <n v="4007"/>
    <x v="9"/>
    <n v="133"/>
    <x v="115"/>
    <n v="4.5"/>
    <s v="Credit Card"/>
  </r>
  <r>
    <n v="3999"/>
    <x v="41"/>
    <n v="90"/>
    <x v="279"/>
    <n v="4.5"/>
    <s v="Credit Card"/>
  </r>
  <r>
    <n v="4041"/>
    <x v="49"/>
    <n v="157"/>
    <x v="279"/>
    <n v="1.7"/>
    <s v="Credit Card"/>
  </r>
  <r>
    <n v="4036"/>
    <x v="19"/>
    <n v="135"/>
    <x v="184"/>
    <n v="2.2999999999999998"/>
    <s v="Cash"/>
  </r>
  <r>
    <n v="3973"/>
    <x v="0"/>
    <n v="112.145454545454"/>
    <x v="205"/>
    <n v="3.0636363636363599"/>
    <s v="Credit Card"/>
  </r>
  <r>
    <n v="4117"/>
    <x v="23"/>
    <n v="140"/>
    <x v="58"/>
    <n v="4"/>
    <s v="Credit Card"/>
  </r>
  <r>
    <n v="4117"/>
    <x v="3"/>
    <n v="66"/>
    <x v="340"/>
    <n v="1.1000000000000001"/>
    <s v="Credit Card"/>
  </r>
  <r>
    <n v="3981"/>
    <x v="35"/>
    <n v="42"/>
    <x v="170"/>
    <n v="3.4"/>
    <s v="Credit Card"/>
  </r>
  <r>
    <n v="3964"/>
    <x v="29"/>
    <n v="88.827586206896498"/>
    <x v="240"/>
    <n v="2.7"/>
    <s v="Credit Card"/>
  </r>
  <r>
    <n v="4079"/>
    <x v="14"/>
    <n v="132"/>
    <x v="156"/>
    <n v="5"/>
    <s v="Cash"/>
  </r>
  <r>
    <n v="4067"/>
    <x v="29"/>
    <n v="18"/>
    <x v="284"/>
    <n v="3.8"/>
    <s v="Credit Card"/>
  </r>
  <r>
    <n v="3963"/>
    <x v="42"/>
    <n v="110"/>
    <x v="71"/>
    <n v="4.8"/>
    <s v="Cash"/>
  </r>
  <r>
    <n v="4108"/>
    <x v="24"/>
    <n v="54"/>
    <x v="54"/>
    <n v="2.6"/>
    <s v="Credit Card"/>
  </r>
  <r>
    <n v="4117"/>
    <x v="4"/>
    <n v="40"/>
    <x v="278"/>
    <n v="1.6"/>
    <s v="Cash"/>
  </r>
  <r>
    <n v="4042"/>
    <x v="9"/>
    <n v="127"/>
    <x v="349"/>
    <n v="2.5"/>
    <s v="Cash"/>
  </r>
  <r>
    <n v="4021"/>
    <x v="12"/>
    <n v="12"/>
    <x v="189"/>
    <n v="2.5885245901639302"/>
    <s v="Credit Card"/>
  </r>
  <r>
    <n v="4020"/>
    <x v="4"/>
    <n v="114.77966101694901"/>
    <x v="225"/>
    <n v="1.3"/>
    <s v="Credit Card"/>
  </r>
  <r>
    <n v="3984"/>
    <x v="28"/>
    <n v="158"/>
    <x v="229"/>
    <n v="1.7"/>
    <s v="Credit Card"/>
  </r>
  <r>
    <n v="4078"/>
    <x v="12"/>
    <n v="102.377358490566"/>
    <x v="143"/>
    <n v="2.2999999999999998"/>
    <s v="Credit Card"/>
  </r>
  <r>
    <n v="4018"/>
    <x v="35"/>
    <n v="76"/>
    <x v="58"/>
    <n v="5"/>
    <s v="Cash"/>
  </r>
  <r>
    <n v="4044"/>
    <x v="49"/>
    <n v="105.1"/>
    <x v="251"/>
    <n v="3.6"/>
    <s v="Cash"/>
  </r>
  <r>
    <n v="3970"/>
    <x v="21"/>
    <n v="78"/>
    <x v="49"/>
    <n v="3.1303030303030299"/>
    <s v="Cash"/>
  </r>
  <r>
    <n v="4042"/>
    <x v="19"/>
    <n v="166"/>
    <x v="16"/>
    <n v="5"/>
    <s v="Cash"/>
  </r>
  <r>
    <n v="4090"/>
    <x v="0"/>
    <n v="57"/>
    <x v="230"/>
    <n v="3.7"/>
    <s v="Credit Card"/>
  </r>
  <r>
    <n v="4017"/>
    <x v="2"/>
    <n v="63"/>
    <x v="89"/>
    <n v="1.6"/>
    <s v="Cash"/>
  </r>
  <r>
    <n v="3975"/>
    <x v="46"/>
    <n v="105"/>
    <x v="252"/>
    <n v="2.9"/>
    <s v="Credit Card"/>
  </r>
  <r>
    <n v="4110"/>
    <x v="16"/>
    <n v="112"/>
    <x v="276"/>
    <n v="4.7"/>
    <s v="Credit Card"/>
  </r>
  <r>
    <n v="4115"/>
    <x v="46"/>
    <n v="56"/>
    <x v="28"/>
    <n v="2.9"/>
    <s v="Credit Card"/>
  </r>
  <r>
    <n v="4069"/>
    <x v="19"/>
    <n v="157"/>
    <x v="254"/>
    <n v="2.2999999999999998"/>
    <s v="Cash"/>
  </r>
  <r>
    <n v="3981"/>
    <x v="1"/>
    <n v="35"/>
    <x v="278"/>
    <n v="2.8"/>
    <s v="Credit Card"/>
  </r>
  <r>
    <n v="4117"/>
    <x v="39"/>
    <n v="70"/>
    <x v="43"/>
    <n v="1.2"/>
    <s v="Cash"/>
  </r>
  <r>
    <n v="4071"/>
    <x v="9"/>
    <n v="107"/>
    <x v="296"/>
    <n v="4.0999999999999996"/>
    <s v="Cash"/>
  </r>
  <r>
    <n v="4105"/>
    <x v="2"/>
    <n v="100.679999999999"/>
    <x v="182"/>
    <n v="2.7"/>
    <s v="Cash"/>
  </r>
  <r>
    <n v="3988"/>
    <x v="27"/>
    <n v="199"/>
    <x v="344"/>
    <n v="2.2000000000000002"/>
    <s v="Credit Card"/>
  </r>
  <r>
    <n v="3978"/>
    <x v="18"/>
    <n v="105.95348837209301"/>
    <x v="29"/>
    <n v="1.1000000000000001"/>
    <s v="Cash"/>
  </r>
  <r>
    <n v="3972"/>
    <x v="49"/>
    <n v="55"/>
    <x v="294"/>
    <n v="4.5999999999999996"/>
    <s v="Credit Card"/>
  </r>
  <r>
    <n v="3965"/>
    <x v="9"/>
    <n v="44"/>
    <x v="274"/>
    <n v="3.0693548387096699"/>
    <s v="Credit Card"/>
  </r>
  <r>
    <n v="4053"/>
    <x v="16"/>
    <n v="171"/>
    <x v="361"/>
    <n v="1.1000000000000001"/>
    <s v="Credit Card"/>
  </r>
  <r>
    <n v="4037"/>
    <x v="43"/>
    <n v="194"/>
    <x v="238"/>
    <n v="3.9"/>
    <s v="Cash"/>
  </r>
  <r>
    <n v="3973"/>
    <x v="22"/>
    <n v="134"/>
    <x v="174"/>
    <n v="3.2"/>
    <s v="Cash"/>
  </r>
  <r>
    <n v="3989"/>
    <x v="45"/>
    <n v="153"/>
    <x v="27"/>
    <n v="3.4"/>
    <s v="Credit Card"/>
  </r>
  <r>
    <n v="3972"/>
    <x v="42"/>
    <n v="22"/>
    <x v="358"/>
    <n v="3"/>
    <s v="Credit Card"/>
  </r>
  <r>
    <n v="4070"/>
    <x v="42"/>
    <n v="186"/>
    <x v="41"/>
    <n v="1.5"/>
    <s v="Cash"/>
  </r>
  <r>
    <n v="3971"/>
    <x v="42"/>
    <n v="106.72413793103399"/>
    <x v="186"/>
    <n v="2.4"/>
    <s v="Credit Card"/>
  </r>
  <r>
    <n v="4034"/>
    <x v="49"/>
    <n v="75"/>
    <x v="21"/>
    <n v="3"/>
    <s v="Credit Card"/>
  </r>
  <r>
    <n v="4113"/>
    <x v="16"/>
    <n v="171"/>
    <x v="7"/>
    <n v="3.6"/>
    <s v="Cash"/>
  </r>
  <r>
    <n v="4117"/>
    <x v="3"/>
    <n v="98.967741935483801"/>
    <x v="337"/>
    <n v="2.8"/>
    <s v="Credit Card"/>
  </r>
  <r>
    <n v="4067"/>
    <x v="22"/>
    <n v="76"/>
    <x v="322"/>
    <n v="2.8"/>
    <s v="Credit Card"/>
  </r>
  <r>
    <n v="3973"/>
    <x v="9"/>
    <n v="153"/>
    <x v="18"/>
    <n v="4.7"/>
    <s v="Cash"/>
  </r>
  <r>
    <n v="3983"/>
    <x v="28"/>
    <n v="75"/>
    <x v="120"/>
    <n v="2.8"/>
    <s v="Credit Card"/>
  </r>
  <r>
    <n v="3971"/>
    <x v="17"/>
    <n v="115"/>
    <x v="7"/>
    <n v="1.7"/>
    <s v="Credit Card"/>
  </r>
  <r>
    <n v="4100"/>
    <x v="38"/>
    <n v="106.80769230769199"/>
    <x v="13"/>
    <n v="2.6"/>
    <s v="Cash"/>
  </r>
  <r>
    <n v="3970"/>
    <x v="17"/>
    <n v="165"/>
    <x v="344"/>
    <n v="1.8"/>
    <s v="Credit Card"/>
  </r>
  <r>
    <n v="4032"/>
    <x v="48"/>
    <n v="123.21818181818099"/>
    <x v="360"/>
    <n v="3.6"/>
    <s v="Credit Card"/>
  </r>
  <r>
    <n v="4054"/>
    <x v="25"/>
    <n v="176"/>
    <x v="146"/>
    <n v="3.2016129032257998"/>
    <s v="Credit Card"/>
  </r>
  <r>
    <n v="4059"/>
    <x v="14"/>
    <n v="82"/>
    <x v="349"/>
    <n v="2.1"/>
    <s v="Cash"/>
  </r>
  <r>
    <n v="3981"/>
    <x v="45"/>
    <n v="182"/>
    <x v="260"/>
    <n v="4.9000000000000004"/>
    <s v="Cash"/>
  </r>
  <r>
    <n v="4115"/>
    <x v="4"/>
    <n v="198"/>
    <x v="68"/>
    <n v="2.8333333333333299"/>
    <s v="Cash"/>
  </r>
  <r>
    <n v="4062"/>
    <x v="14"/>
    <n v="30"/>
    <x v="338"/>
    <n v="4.9000000000000004"/>
    <s v="Cash"/>
  </r>
  <r>
    <n v="4016"/>
    <x v="3"/>
    <n v="83"/>
    <x v="154"/>
    <n v="3.1"/>
    <s v="Credit Card"/>
  </r>
  <r>
    <n v="4110"/>
    <x v="26"/>
    <n v="47"/>
    <x v="163"/>
    <n v="1.6"/>
    <s v="Cash"/>
  </r>
  <r>
    <n v="4116"/>
    <x v="49"/>
    <n v="173"/>
    <x v="97"/>
    <n v="4.7"/>
    <s v="Credit Card"/>
  </r>
  <r>
    <n v="3959"/>
    <x v="24"/>
    <n v="96"/>
    <x v="86"/>
    <n v="3.9"/>
    <s v="Credit Card"/>
  </r>
  <r>
    <n v="4073"/>
    <x v="34"/>
    <n v="166"/>
    <x v="119"/>
    <n v="4.3"/>
    <s v="Credit Card"/>
  </r>
  <r>
    <n v="4055"/>
    <x v="22"/>
    <n v="28"/>
    <x v="364"/>
    <n v="3.3"/>
    <s v="Cash"/>
  </r>
  <r>
    <n v="4075"/>
    <x v="43"/>
    <n v="111.564102564102"/>
    <x v="227"/>
    <n v="4"/>
    <s v="Cash"/>
  </r>
  <r>
    <n v="4066"/>
    <x v="40"/>
    <n v="90"/>
    <x v="10"/>
    <n v="3.1"/>
    <s v="Cash"/>
  </r>
  <r>
    <n v="4115"/>
    <x v="6"/>
    <n v="84"/>
    <x v="86"/>
    <n v="1"/>
    <s v="Credit Card"/>
  </r>
  <r>
    <n v="4115"/>
    <x v="37"/>
    <n v="164"/>
    <x v="128"/>
    <n v="3.7"/>
    <s v="Credit Card"/>
  </r>
  <r>
    <n v="3982"/>
    <x v="22"/>
    <n v="79"/>
    <x v="81"/>
    <n v="2.5"/>
    <s v="Credit Card"/>
  </r>
  <r>
    <n v="4043"/>
    <x v="2"/>
    <n v="102"/>
    <x v="266"/>
    <n v="4.5"/>
    <s v="Cash"/>
  </r>
  <r>
    <n v="3963"/>
    <x v="38"/>
    <n v="143"/>
    <x v="19"/>
    <n v="4.5"/>
    <s v="Cash"/>
  </r>
  <r>
    <n v="4073"/>
    <x v="10"/>
    <n v="115"/>
    <x v="296"/>
    <n v="2.6"/>
    <s v="Credit Card"/>
  </r>
  <r>
    <n v="4089"/>
    <x v="21"/>
    <n v="107.68518518518501"/>
    <x v="212"/>
    <n v="2.2999999999999998"/>
    <s v="Cash"/>
  </r>
  <r>
    <n v="4041"/>
    <x v="27"/>
    <n v="42"/>
    <x v="333"/>
    <n v="1.2"/>
    <s v="Cash"/>
  </r>
  <r>
    <n v="4107"/>
    <x v="38"/>
    <n v="179"/>
    <x v="342"/>
    <n v="1.7"/>
    <s v="Credit Card"/>
  </r>
  <r>
    <n v="4006"/>
    <x v="24"/>
    <n v="200"/>
    <x v="315"/>
    <n v="1.7"/>
    <s v="Credit Card"/>
  </r>
  <r>
    <n v="3984"/>
    <x v="7"/>
    <n v="30"/>
    <x v="133"/>
    <n v="4.4000000000000004"/>
    <s v="Cash"/>
  </r>
  <r>
    <n v="3983"/>
    <x v="36"/>
    <n v="111"/>
    <x v="271"/>
    <n v="1.7"/>
    <s v="Cash"/>
  </r>
  <r>
    <n v="3960"/>
    <x v="30"/>
    <n v="84.528571428571396"/>
    <x v="319"/>
    <n v="2.8"/>
    <s v="Cash"/>
  </r>
  <r>
    <n v="4109"/>
    <x v="26"/>
    <n v="111.854838709677"/>
    <x v="119"/>
    <n v="1.6"/>
    <s v="Cash"/>
  </r>
  <r>
    <n v="3974"/>
    <x v="20"/>
    <n v="150"/>
    <x v="237"/>
    <n v="3.4"/>
    <s v="Credit Card"/>
  </r>
  <r>
    <n v="4108"/>
    <x v="40"/>
    <n v="114.396551724137"/>
    <x v="307"/>
    <n v="2"/>
    <s v="Cash"/>
  </r>
  <r>
    <n v="4006"/>
    <x v="35"/>
    <n v="144"/>
    <x v="198"/>
    <n v="3.7"/>
    <s v="Credit Card"/>
  </r>
  <r>
    <n v="4103"/>
    <x v="7"/>
    <n v="31"/>
    <x v="229"/>
    <n v="4.4000000000000004"/>
    <s v="Credit Card"/>
  </r>
  <r>
    <n v="3989"/>
    <x v="15"/>
    <n v="119.195652173913"/>
    <x v="57"/>
    <n v="4.3"/>
    <s v="Credit Card"/>
  </r>
  <r>
    <n v="4120"/>
    <x v="24"/>
    <n v="31"/>
    <x v="85"/>
    <n v="4.8"/>
    <s v="Credit Card"/>
  </r>
  <r>
    <n v="4087"/>
    <x v="44"/>
    <n v="109"/>
    <x v="132"/>
    <n v="4.5999999999999996"/>
    <s v="Credit Card"/>
  </r>
  <r>
    <n v="4022"/>
    <x v="27"/>
    <n v="73"/>
    <x v="306"/>
    <n v="1.4"/>
    <s v="Cash"/>
  </r>
  <r>
    <n v="4047"/>
    <x v="38"/>
    <n v="123"/>
    <x v="71"/>
    <n v="2"/>
    <s v="Credit Card"/>
  </r>
  <r>
    <n v="4064"/>
    <x v="21"/>
    <n v="43"/>
    <x v="183"/>
    <n v="4.7"/>
    <s v="Credit Card"/>
  </r>
  <r>
    <n v="4080"/>
    <x v="11"/>
    <n v="53"/>
    <x v="262"/>
    <n v="4"/>
    <s v="Cash"/>
  </r>
  <r>
    <n v="4115"/>
    <x v="26"/>
    <n v="111.854838709677"/>
    <x v="182"/>
    <n v="4.7"/>
    <s v="Cash"/>
  </r>
  <r>
    <n v="4070"/>
    <x v="4"/>
    <n v="93"/>
    <x v="140"/>
    <n v="4.8"/>
    <s v="Cash"/>
  </r>
  <r>
    <n v="4004"/>
    <x v="48"/>
    <n v="129"/>
    <x v="7"/>
    <n v="4.9000000000000004"/>
    <s v="Cash"/>
  </r>
  <r>
    <n v="4019"/>
    <x v="40"/>
    <n v="148"/>
    <x v="319"/>
    <n v="4.8"/>
    <s v="Cash"/>
  </r>
  <r>
    <n v="3992"/>
    <x v="32"/>
    <n v="150"/>
    <x v="17"/>
    <n v="3.8"/>
    <s v="Cash"/>
  </r>
  <r>
    <n v="3968"/>
    <x v="26"/>
    <n v="188"/>
    <x v="176"/>
    <n v="3.4"/>
    <s v="Cash"/>
  </r>
  <r>
    <n v="3972"/>
    <x v="28"/>
    <n v="161"/>
    <x v="52"/>
    <n v="1.4"/>
    <s v="Cash"/>
  </r>
  <r>
    <n v="3989"/>
    <x v="2"/>
    <n v="171"/>
    <x v="127"/>
    <n v="4.8"/>
    <s v="Credit Card"/>
  </r>
  <r>
    <n v="4036"/>
    <x v="40"/>
    <n v="154"/>
    <x v="23"/>
    <n v="3.8"/>
    <s v="Credit Card"/>
  </r>
  <r>
    <n v="4106"/>
    <x v="46"/>
    <n v="173"/>
    <x v="188"/>
    <n v="1.1000000000000001"/>
    <s v="Cash"/>
  </r>
  <r>
    <n v="4068"/>
    <x v="1"/>
    <n v="89"/>
    <x v="110"/>
    <n v="3.1"/>
    <s v="Cash"/>
  </r>
  <r>
    <n v="4088"/>
    <x v="15"/>
    <n v="133"/>
    <x v="202"/>
    <n v="4.8"/>
    <s v="Credit Card"/>
  </r>
  <r>
    <n v="4048"/>
    <x v="39"/>
    <n v="32"/>
    <x v="227"/>
    <n v="1.1000000000000001"/>
    <s v="Credit Card"/>
  </r>
  <r>
    <n v="4036"/>
    <x v="21"/>
    <n v="103"/>
    <x v="14"/>
    <n v="3"/>
    <s v="Cash"/>
  </r>
  <r>
    <n v="4106"/>
    <x v="14"/>
    <n v="49"/>
    <x v="48"/>
    <n v="4.3"/>
    <s v="Cash"/>
  </r>
  <r>
    <n v="4095"/>
    <x v="16"/>
    <n v="10"/>
    <x v="180"/>
    <n v="1.8"/>
    <s v="Cash"/>
  </r>
  <r>
    <n v="3994"/>
    <x v="12"/>
    <n v="44"/>
    <x v="87"/>
    <n v="1.5"/>
    <s v="Cash"/>
  </r>
  <r>
    <n v="3994"/>
    <x v="34"/>
    <n v="130"/>
    <x v="363"/>
    <n v="3"/>
    <s v="Credit Card"/>
  </r>
  <r>
    <n v="4077"/>
    <x v="38"/>
    <n v="186"/>
    <x v="349"/>
    <n v="4.7"/>
    <s v="Credit Card"/>
  </r>
  <r>
    <n v="4036"/>
    <x v="11"/>
    <n v="132"/>
    <x v="19"/>
    <n v="2.9"/>
    <s v="Cash"/>
  </r>
  <r>
    <n v="4111"/>
    <x v="30"/>
    <n v="120"/>
    <x v="341"/>
    <n v="1.2"/>
    <s v="Credit Card"/>
  </r>
  <r>
    <n v="4044"/>
    <x v="47"/>
    <n v="162"/>
    <x v="204"/>
    <n v="3.8"/>
    <s v="Credit Card"/>
  </r>
  <r>
    <n v="4031"/>
    <x v="49"/>
    <n v="11"/>
    <x v="145"/>
    <n v="2.1"/>
    <s v="Credit Card"/>
  </r>
  <r>
    <n v="4051"/>
    <x v="49"/>
    <n v="58"/>
    <x v="261"/>
    <n v="3.19629629629629"/>
    <s v="Cash"/>
  </r>
  <r>
    <n v="3959"/>
    <x v="37"/>
    <n v="153"/>
    <x v="28"/>
    <n v="1.8"/>
    <s v="Cash"/>
  </r>
  <r>
    <n v="4089"/>
    <x v="6"/>
    <n v="73"/>
    <x v="252"/>
    <n v="2.2999999999999998"/>
    <s v="Credit Card"/>
  </r>
  <r>
    <n v="4107"/>
    <x v="7"/>
    <n v="103.564102564102"/>
    <x v="294"/>
    <n v="2.2999999999999998"/>
    <s v="Credit Card"/>
  </r>
  <r>
    <n v="3994"/>
    <x v="5"/>
    <n v="109"/>
    <x v="191"/>
    <n v="1.4"/>
    <s v="Cash"/>
  </r>
  <r>
    <n v="3971"/>
    <x v="28"/>
    <n v="66"/>
    <x v="10"/>
    <n v="2.5"/>
    <s v="Cash"/>
  </r>
  <r>
    <n v="4017"/>
    <x v="6"/>
    <n v="118"/>
    <x v="332"/>
    <n v="4.3"/>
    <s v="Credit Card"/>
  </r>
  <r>
    <n v="4086"/>
    <x v="48"/>
    <n v="142"/>
    <x v="141"/>
    <n v="4.4000000000000004"/>
    <s v="Credit Card"/>
  </r>
  <r>
    <n v="4100"/>
    <x v="18"/>
    <n v="166"/>
    <x v="49"/>
    <n v="2"/>
    <s v="Cash"/>
  </r>
  <r>
    <n v="3970"/>
    <x v="44"/>
    <n v="185"/>
    <x v="290"/>
    <n v="4.4000000000000004"/>
    <s v="Credit Card"/>
  </r>
  <r>
    <n v="4065"/>
    <x v="20"/>
    <n v="176"/>
    <x v="13"/>
    <n v="3.1651515151515102"/>
    <s v="Cash"/>
  </r>
  <r>
    <n v="4045"/>
    <x v="28"/>
    <n v="78"/>
    <x v="293"/>
    <n v="2.1"/>
    <s v="Credit Card"/>
  </r>
  <r>
    <n v="4007"/>
    <x v="44"/>
    <n v="27"/>
    <x v="41"/>
    <n v="3.8"/>
    <s v="Credit Card"/>
  </r>
  <r>
    <n v="4008"/>
    <x v="41"/>
    <n v="117.354166666666"/>
    <x v="361"/>
    <n v="1.4"/>
    <s v="Cash"/>
  </r>
  <r>
    <n v="4120"/>
    <x v="36"/>
    <n v="173"/>
    <x v="328"/>
    <n v="4.2"/>
    <s v="Credit Card"/>
  </r>
  <r>
    <n v="4008"/>
    <x v="26"/>
    <n v="125"/>
    <x v="262"/>
    <n v="3"/>
    <s v="Cash"/>
  </r>
  <r>
    <n v="3974"/>
    <x v="48"/>
    <n v="169"/>
    <x v="71"/>
    <n v="2.8"/>
    <s v="Cash"/>
  </r>
  <r>
    <n v="4044"/>
    <x v="37"/>
    <n v="92"/>
    <x v="247"/>
    <n v="4.8"/>
    <s v="Cash"/>
  </r>
  <r>
    <n v="4005"/>
    <x v="45"/>
    <n v="106.297872340425"/>
    <x v="224"/>
    <n v="3.4"/>
    <s v="Cash"/>
  </r>
  <r>
    <n v="4078"/>
    <x v="7"/>
    <n v="103.564102564102"/>
    <x v="319"/>
    <n v="1.2"/>
    <s v="Cash"/>
  </r>
  <r>
    <n v="4076"/>
    <x v="12"/>
    <n v="57"/>
    <x v="238"/>
    <n v="1.5"/>
    <s v="Credit Card"/>
  </r>
  <r>
    <n v="4110"/>
    <x v="47"/>
    <n v="82"/>
    <x v="94"/>
    <n v="2.1"/>
    <s v="Credit Card"/>
  </r>
  <r>
    <n v="4041"/>
    <x v="20"/>
    <n v="193"/>
    <x v="256"/>
    <n v="4.4000000000000004"/>
    <s v="Credit Card"/>
  </r>
  <r>
    <n v="4105"/>
    <x v="4"/>
    <n v="12"/>
    <x v="7"/>
    <n v="4.4000000000000004"/>
    <s v="Credit Card"/>
  </r>
  <r>
    <n v="4101"/>
    <x v="40"/>
    <n v="48"/>
    <x v="66"/>
    <n v="1.7"/>
    <s v="Cash"/>
  </r>
  <r>
    <n v="4042"/>
    <x v="46"/>
    <n v="107.26027397260199"/>
    <x v="198"/>
    <n v="2.2999999999999998"/>
    <s v="Cash"/>
  </r>
  <r>
    <n v="4114"/>
    <x v="9"/>
    <n v="117"/>
    <x v="62"/>
    <n v="4.2"/>
    <s v="Cash"/>
  </r>
  <r>
    <n v="4033"/>
    <x v="21"/>
    <n v="137"/>
    <x v="100"/>
    <n v="1.2"/>
    <s v="Cash"/>
  </r>
  <r>
    <n v="4064"/>
    <x v="12"/>
    <n v="128"/>
    <x v="206"/>
    <n v="4.0999999999999996"/>
    <s v="Credit Card"/>
  </r>
  <r>
    <n v="4041"/>
    <x v="3"/>
    <n v="18"/>
    <x v="50"/>
    <n v="4.2"/>
    <s v="Credit Card"/>
  </r>
  <r>
    <n v="3998"/>
    <x v="25"/>
    <n v="47"/>
    <x v="222"/>
    <n v="2.8"/>
    <s v="Credit Card"/>
  </r>
  <r>
    <n v="3983"/>
    <x v="15"/>
    <n v="119.195652173913"/>
    <x v="34"/>
    <n v="1.7"/>
    <s v="Credit Card"/>
  </r>
  <r>
    <n v="4073"/>
    <x v="30"/>
    <n v="28"/>
    <x v="155"/>
    <n v="2.4"/>
    <s v="Credit Card"/>
  </r>
  <r>
    <n v="3967"/>
    <x v="13"/>
    <n v="56"/>
    <x v="6"/>
    <n v="4"/>
    <s v="Credit Card"/>
  </r>
  <r>
    <n v="4083"/>
    <x v="16"/>
    <n v="102.74"/>
    <x v="267"/>
    <n v="3.2"/>
    <s v="Credit Card"/>
  </r>
  <r>
    <n v="4013"/>
    <x v="20"/>
    <n v="107"/>
    <x v="215"/>
    <n v="3.4"/>
    <s v="Cash"/>
  </r>
  <r>
    <n v="3957"/>
    <x v="30"/>
    <n v="41"/>
    <x v="27"/>
    <n v="4.2"/>
    <s v="Credit Card"/>
  </r>
  <r>
    <n v="4120"/>
    <x v="48"/>
    <n v="192"/>
    <x v="337"/>
    <n v="3.9"/>
    <s v="Credit Card"/>
  </r>
  <r>
    <n v="4014"/>
    <x v="28"/>
    <n v="123"/>
    <x v="88"/>
    <n v="1.7"/>
    <s v="Cash"/>
  </r>
  <r>
    <n v="4015"/>
    <x v="15"/>
    <n v="18"/>
    <x v="205"/>
    <n v="4.8"/>
    <s v="Cash"/>
  </r>
  <r>
    <n v="4076"/>
    <x v="2"/>
    <n v="100.68"/>
    <x v="257"/>
    <n v="4.9000000000000004"/>
    <s v="Credit Card"/>
  </r>
  <r>
    <n v="4116"/>
    <x v="39"/>
    <n v="34"/>
    <x v="1"/>
    <n v="2.7"/>
    <s v="Credit Card"/>
  </r>
  <r>
    <n v="4011"/>
    <x v="6"/>
    <n v="63"/>
    <x v="283"/>
    <n v="1.5"/>
    <s v="Credit Card"/>
  </r>
  <r>
    <n v="4018"/>
    <x v="22"/>
    <n v="184"/>
    <x v="57"/>
    <n v="4.5"/>
    <s v="Credit Card"/>
  </r>
  <r>
    <n v="4080"/>
    <x v="35"/>
    <n v="92"/>
    <x v="273"/>
    <n v="3.0156626506023998"/>
    <s v="Credit Card"/>
  </r>
  <r>
    <n v="4041"/>
    <x v="41"/>
    <n v="117.354166666666"/>
    <x v="347"/>
    <n v="2.5"/>
    <s v="Credit Card"/>
  </r>
  <r>
    <n v="4053"/>
    <x v="17"/>
    <n v="200"/>
    <x v="234"/>
    <n v="3.6"/>
    <s v="Credit Card"/>
  </r>
  <r>
    <n v="4009"/>
    <x v="6"/>
    <n v="143"/>
    <x v="284"/>
    <n v="4.8"/>
    <s v="Cash"/>
  </r>
  <r>
    <n v="4059"/>
    <x v="31"/>
    <n v="113.54098360655701"/>
    <x v="281"/>
    <n v="4.5"/>
    <s v="Credit Card"/>
  </r>
  <r>
    <n v="4004"/>
    <x v="29"/>
    <n v="86"/>
    <x v="55"/>
    <n v="4.3"/>
    <s v="Cash"/>
  </r>
  <r>
    <n v="3958"/>
    <x v="23"/>
    <n v="112.745762711864"/>
    <x v="257"/>
    <n v="4.5"/>
    <s v="Cash"/>
  </r>
  <r>
    <n v="4049"/>
    <x v="25"/>
    <n v="180"/>
    <x v="37"/>
    <n v="3.2016129032257998"/>
    <s v="Cash"/>
  </r>
  <r>
    <n v="3959"/>
    <x v="49"/>
    <n v="38"/>
    <x v="149"/>
    <n v="3.19629629629629"/>
    <s v="Credit Card"/>
  </r>
  <r>
    <n v="3975"/>
    <x v="9"/>
    <n v="121"/>
    <x v="182"/>
    <n v="1.1000000000000001"/>
    <s v="Credit Card"/>
  </r>
  <r>
    <n v="4048"/>
    <x v="25"/>
    <n v="52"/>
    <x v="282"/>
    <n v="3.5"/>
    <s v="Credit Card"/>
  </r>
  <r>
    <n v="3964"/>
    <x v="21"/>
    <n v="159"/>
    <x v="61"/>
    <n v="1.7"/>
    <s v="Credit Card"/>
  </r>
  <r>
    <n v="4099"/>
    <x v="18"/>
    <n v="105.95348837209301"/>
    <x v="244"/>
    <n v="2.2000000000000002"/>
    <s v="Credit Card"/>
  </r>
  <r>
    <n v="3986"/>
    <x v="5"/>
    <n v="12"/>
    <x v="343"/>
    <n v="3.1"/>
    <s v="Credit Card"/>
  </r>
  <r>
    <n v="3993"/>
    <x v="12"/>
    <n v="158"/>
    <x v="123"/>
    <n v="3.3"/>
    <s v="Cash"/>
  </r>
  <r>
    <n v="4031"/>
    <x v="24"/>
    <n v="131"/>
    <x v="44"/>
    <n v="3"/>
    <s v="Credit Card"/>
  </r>
  <r>
    <n v="4069"/>
    <x v="44"/>
    <n v="49"/>
    <x v="169"/>
    <n v="4.4000000000000004"/>
    <s v="Cash"/>
  </r>
  <r>
    <n v="4006"/>
    <x v="21"/>
    <n v="32"/>
    <x v="284"/>
    <n v="1.9"/>
    <s v="Credit Card"/>
  </r>
  <r>
    <n v="4118"/>
    <x v="48"/>
    <n v="137"/>
    <x v="188"/>
    <n v="3.5"/>
    <s v="Credit Card"/>
  </r>
  <r>
    <n v="4106"/>
    <x v="7"/>
    <n v="103.564102564102"/>
    <x v="319"/>
    <n v="4.8"/>
    <s v="Credit Card"/>
  </r>
  <r>
    <n v="4049"/>
    <x v="42"/>
    <n v="170"/>
    <x v="259"/>
    <n v="1.6"/>
    <s v="Cash"/>
  </r>
  <r>
    <n v="3968"/>
    <x v="32"/>
    <n v="110.431818181818"/>
    <x v="109"/>
    <n v="3.0125000000000002"/>
    <s v="Credit Card"/>
  </r>
  <r>
    <n v="3964"/>
    <x v="13"/>
    <n v="49"/>
    <x v="109"/>
    <n v="3.1"/>
    <s v="Credit Card"/>
  </r>
  <r>
    <n v="4007"/>
    <x v="9"/>
    <n v="37"/>
    <x v="364"/>
    <n v="1.7"/>
    <s v="Credit Card"/>
  </r>
  <r>
    <n v="4007"/>
    <x v="37"/>
    <n v="108.54716981132"/>
    <x v="247"/>
    <n v="1.8"/>
    <s v="Cash"/>
  </r>
  <r>
    <n v="4029"/>
    <x v="29"/>
    <n v="152"/>
    <x v="98"/>
    <n v="3.1"/>
    <s v="Credit Card"/>
  </r>
  <r>
    <n v="4001"/>
    <x v="1"/>
    <n v="98"/>
    <x v="121"/>
    <n v="1.7"/>
    <s v="Cash"/>
  </r>
  <r>
    <n v="4013"/>
    <x v="32"/>
    <n v="122"/>
    <x v="144"/>
    <n v="4.3"/>
    <s v="Cash"/>
  </r>
  <r>
    <n v="4024"/>
    <x v="12"/>
    <n v="15"/>
    <x v="191"/>
    <n v="1.8"/>
    <s v="Credit Card"/>
  </r>
  <r>
    <n v="4001"/>
    <x v="22"/>
    <n v="101"/>
    <x v="222"/>
    <n v="3.1712328767123199"/>
    <s v="Cash"/>
  </r>
  <r>
    <n v="4043"/>
    <x v="7"/>
    <n v="74"/>
    <x v="46"/>
    <n v="1.6"/>
    <s v="Credit Card"/>
  </r>
  <r>
    <n v="4098"/>
    <x v="43"/>
    <n v="134"/>
    <x v="174"/>
    <n v="1"/>
    <s v="Cash"/>
  </r>
  <r>
    <n v="4019"/>
    <x v="46"/>
    <n v="153"/>
    <x v="211"/>
    <n v="1.4"/>
    <s v="Cash"/>
  </r>
  <r>
    <n v="4002"/>
    <x v="35"/>
    <n v="188"/>
    <x v="127"/>
    <n v="1"/>
    <s v="Credit Card"/>
  </r>
  <r>
    <n v="4007"/>
    <x v="36"/>
    <n v="155"/>
    <x v="201"/>
    <n v="3.0230769230769199"/>
    <s v="Cash"/>
  </r>
  <r>
    <n v="3962"/>
    <x v="39"/>
    <n v="93.135593220338905"/>
    <x v="342"/>
    <n v="2"/>
    <s v="Cash"/>
  </r>
  <r>
    <n v="4002"/>
    <x v="48"/>
    <n v="197"/>
    <x v="3"/>
    <n v="3.9"/>
    <s v="Cash"/>
  </r>
  <r>
    <n v="4024"/>
    <x v="14"/>
    <n v="163"/>
    <x v="301"/>
    <n v="1.1000000000000001"/>
    <s v="Cash"/>
  </r>
  <r>
    <n v="3982"/>
    <x v="46"/>
    <n v="151"/>
    <x v="177"/>
    <n v="2.9"/>
    <s v="Credit Card"/>
  </r>
  <r>
    <n v="3962"/>
    <x v="26"/>
    <n v="111.854838709677"/>
    <x v="3"/>
    <n v="1.3"/>
    <s v="Credit Card"/>
  </r>
  <r>
    <n v="3992"/>
    <x v="28"/>
    <n v="125"/>
    <x v="112"/>
    <n v="4.0999999999999996"/>
    <s v="Credit Card"/>
  </r>
  <r>
    <n v="4054"/>
    <x v="21"/>
    <n v="77"/>
    <x v="203"/>
    <n v="2.9"/>
    <s v="Credit Card"/>
  </r>
  <r>
    <n v="3985"/>
    <x v="30"/>
    <n v="126"/>
    <x v="326"/>
    <n v="4"/>
    <s v="Cash"/>
  </r>
  <r>
    <n v="4043"/>
    <x v="36"/>
    <n v="103.222222222222"/>
    <x v="91"/>
    <n v="3.5"/>
    <s v="Credit Card"/>
  </r>
  <r>
    <n v="4010"/>
    <x v="21"/>
    <n v="107"/>
    <x v="292"/>
    <n v="2.5"/>
    <s v="Credit Card"/>
  </r>
  <r>
    <n v="4035"/>
    <x v="30"/>
    <n v="14"/>
    <x v="244"/>
    <n v="4.8"/>
    <s v="Cash"/>
  </r>
  <r>
    <n v="4073"/>
    <x v="12"/>
    <n v="103"/>
    <x v="33"/>
    <n v="3.5"/>
    <s v="Credit Card"/>
  </r>
  <r>
    <n v="4018"/>
    <x v="14"/>
    <n v="71"/>
    <x v="93"/>
    <n v="4.0999999999999996"/>
    <s v="Credit Card"/>
  </r>
  <r>
    <n v="4051"/>
    <x v="43"/>
    <n v="26"/>
    <x v="321"/>
    <n v="2.8"/>
    <s v="Credit Card"/>
  </r>
  <r>
    <n v="4052"/>
    <x v="33"/>
    <n v="147"/>
    <x v="331"/>
    <n v="3.2"/>
    <s v="Cash"/>
  </r>
  <r>
    <n v="4000"/>
    <x v="20"/>
    <n v="58"/>
    <x v="313"/>
    <n v="2.6"/>
    <s v="Credit Card"/>
  </r>
  <r>
    <n v="4091"/>
    <x v="38"/>
    <n v="137"/>
    <x v="284"/>
    <n v="1.7"/>
    <s v="Credit Card"/>
  </r>
  <r>
    <n v="4116"/>
    <x v="37"/>
    <n v="49"/>
    <x v="314"/>
    <n v="1.5"/>
    <s v="Credit Card"/>
  </r>
  <r>
    <n v="4068"/>
    <x v="28"/>
    <n v="92"/>
    <x v="217"/>
    <n v="1.3"/>
    <s v="Cash"/>
  </r>
  <r>
    <n v="3973"/>
    <x v="14"/>
    <n v="92"/>
    <x v="243"/>
    <n v="1.8"/>
    <s v="Credit Card"/>
  </r>
  <r>
    <n v="3987"/>
    <x v="27"/>
    <n v="108.734693877551"/>
    <x v="160"/>
    <n v="3.9"/>
    <s v="Cash"/>
  </r>
  <r>
    <n v="3993"/>
    <x v="14"/>
    <n v="27"/>
    <x v="127"/>
    <n v="3.6"/>
    <s v="Cash"/>
  </r>
  <r>
    <n v="3990"/>
    <x v="26"/>
    <n v="111.854838709677"/>
    <x v="80"/>
    <n v="4.8"/>
    <s v="Cash"/>
  </r>
  <r>
    <n v="4005"/>
    <x v="36"/>
    <n v="55"/>
    <x v="15"/>
    <n v="2.2999999999999998"/>
    <s v="Credit Card"/>
  </r>
  <r>
    <n v="4006"/>
    <x v="1"/>
    <n v="61"/>
    <x v="160"/>
    <n v="3.3"/>
    <s v="Cash"/>
  </r>
  <r>
    <n v="4093"/>
    <x v="17"/>
    <n v="117.172413793103"/>
    <x v="338"/>
    <n v="3.5"/>
    <s v="Credit Card"/>
  </r>
  <r>
    <n v="4053"/>
    <x v="14"/>
    <n v="110.56666666666599"/>
    <x v="4"/>
    <n v="4.5"/>
    <s v="Credit Card"/>
  </r>
  <r>
    <n v="4052"/>
    <x v="32"/>
    <n v="110.431818181818"/>
    <x v="113"/>
    <n v="3.9"/>
    <s v="Credit Card"/>
  </r>
  <r>
    <n v="4038"/>
    <x v="46"/>
    <n v="109"/>
    <x v="65"/>
    <n v="3.6"/>
    <s v="Cash"/>
  </r>
  <r>
    <n v="4110"/>
    <x v="19"/>
    <n v="144"/>
    <x v="98"/>
    <n v="3.6"/>
    <s v="Credit Card"/>
  </r>
  <r>
    <n v="4066"/>
    <x v="28"/>
    <n v="161"/>
    <x v="224"/>
    <n v="3.2"/>
    <s v="Credit Card"/>
  </r>
  <r>
    <n v="4119"/>
    <x v="37"/>
    <n v="103"/>
    <x v="350"/>
    <n v="1.7"/>
    <s v="Cash"/>
  </r>
  <r>
    <n v="4019"/>
    <x v="26"/>
    <n v="193"/>
    <x v="29"/>
    <n v="3.8"/>
    <s v="Credit Card"/>
  </r>
  <r>
    <n v="3968"/>
    <x v="35"/>
    <n v="97.720588235294102"/>
    <x v="46"/>
    <n v="3.3"/>
    <s v="Cash"/>
  </r>
  <r>
    <n v="4114"/>
    <x v="48"/>
    <n v="63"/>
    <x v="357"/>
    <n v="1.8"/>
    <s v="Credit Card"/>
  </r>
  <r>
    <n v="4107"/>
    <x v="20"/>
    <n v="30"/>
    <x v="172"/>
    <n v="2.2000000000000002"/>
    <s v="Cash"/>
  </r>
  <r>
    <n v="4005"/>
    <x v="26"/>
    <n v="173"/>
    <x v="356"/>
    <n v="3"/>
    <s v="Cash"/>
  </r>
  <r>
    <n v="4094"/>
    <x v="19"/>
    <n v="120.22"/>
    <x v="267"/>
    <n v="3.9"/>
    <s v="Cash"/>
  </r>
  <r>
    <n v="4032"/>
    <x v="44"/>
    <n v="116"/>
    <x v="232"/>
    <n v="1.9"/>
    <s v="Credit Card"/>
  </r>
  <r>
    <n v="3995"/>
    <x v="8"/>
    <n v="191"/>
    <x v="247"/>
    <n v="2.2000000000000002"/>
    <s v="Cash"/>
  </r>
  <r>
    <n v="4040"/>
    <x v="48"/>
    <n v="123.21818181818099"/>
    <x v="172"/>
    <n v="3.3"/>
    <s v="Cash"/>
  </r>
  <r>
    <n v="4020"/>
    <x v="14"/>
    <n v="145"/>
    <x v="341"/>
    <n v="2"/>
    <s v="Cash"/>
  </r>
  <r>
    <n v="3970"/>
    <x v="34"/>
    <n v="90.925925925925895"/>
    <x v="196"/>
    <n v="4.0999999999999996"/>
    <s v="Cash"/>
  </r>
  <r>
    <n v="4118"/>
    <x v="20"/>
    <n v="107.949152542372"/>
    <x v="38"/>
    <n v="3.9"/>
    <s v="Cash"/>
  </r>
  <r>
    <n v="4028"/>
    <x v="47"/>
    <n v="65"/>
    <x v="146"/>
    <n v="2.8"/>
    <s v="Cash"/>
  </r>
  <r>
    <n v="3989"/>
    <x v="33"/>
    <n v="34"/>
    <x v="352"/>
    <n v="4.4000000000000004"/>
    <s v="Cash"/>
  </r>
  <r>
    <n v="4087"/>
    <x v="30"/>
    <n v="84.528571428571396"/>
    <x v="268"/>
    <n v="1.7"/>
    <s v="Cash"/>
  </r>
  <r>
    <n v="4106"/>
    <x v="31"/>
    <n v="108"/>
    <x v="326"/>
    <n v="1.3"/>
    <s v="Cash"/>
  </r>
  <r>
    <n v="4082"/>
    <x v="45"/>
    <n v="106.297872340425"/>
    <x v="124"/>
    <n v="3.1235294117647001"/>
    <s v="Credit Card"/>
  </r>
  <r>
    <n v="4010"/>
    <x v="9"/>
    <n v="73"/>
    <x v="352"/>
    <n v="4.5999999999999996"/>
    <s v="Credit Card"/>
  </r>
  <r>
    <n v="3977"/>
    <x v="30"/>
    <n v="55"/>
    <x v="43"/>
    <n v="3.1"/>
    <s v="Credit Card"/>
  </r>
  <r>
    <n v="4077"/>
    <x v="3"/>
    <n v="152"/>
    <x v="353"/>
    <n v="1.5"/>
    <s v="Credit Card"/>
  </r>
  <r>
    <n v="4114"/>
    <x v="29"/>
    <n v="37"/>
    <x v="71"/>
    <n v="4.5999999999999996"/>
    <s v="Credit Card"/>
  </r>
  <r>
    <n v="3973"/>
    <x v="35"/>
    <n v="157"/>
    <x v="167"/>
    <n v="3.3"/>
    <s v="Cash"/>
  </r>
  <r>
    <n v="3999"/>
    <x v="32"/>
    <n v="127"/>
    <x v="264"/>
    <n v="4.7"/>
    <s v="Credit Card"/>
  </r>
  <r>
    <n v="4087"/>
    <x v="31"/>
    <n v="119"/>
    <x v="350"/>
    <n v="1.6"/>
    <s v="Credit Card"/>
  </r>
  <r>
    <n v="4056"/>
    <x v="14"/>
    <n v="52"/>
    <x v="324"/>
    <n v="4"/>
    <s v="Credit Card"/>
  </r>
  <r>
    <n v="4122"/>
    <x v="16"/>
    <n v="150"/>
    <x v="307"/>
    <n v="3.06153846153846"/>
    <s v="Credit Card"/>
  </r>
  <r>
    <n v="4087"/>
    <x v="1"/>
    <n v="96"/>
    <x v="191"/>
    <n v="2.6"/>
    <s v="Credit Card"/>
  </r>
  <r>
    <n v="4052"/>
    <x v="40"/>
    <n v="146"/>
    <x v="86"/>
    <n v="4.5"/>
    <s v="Credit Card"/>
  </r>
  <r>
    <n v="4084"/>
    <x v="48"/>
    <n v="123"/>
    <x v="132"/>
    <n v="1.7"/>
    <s v="Cash"/>
  </r>
  <r>
    <n v="4089"/>
    <x v="2"/>
    <n v="90"/>
    <x v="207"/>
    <n v="2.1"/>
    <s v="Cash"/>
  </r>
  <r>
    <n v="4075"/>
    <x v="21"/>
    <n v="93"/>
    <x v="111"/>
    <n v="3.4"/>
    <s v="Credit Card"/>
  </r>
  <r>
    <n v="4002"/>
    <x v="25"/>
    <n v="115"/>
    <x v="23"/>
    <n v="4.5"/>
    <s v="Credit Card"/>
  </r>
  <r>
    <n v="4039"/>
    <x v="23"/>
    <n v="120"/>
    <x v="321"/>
    <n v="3"/>
    <s v="Cash"/>
  </r>
  <r>
    <n v="4052"/>
    <x v="35"/>
    <n v="92"/>
    <x v="256"/>
    <n v="2.4"/>
    <s v="Credit Card"/>
  </r>
  <r>
    <n v="4091"/>
    <x v="42"/>
    <n v="154"/>
    <x v="6"/>
    <n v="4"/>
    <s v="Credit Card"/>
  </r>
  <r>
    <n v="4080"/>
    <x v="49"/>
    <n v="106"/>
    <x v="334"/>
    <n v="2.5"/>
    <s v="Cash"/>
  </r>
  <r>
    <n v="4083"/>
    <x v="44"/>
    <n v="200"/>
    <x v="135"/>
    <n v="1.7"/>
    <s v="Credit Card"/>
  </r>
  <r>
    <n v="4078"/>
    <x v="37"/>
    <n v="125"/>
    <x v="95"/>
    <n v="2.6"/>
    <s v="Cash"/>
  </r>
  <r>
    <n v="4025"/>
    <x v="4"/>
    <n v="111"/>
    <x v="72"/>
    <n v="2.8333333333333299"/>
    <s v="Cash"/>
  </r>
  <r>
    <n v="4105"/>
    <x v="37"/>
    <n v="108.54716981132"/>
    <x v="207"/>
    <n v="4"/>
    <s v="Cash"/>
  </r>
  <r>
    <n v="4059"/>
    <x v="24"/>
    <n v="103.267857142857"/>
    <x v="106"/>
    <n v="4.0999999999999996"/>
    <s v="Credit Card"/>
  </r>
  <r>
    <n v="4120"/>
    <x v="39"/>
    <n v="14"/>
    <x v="1"/>
    <n v="2.1"/>
    <s v="Cash"/>
  </r>
  <r>
    <n v="4106"/>
    <x v="35"/>
    <n v="87"/>
    <x v="206"/>
    <n v="4.7"/>
    <s v="Credit Card"/>
  </r>
  <r>
    <n v="3966"/>
    <x v="21"/>
    <n v="107.68518518518501"/>
    <x v="209"/>
    <n v="4.3"/>
    <s v="Cash"/>
  </r>
  <r>
    <n v="4010"/>
    <x v="10"/>
    <n v="64"/>
    <x v="216"/>
    <n v="3.3"/>
    <s v="Credit Card"/>
  </r>
  <r>
    <n v="4013"/>
    <x v="32"/>
    <n v="15"/>
    <x v="122"/>
    <n v="1.3"/>
    <s v="Cash"/>
  </r>
  <r>
    <n v="4008"/>
    <x v="8"/>
    <n v="186"/>
    <x v="248"/>
    <n v="1.7"/>
    <s v="Cash"/>
  </r>
  <r>
    <n v="4072"/>
    <x v="21"/>
    <n v="151"/>
    <x v="198"/>
    <n v="3.9"/>
    <s v="Credit Card"/>
  </r>
  <r>
    <n v="4017"/>
    <x v="47"/>
    <n v="156"/>
    <x v="17"/>
    <n v="4.5"/>
    <s v="Credit Card"/>
  </r>
  <r>
    <n v="4058"/>
    <x v="29"/>
    <n v="49"/>
    <x v="49"/>
    <n v="2.6590163934426201"/>
    <s v="Cash"/>
  </r>
  <r>
    <n v="4012"/>
    <x v="44"/>
    <n v="118.531914893617"/>
    <x v="220"/>
    <n v="3.3"/>
    <s v="Cash"/>
  </r>
  <r>
    <n v="4035"/>
    <x v="8"/>
    <n v="49"/>
    <x v="51"/>
    <n v="3.9"/>
    <s v="Credit Card"/>
  </r>
  <r>
    <n v="4065"/>
    <x v="13"/>
    <n v="103.108695652173"/>
    <x v="66"/>
    <n v="2.4"/>
    <s v="Credit Card"/>
  </r>
  <r>
    <n v="4053"/>
    <x v="33"/>
    <n v="159"/>
    <x v="207"/>
    <n v="3.4933333333333301"/>
    <s v="Cash"/>
  </r>
  <r>
    <n v="4103"/>
    <x v="29"/>
    <n v="75"/>
    <x v="150"/>
    <n v="2.9"/>
    <s v="Credit Card"/>
  </r>
  <r>
    <n v="3997"/>
    <x v="37"/>
    <n v="33"/>
    <x v="81"/>
    <n v="3.9"/>
    <s v="Credit Card"/>
  </r>
  <r>
    <n v="4052"/>
    <x v="37"/>
    <n v="155"/>
    <x v="250"/>
    <n v="3.4"/>
    <s v="Credit Card"/>
  </r>
  <r>
    <n v="4022"/>
    <x v="31"/>
    <n v="197"/>
    <x v="184"/>
    <n v="1"/>
    <s v="Credit Card"/>
  </r>
  <r>
    <n v="4097"/>
    <x v="37"/>
    <n v="108.54716981132"/>
    <x v="265"/>
    <n v="2.9"/>
    <s v="Cash"/>
  </r>
  <r>
    <n v="3978"/>
    <x v="39"/>
    <n v="133"/>
    <x v="36"/>
    <n v="3.4"/>
    <s v="Credit Card"/>
  </r>
  <r>
    <n v="3991"/>
    <x v="25"/>
    <n v="103.98245614035"/>
    <x v="321"/>
    <n v="3.2016129032257998"/>
    <s v="Credit Card"/>
  </r>
  <r>
    <n v="3978"/>
    <x v="36"/>
    <n v="186"/>
    <x v="302"/>
    <n v="1.6"/>
    <s v="Cash"/>
  </r>
  <r>
    <n v="4032"/>
    <x v="18"/>
    <n v="34"/>
    <x v="120"/>
    <n v="2.8545454545454501"/>
    <s v="Credit Card"/>
  </r>
  <r>
    <n v="4070"/>
    <x v="24"/>
    <n v="86"/>
    <x v="351"/>
    <n v="1.6"/>
    <s v="Credit Card"/>
  </r>
  <r>
    <n v="4089"/>
    <x v="23"/>
    <n v="112.745762711864"/>
    <x v="218"/>
    <n v="1.5"/>
    <s v="Cash"/>
  </r>
  <r>
    <n v="4047"/>
    <x v="35"/>
    <n v="107"/>
    <x v="331"/>
    <n v="3.8"/>
    <s v="Cash"/>
  </r>
  <r>
    <n v="4015"/>
    <x v="49"/>
    <n v="105.1"/>
    <x v="216"/>
    <n v="2.9"/>
    <s v="Credit Card"/>
  </r>
  <r>
    <n v="4106"/>
    <x v="8"/>
    <n v="120.375"/>
    <x v="54"/>
    <n v="1.2"/>
    <s v="Cash"/>
  </r>
  <r>
    <n v="3967"/>
    <x v="12"/>
    <n v="99"/>
    <x v="258"/>
    <n v="4"/>
    <s v="Cash"/>
  </r>
  <r>
    <n v="4076"/>
    <x v="5"/>
    <n v="121"/>
    <x v="273"/>
    <n v="2.8953488372092999"/>
    <s v="Credit Card"/>
  </r>
  <r>
    <n v="4088"/>
    <x v="22"/>
    <n v="40"/>
    <x v="230"/>
    <n v="2.6"/>
    <s v="Credit Card"/>
  </r>
  <r>
    <n v="4116"/>
    <x v="10"/>
    <n v="68"/>
    <x v="319"/>
    <n v="1.7"/>
    <s v="Credit Card"/>
  </r>
  <r>
    <n v="4043"/>
    <x v="34"/>
    <n v="164"/>
    <x v="138"/>
    <n v="3.9"/>
    <s v="Cash"/>
  </r>
  <r>
    <n v="4066"/>
    <x v="21"/>
    <n v="172"/>
    <x v="105"/>
    <n v="3.9"/>
    <s v="Credit Card"/>
  </r>
  <r>
    <n v="4072"/>
    <x v="45"/>
    <n v="107"/>
    <x v="7"/>
    <n v="4.7"/>
    <s v="Credit Card"/>
  </r>
  <r>
    <n v="4076"/>
    <x v="48"/>
    <n v="123.21818181818099"/>
    <x v="321"/>
    <n v="4.7"/>
    <s v="Credit Card"/>
  </r>
  <r>
    <n v="4067"/>
    <x v="36"/>
    <n v="91"/>
    <x v="255"/>
    <n v="3.5"/>
    <s v="Cash"/>
  </r>
  <r>
    <n v="4061"/>
    <x v="48"/>
    <n v="48"/>
    <x v="158"/>
    <n v="1.1000000000000001"/>
    <s v="Cash"/>
  </r>
  <r>
    <n v="4051"/>
    <x v="35"/>
    <n v="188"/>
    <x v="330"/>
    <n v="2.7"/>
    <s v="Cash"/>
  </r>
  <r>
    <n v="4084"/>
    <x v="36"/>
    <n v="22"/>
    <x v="199"/>
    <n v="3.1"/>
    <s v="Credit Card"/>
  </r>
  <r>
    <n v="4038"/>
    <x v="13"/>
    <n v="110"/>
    <x v="274"/>
    <n v="2.8"/>
    <s v="Credit Card"/>
  </r>
  <r>
    <n v="4026"/>
    <x v="13"/>
    <n v="162"/>
    <x v="69"/>
    <n v="4.2"/>
    <s v="Credit Card"/>
  </r>
  <r>
    <n v="4054"/>
    <x v="36"/>
    <n v="33"/>
    <x v="276"/>
    <n v="1.4"/>
    <s v="Credit Card"/>
  </r>
  <r>
    <n v="3963"/>
    <x v="15"/>
    <n v="84"/>
    <x v="277"/>
    <n v="2.1"/>
    <s v="Credit Card"/>
  </r>
  <r>
    <n v="4002"/>
    <x v="33"/>
    <n v="47"/>
    <x v="61"/>
    <n v="2.1"/>
    <s v="Credit Card"/>
  </r>
  <r>
    <n v="4070"/>
    <x v="15"/>
    <n v="119.195652173913"/>
    <x v="304"/>
    <n v="3.7"/>
    <s v="Cash"/>
  </r>
  <r>
    <n v="4016"/>
    <x v="47"/>
    <n v="114.217391304347"/>
    <x v="24"/>
    <n v="1.6"/>
    <s v="Credit Card"/>
  </r>
  <r>
    <n v="4024"/>
    <x v="13"/>
    <n v="22"/>
    <x v="4"/>
    <n v="1"/>
    <s v="Credit Card"/>
  </r>
  <r>
    <n v="4122"/>
    <x v="31"/>
    <n v="77"/>
    <x v="94"/>
    <n v="4.9000000000000004"/>
    <s v="Credit Card"/>
  </r>
  <r>
    <n v="3976"/>
    <x v="11"/>
    <n v="112.64705882352899"/>
    <x v="264"/>
    <n v="2.1"/>
    <s v="Credit Card"/>
  </r>
  <r>
    <n v="4048"/>
    <x v="8"/>
    <n v="188"/>
    <x v="215"/>
    <n v="4.4000000000000004"/>
    <s v="Credit Card"/>
  </r>
  <r>
    <n v="3978"/>
    <x v="43"/>
    <n v="111.564102564102"/>
    <x v="349"/>
    <n v="3.8"/>
    <s v="Credit Card"/>
  </r>
  <r>
    <n v="4032"/>
    <x v="37"/>
    <n v="108.54716981132"/>
    <x v="78"/>
    <n v="4.9000000000000004"/>
    <s v="Cash"/>
  </r>
  <r>
    <n v="4085"/>
    <x v="2"/>
    <n v="134"/>
    <x v="264"/>
    <n v="4.4000000000000004"/>
    <s v="Credit Card"/>
  </r>
  <r>
    <n v="4088"/>
    <x v="32"/>
    <n v="156"/>
    <x v="343"/>
    <n v="3.0125000000000002"/>
    <s v="Cash"/>
  </r>
  <r>
    <n v="4096"/>
    <x v="34"/>
    <n v="90.925925925925895"/>
    <x v="242"/>
    <n v="3.6"/>
    <s v="Credit Card"/>
  </r>
  <r>
    <n v="4121"/>
    <x v="41"/>
    <n v="198"/>
    <x v="293"/>
    <n v="1.9"/>
    <s v="Credit Card"/>
  </r>
  <r>
    <n v="3977"/>
    <x v="8"/>
    <n v="72"/>
    <x v="352"/>
    <n v="3.4"/>
    <s v="Credit Card"/>
  </r>
  <r>
    <n v="4027"/>
    <x v="43"/>
    <n v="111.564102564102"/>
    <x v="288"/>
    <n v="3.8"/>
    <s v="Cash"/>
  </r>
  <r>
    <n v="4015"/>
    <x v="18"/>
    <n v="92"/>
    <x v="341"/>
    <n v="1.1000000000000001"/>
    <s v="Cash"/>
  </r>
  <r>
    <n v="3982"/>
    <x v="39"/>
    <n v="157"/>
    <x v="25"/>
    <n v="2.70806451612903"/>
    <s v="Credit Card"/>
  </r>
  <r>
    <n v="3987"/>
    <x v="14"/>
    <n v="110.56666666666599"/>
    <x v="186"/>
    <n v="1.5"/>
    <s v="Cash"/>
  </r>
  <r>
    <n v="3975"/>
    <x v="19"/>
    <n v="118"/>
    <x v="340"/>
    <n v="2.7"/>
    <s v="Cash"/>
  </r>
  <r>
    <n v="4049"/>
    <x v="11"/>
    <n v="58"/>
    <x v="151"/>
    <n v="2.2999999999999998"/>
    <s v="Cash"/>
  </r>
  <r>
    <n v="3966"/>
    <x v="42"/>
    <n v="162"/>
    <x v="2"/>
    <n v="2.2000000000000002"/>
    <s v="Cash"/>
  </r>
  <r>
    <n v="4096"/>
    <x v="8"/>
    <n v="88"/>
    <x v="200"/>
    <n v="1.8"/>
    <s v="Credit Card"/>
  </r>
  <r>
    <n v="4008"/>
    <x v="42"/>
    <n v="106.72413793103399"/>
    <x v="132"/>
    <n v="2.92063492063492"/>
    <s v="Cash"/>
  </r>
  <r>
    <n v="4042"/>
    <x v="20"/>
    <n v="123"/>
    <x v="261"/>
    <n v="4.5999999999999996"/>
    <s v="Cash"/>
  </r>
  <r>
    <n v="4007"/>
    <x v="26"/>
    <n v="122"/>
    <x v="98"/>
    <n v="1.1000000000000001"/>
    <s v="Cash"/>
  </r>
  <r>
    <n v="4041"/>
    <x v="36"/>
    <n v="103.222222222222"/>
    <x v="67"/>
    <n v="4.7"/>
    <s v="Credit Card"/>
  </r>
  <r>
    <n v="4021"/>
    <x v="11"/>
    <n v="61"/>
    <x v="239"/>
    <n v="2.4"/>
    <s v="Cash"/>
  </r>
  <r>
    <n v="4034"/>
    <x v="12"/>
    <n v="49"/>
    <x v="326"/>
    <n v="1.9"/>
    <s v="Credit Card"/>
  </r>
  <r>
    <n v="4027"/>
    <x v="36"/>
    <n v="31"/>
    <x v="285"/>
    <n v="1.2"/>
    <s v="Credit Card"/>
  </r>
  <r>
    <n v="4005"/>
    <x v="19"/>
    <n v="120.22"/>
    <x v="192"/>
    <n v="1.2"/>
    <s v="Cash"/>
  </r>
  <r>
    <n v="4111"/>
    <x v="31"/>
    <n v="113.54098360655701"/>
    <x v="52"/>
    <n v="4.9000000000000004"/>
    <s v="Cash"/>
  </r>
  <r>
    <n v="3992"/>
    <x v="19"/>
    <n v="47"/>
    <x v="265"/>
    <n v="4.4000000000000004"/>
    <s v="Credit Card"/>
  </r>
  <r>
    <n v="4096"/>
    <x v="9"/>
    <n v="83"/>
    <x v="116"/>
    <n v="3.0693548387096699"/>
    <s v="Cash"/>
  </r>
  <r>
    <n v="4023"/>
    <x v="0"/>
    <n v="112.145454545454"/>
    <x v="182"/>
    <n v="1.5"/>
    <s v="Cash"/>
  </r>
  <r>
    <n v="3959"/>
    <x v="49"/>
    <n v="38"/>
    <x v="15"/>
    <n v="3.6"/>
    <s v="Credit Card"/>
  </r>
  <r>
    <n v="4033"/>
    <x v="7"/>
    <n v="130"/>
    <x v="230"/>
    <n v="2.4"/>
    <s v="Credit Card"/>
  </r>
  <r>
    <n v="4029"/>
    <x v="4"/>
    <n v="114.77966101694901"/>
    <x v="361"/>
    <n v="4.5"/>
    <s v="Credit Card"/>
  </r>
  <r>
    <n v="4045"/>
    <x v="49"/>
    <n v="147"/>
    <x v="329"/>
    <n v="3.7"/>
    <s v="Cash"/>
  </r>
  <r>
    <n v="4060"/>
    <x v="14"/>
    <n v="149"/>
    <x v="269"/>
    <n v="1.9"/>
    <s v="Credit Card"/>
  </r>
  <r>
    <n v="4060"/>
    <x v="39"/>
    <n v="76"/>
    <x v="249"/>
    <n v="2.1"/>
    <s v="Credit Card"/>
  </r>
  <r>
    <n v="4105"/>
    <x v="40"/>
    <n v="169"/>
    <x v="127"/>
    <n v="1.5"/>
    <s v="Cash"/>
  </r>
  <r>
    <n v="3960"/>
    <x v="22"/>
    <n v="46"/>
    <x v="153"/>
    <n v="4.5999999999999996"/>
    <s v="Cash"/>
  </r>
  <r>
    <n v="4077"/>
    <x v="7"/>
    <n v="181"/>
    <x v="121"/>
    <n v="3"/>
    <s v="Credit Card"/>
  </r>
  <r>
    <n v="4088"/>
    <x v="19"/>
    <n v="120.22"/>
    <x v="361"/>
    <n v="3.6"/>
    <s v="Cash"/>
  </r>
  <r>
    <n v="3995"/>
    <x v="46"/>
    <n v="179"/>
    <x v="275"/>
    <n v="4.5999999999999996"/>
    <s v="Cash"/>
  </r>
  <r>
    <n v="4058"/>
    <x v="6"/>
    <n v="75"/>
    <x v="26"/>
    <n v="1.3"/>
    <s v="Credit Card"/>
  </r>
  <r>
    <n v="4015"/>
    <x v="32"/>
    <n v="110.431818181818"/>
    <x v="287"/>
    <n v="3.7"/>
    <s v="Cash"/>
  </r>
  <r>
    <n v="4015"/>
    <x v="21"/>
    <n v="188"/>
    <x v="82"/>
    <n v="2.5"/>
    <s v="Credit Card"/>
  </r>
  <r>
    <n v="4010"/>
    <x v="34"/>
    <n v="23"/>
    <x v="16"/>
    <n v="1.7"/>
    <s v="Cash"/>
  </r>
  <r>
    <n v="4078"/>
    <x v="6"/>
    <n v="12"/>
    <x v="263"/>
    <n v="2.9"/>
    <s v="Cash"/>
  </r>
  <r>
    <n v="4016"/>
    <x v="45"/>
    <n v="106.297872340425"/>
    <x v="5"/>
    <n v="4.3"/>
    <s v="Credit Card"/>
  </r>
  <r>
    <n v="4089"/>
    <x v="19"/>
    <n v="179"/>
    <x v="238"/>
    <n v="2.7"/>
    <s v="Cash"/>
  </r>
  <r>
    <n v="4107"/>
    <x v="22"/>
    <n v="178"/>
    <x v="27"/>
    <n v="3.2"/>
    <s v="Cash"/>
  </r>
  <r>
    <n v="4098"/>
    <x v="17"/>
    <n v="37"/>
    <x v="307"/>
    <n v="4.2"/>
    <s v="Credit Card"/>
  </r>
  <r>
    <n v="4076"/>
    <x v="12"/>
    <n v="102.377358490566"/>
    <x v="343"/>
    <n v="1.2"/>
    <s v="Credit Card"/>
  </r>
  <r>
    <n v="4075"/>
    <x v="30"/>
    <n v="176"/>
    <x v="39"/>
    <n v="3.0542857142857098"/>
    <s v="Cash"/>
  </r>
  <r>
    <n v="4044"/>
    <x v="33"/>
    <n v="107"/>
    <x v="178"/>
    <n v="4.2"/>
    <s v="Credit Card"/>
  </r>
  <r>
    <n v="3978"/>
    <x v="6"/>
    <n v="191"/>
    <x v="72"/>
    <n v="1.4"/>
    <s v="Credit Card"/>
  </r>
  <r>
    <n v="4037"/>
    <x v="28"/>
    <n v="99.866666666666603"/>
    <x v="323"/>
    <n v="4.0999999999999996"/>
    <s v="Cash"/>
  </r>
  <r>
    <n v="4005"/>
    <x v="8"/>
    <n v="162"/>
    <x v="188"/>
    <n v="2.91904761904761"/>
    <s v="Credit Card"/>
  </r>
  <r>
    <n v="4066"/>
    <x v="16"/>
    <n v="57"/>
    <x v="146"/>
    <n v="3.1"/>
    <s v="Cash"/>
  </r>
  <r>
    <n v="4063"/>
    <x v="21"/>
    <n v="107.68518518518501"/>
    <x v="35"/>
    <n v="3.1"/>
    <s v="Cash"/>
  </r>
  <r>
    <n v="4010"/>
    <x v="25"/>
    <n v="153"/>
    <x v="284"/>
    <n v="3.7"/>
    <s v="Credit Card"/>
  </r>
  <r>
    <n v="4069"/>
    <x v="30"/>
    <n v="15"/>
    <x v="45"/>
    <n v="1.6"/>
    <s v="Cash"/>
  </r>
  <r>
    <n v="4072"/>
    <x v="37"/>
    <n v="108.54716981132"/>
    <x v="300"/>
    <n v="3.0546875"/>
    <s v="Cash"/>
  </r>
  <r>
    <n v="4099"/>
    <x v="25"/>
    <n v="88"/>
    <x v="326"/>
    <n v="4.9000000000000004"/>
    <s v="Cash"/>
  </r>
  <r>
    <n v="3964"/>
    <x v="37"/>
    <n v="110"/>
    <x v="134"/>
    <n v="2.9"/>
    <s v="Cash"/>
  </r>
  <r>
    <n v="4052"/>
    <x v="3"/>
    <n v="14"/>
    <x v="310"/>
    <n v="1.2"/>
    <s v="Cash"/>
  </r>
  <r>
    <n v="3992"/>
    <x v="26"/>
    <n v="100"/>
    <x v="177"/>
    <n v="2"/>
    <s v="Credit Card"/>
  </r>
  <r>
    <n v="4104"/>
    <x v="28"/>
    <n v="87"/>
    <x v="279"/>
    <n v="1.9"/>
    <s v="Credit Card"/>
  </r>
  <r>
    <n v="3989"/>
    <x v="43"/>
    <n v="138"/>
    <x v="346"/>
    <n v="3.27111111111111"/>
    <s v="Cash"/>
  </r>
  <r>
    <n v="4035"/>
    <x v="22"/>
    <n v="25"/>
    <x v="50"/>
    <n v="3.1712328767123199"/>
    <s v="Credit Card"/>
  </r>
  <r>
    <n v="3959"/>
    <x v="29"/>
    <n v="109"/>
    <x v="239"/>
    <n v="2.4"/>
    <s v="Cash"/>
  </r>
  <r>
    <n v="4084"/>
    <x v="46"/>
    <n v="17"/>
    <x v="61"/>
    <n v="2.1"/>
    <s v="Cash"/>
  </r>
  <r>
    <n v="4047"/>
    <x v="27"/>
    <n v="81"/>
    <x v="249"/>
    <n v="4.2"/>
    <s v="Cash"/>
  </r>
  <r>
    <n v="4043"/>
    <x v="26"/>
    <n v="97"/>
    <x v="348"/>
    <n v="3.8"/>
    <s v="Cash"/>
  </r>
  <r>
    <n v="4014"/>
    <x v="30"/>
    <n v="178"/>
    <x v="0"/>
    <n v="3.0542857142857098"/>
    <s v="Cash"/>
  </r>
  <r>
    <n v="4064"/>
    <x v="4"/>
    <n v="114.77966101694901"/>
    <x v="250"/>
    <n v="1.7"/>
    <s v="Cash"/>
  </r>
  <r>
    <n v="4065"/>
    <x v="46"/>
    <n v="143"/>
    <x v="279"/>
    <n v="3.1"/>
    <s v="Cash"/>
  </r>
  <r>
    <n v="4060"/>
    <x v="12"/>
    <n v="166"/>
    <x v="33"/>
    <n v="2.7"/>
    <s v="Credit Card"/>
  </r>
  <r>
    <n v="4094"/>
    <x v="49"/>
    <n v="185"/>
    <x v="284"/>
    <n v="2"/>
    <s v="Credit Card"/>
  </r>
  <r>
    <n v="4033"/>
    <x v="2"/>
    <n v="71"/>
    <x v="163"/>
    <n v="3.2285714285714202"/>
    <s v="Credit Card"/>
  </r>
  <r>
    <n v="4040"/>
    <x v="17"/>
    <n v="119"/>
    <x v="219"/>
    <n v="1"/>
    <s v="Credit Card"/>
  </r>
  <r>
    <n v="4107"/>
    <x v="49"/>
    <n v="164"/>
    <x v="136"/>
    <n v="3.7"/>
    <s v="Cash"/>
  </r>
  <r>
    <n v="3962"/>
    <x v="40"/>
    <n v="148"/>
    <x v="338"/>
    <n v="1.8"/>
    <s v="Credit Card"/>
  </r>
  <r>
    <n v="4102"/>
    <x v="15"/>
    <n v="119.195652173913"/>
    <x v="176"/>
    <n v="4.3"/>
    <s v="Credit Card"/>
  </r>
  <r>
    <n v="3965"/>
    <x v="34"/>
    <n v="158"/>
    <x v="15"/>
    <n v="2.8"/>
    <s v="Cash"/>
  </r>
  <r>
    <n v="3992"/>
    <x v="5"/>
    <n v="61"/>
    <x v="113"/>
    <n v="2.7"/>
    <s v="Credit Card"/>
  </r>
  <r>
    <n v="3996"/>
    <x v="42"/>
    <n v="89"/>
    <x v="100"/>
    <n v="4.3"/>
    <s v="Cash"/>
  </r>
  <r>
    <n v="4041"/>
    <x v="19"/>
    <n v="144"/>
    <x v="291"/>
    <n v="3.02830188679245"/>
    <s v="Cash"/>
  </r>
  <r>
    <n v="4102"/>
    <x v="46"/>
    <n v="120"/>
    <x v="141"/>
    <n v="3.1"/>
    <s v="Cash"/>
  </r>
  <r>
    <n v="4118"/>
    <x v="37"/>
    <n v="47"/>
    <x v="168"/>
    <n v="3.8"/>
    <s v="Credit Card"/>
  </r>
  <r>
    <n v="4111"/>
    <x v="42"/>
    <n v="154"/>
    <x v="250"/>
    <n v="1.1000000000000001"/>
    <s v="Credit Card"/>
  </r>
  <r>
    <n v="4112"/>
    <x v="40"/>
    <n v="91"/>
    <x v="139"/>
    <n v="2.6"/>
    <s v="Credit Card"/>
  </r>
  <r>
    <n v="4103"/>
    <x v="24"/>
    <n v="103.267857142857"/>
    <x v="136"/>
    <n v="2.2000000000000002"/>
    <s v="Cash"/>
  </r>
  <r>
    <n v="4057"/>
    <x v="2"/>
    <n v="194"/>
    <x v="210"/>
    <n v="3.4"/>
    <s v="Cash"/>
  </r>
  <r>
    <n v="4054"/>
    <x v="18"/>
    <n v="105.95348837209301"/>
    <x v="224"/>
    <n v="4.2"/>
    <s v="Credit Card"/>
  </r>
  <r>
    <n v="4009"/>
    <x v="44"/>
    <n v="47"/>
    <x v="3"/>
    <n v="3.262"/>
    <s v="Cash"/>
  </r>
  <r>
    <n v="4057"/>
    <x v="43"/>
    <n v="91"/>
    <x v="189"/>
    <n v="3.7"/>
    <s v="Credit Card"/>
  </r>
  <r>
    <n v="3973"/>
    <x v="21"/>
    <n v="115"/>
    <x v="78"/>
    <n v="2"/>
    <s v="Cash"/>
  </r>
  <r>
    <n v="4093"/>
    <x v="5"/>
    <n v="87"/>
    <x v="256"/>
    <n v="2.8953488372092999"/>
    <s v="Cash"/>
  </r>
  <r>
    <n v="4055"/>
    <x v="20"/>
    <n v="173"/>
    <x v="195"/>
    <n v="3.3"/>
    <s v="Cash"/>
  </r>
  <r>
    <n v="4005"/>
    <x v="43"/>
    <n v="80"/>
    <x v="266"/>
    <n v="4.8"/>
    <s v="Credit Card"/>
  </r>
  <r>
    <n v="4078"/>
    <x v="46"/>
    <n v="107.26027397260199"/>
    <x v="357"/>
    <n v="2.9"/>
    <s v="Credit Card"/>
  </r>
  <r>
    <n v="3984"/>
    <x v="35"/>
    <n v="97.720588235294102"/>
    <x v="78"/>
    <n v="4"/>
    <s v="Credit Card"/>
  </r>
  <r>
    <n v="4041"/>
    <x v="30"/>
    <n v="84.528571428571396"/>
    <x v="115"/>
    <n v="3.5"/>
    <s v="Credit Card"/>
  </r>
  <r>
    <n v="4102"/>
    <x v="25"/>
    <n v="103.98245614035"/>
    <x v="339"/>
    <n v="1"/>
    <s v="Cash"/>
  </r>
  <r>
    <n v="4072"/>
    <x v="15"/>
    <n v="167"/>
    <x v="351"/>
    <n v="5"/>
    <s v="Cash"/>
  </r>
  <r>
    <n v="4120"/>
    <x v="24"/>
    <n v="155"/>
    <x v="70"/>
    <n v="2.88305084745762"/>
    <s v="Cash"/>
  </r>
  <r>
    <n v="4034"/>
    <x v="30"/>
    <n v="162"/>
    <x v="206"/>
    <n v="1.2"/>
    <s v="Cash"/>
  </r>
  <r>
    <n v="3980"/>
    <x v="6"/>
    <n v="185"/>
    <x v="276"/>
    <n v="3"/>
    <s v="Credit Card"/>
  </r>
  <r>
    <n v="4000"/>
    <x v="20"/>
    <n v="107.949152542372"/>
    <x v="177"/>
    <n v="2.2000000000000002"/>
    <s v="Cash"/>
  </r>
  <r>
    <n v="3983"/>
    <x v="2"/>
    <n v="100.679999999999"/>
    <x v="115"/>
    <n v="4.3"/>
    <s v="Cash"/>
  </r>
  <r>
    <n v="4098"/>
    <x v="38"/>
    <n v="44"/>
    <x v="360"/>
    <n v="2.6"/>
    <s v="Credit Card"/>
  </r>
  <r>
    <n v="4002"/>
    <x v="34"/>
    <n v="164"/>
    <x v="211"/>
    <n v="5"/>
    <s v="Credit Card"/>
  </r>
  <r>
    <n v="3965"/>
    <x v="6"/>
    <n v="176"/>
    <x v="36"/>
    <n v="3.6"/>
    <s v="Cash"/>
  </r>
  <r>
    <n v="4111"/>
    <x v="22"/>
    <n v="109"/>
    <x v="40"/>
    <n v="3.4"/>
    <s v="Cash"/>
  </r>
  <r>
    <n v="4082"/>
    <x v="18"/>
    <n v="45"/>
    <x v="254"/>
    <n v="4.3"/>
    <s v="Cash"/>
  </r>
  <r>
    <n v="3963"/>
    <x v="29"/>
    <n v="88.827586206896498"/>
    <x v="123"/>
    <n v="3.2"/>
    <s v="Credit Card"/>
  </r>
  <r>
    <n v="4004"/>
    <x v="40"/>
    <n v="114"/>
    <x v="359"/>
    <n v="2.6"/>
    <s v="Credit Card"/>
  </r>
  <r>
    <n v="4007"/>
    <x v="40"/>
    <n v="13"/>
    <x v="49"/>
    <n v="1.4"/>
    <s v="Credit Card"/>
  </r>
  <r>
    <n v="3974"/>
    <x v="14"/>
    <n v="115"/>
    <x v="302"/>
    <n v="2.1"/>
    <s v="Cash"/>
  </r>
  <r>
    <n v="4055"/>
    <x v="14"/>
    <n v="181"/>
    <x v="346"/>
    <n v="3.05820895522388"/>
    <s v="Credit Card"/>
  </r>
  <r>
    <n v="4029"/>
    <x v="20"/>
    <n v="62"/>
    <x v="89"/>
    <n v="2.1"/>
    <s v="Credit Card"/>
  </r>
  <r>
    <n v="4009"/>
    <x v="49"/>
    <n v="105.1"/>
    <x v="153"/>
    <n v="1.7"/>
    <s v="Credit Card"/>
  </r>
  <r>
    <n v="4016"/>
    <x v="32"/>
    <n v="122"/>
    <x v="269"/>
    <n v="1.7"/>
    <s v="Cash"/>
  </r>
  <r>
    <n v="4031"/>
    <x v="28"/>
    <n v="135"/>
    <x v="45"/>
    <n v="4.9000000000000004"/>
    <s v="Credit Card"/>
  </r>
  <r>
    <n v="4091"/>
    <x v="41"/>
    <n v="127"/>
    <x v="245"/>
    <n v="3.4"/>
    <s v="Credit Card"/>
  </r>
  <r>
    <n v="3974"/>
    <x v="20"/>
    <n v="119"/>
    <x v="70"/>
    <n v="4.5999999999999996"/>
    <s v="Cash"/>
  </r>
  <r>
    <n v="4073"/>
    <x v="9"/>
    <n v="20"/>
    <x v="116"/>
    <n v="2.8"/>
    <s v="Credit Card"/>
  </r>
  <r>
    <n v="3971"/>
    <x v="42"/>
    <n v="107"/>
    <x v="310"/>
    <n v="2.92063492063492"/>
    <s v="Cash"/>
  </r>
  <r>
    <n v="4051"/>
    <x v="23"/>
    <n v="110"/>
    <x v="59"/>
    <n v="4.5999999999999996"/>
    <s v="Credit Card"/>
  </r>
  <r>
    <n v="4089"/>
    <x v="22"/>
    <n v="200"/>
    <x v="231"/>
    <n v="2.7"/>
    <s v="Cash"/>
  </r>
  <r>
    <n v="3959"/>
    <x v="49"/>
    <n v="147"/>
    <x v="353"/>
    <n v="3.6"/>
    <s v="Cash"/>
  </r>
  <r>
    <n v="4000"/>
    <x v="36"/>
    <n v="190"/>
    <x v="214"/>
    <n v="3.0230769230769199"/>
    <s v="Credit Card"/>
  </r>
  <r>
    <n v="4040"/>
    <x v="13"/>
    <n v="143"/>
    <x v="245"/>
    <n v="3.1"/>
    <s v="Credit Card"/>
  </r>
  <r>
    <n v="4062"/>
    <x v="35"/>
    <n v="97.720588235294102"/>
    <x v="329"/>
    <n v="3.2"/>
    <s v="Cash"/>
  </r>
  <r>
    <n v="4057"/>
    <x v="30"/>
    <n v="20"/>
    <x v="36"/>
    <n v="1.4"/>
    <s v="Cash"/>
  </r>
  <r>
    <n v="3997"/>
    <x v="15"/>
    <n v="72"/>
    <x v="351"/>
    <n v="3.22399999999999"/>
    <s v="Credit Card"/>
  </r>
  <r>
    <n v="3985"/>
    <x v="14"/>
    <n v="111"/>
    <x v="218"/>
    <n v="3.7"/>
    <s v="Cash"/>
  </r>
  <r>
    <n v="3990"/>
    <x v="36"/>
    <n v="20"/>
    <x v="19"/>
    <n v="3.0230769230769199"/>
    <s v="Cash"/>
  </r>
  <r>
    <n v="4094"/>
    <x v="46"/>
    <n v="142"/>
    <x v="246"/>
    <n v="3.5"/>
    <s v="Cash"/>
  </r>
  <r>
    <n v="4064"/>
    <x v="39"/>
    <n v="22"/>
    <x v="27"/>
    <n v="2.70806451612903"/>
    <s v="Credit Card"/>
  </r>
  <r>
    <n v="4079"/>
    <x v="23"/>
    <n v="112.745762711864"/>
    <x v="27"/>
    <n v="4.7"/>
    <s v="Cash"/>
  </r>
  <r>
    <n v="3974"/>
    <x v="26"/>
    <n v="87"/>
    <x v="131"/>
    <n v="4.2"/>
    <s v="Credit Card"/>
  </r>
  <r>
    <n v="4056"/>
    <x v="32"/>
    <n v="83"/>
    <x v="53"/>
    <n v="3.7"/>
    <s v="Credit Card"/>
  </r>
  <r>
    <n v="4009"/>
    <x v="37"/>
    <n v="118"/>
    <x v="252"/>
    <n v="3.3"/>
    <s v="Credit Card"/>
  </r>
  <r>
    <n v="3990"/>
    <x v="1"/>
    <n v="23"/>
    <x v="183"/>
    <n v="4.5"/>
    <s v="Credit Card"/>
  </r>
  <r>
    <n v="4009"/>
    <x v="0"/>
    <n v="46"/>
    <x v="145"/>
    <n v="2.8"/>
    <s v="Credit Card"/>
  </r>
  <r>
    <n v="4036"/>
    <x v="0"/>
    <n v="175"/>
    <x v="320"/>
    <n v="1.4"/>
    <s v="Credit Card"/>
  </r>
  <r>
    <n v="4067"/>
    <x v="20"/>
    <n v="194"/>
    <x v="160"/>
    <n v="4.9000000000000004"/>
    <s v="Cash"/>
  </r>
  <r>
    <n v="4078"/>
    <x v="43"/>
    <n v="56"/>
    <x v="96"/>
    <n v="3.2"/>
    <s v="Cash"/>
  </r>
  <r>
    <n v="3997"/>
    <x v="5"/>
    <n v="188"/>
    <x v="223"/>
    <n v="4.9000000000000004"/>
    <s v="Credit Card"/>
  </r>
  <r>
    <n v="4111"/>
    <x v="1"/>
    <n v="110"/>
    <x v="118"/>
    <n v="3"/>
    <s v="Cash"/>
  </r>
  <r>
    <n v="4104"/>
    <x v="48"/>
    <n v="125"/>
    <x v="249"/>
    <n v="4.4000000000000004"/>
    <s v="Credit Card"/>
  </r>
  <r>
    <n v="4036"/>
    <x v="8"/>
    <n v="120.375"/>
    <x v="236"/>
    <n v="4.7"/>
    <s v="Credit Card"/>
  </r>
  <r>
    <n v="4107"/>
    <x v="36"/>
    <n v="192"/>
    <x v="177"/>
    <n v="2.2000000000000002"/>
    <s v="Credit Card"/>
  </r>
  <r>
    <n v="4008"/>
    <x v="3"/>
    <n v="126"/>
    <x v="189"/>
    <n v="4"/>
    <s v="Credit Card"/>
  </r>
  <r>
    <n v="4085"/>
    <x v="36"/>
    <n v="103.222222222222"/>
    <x v="314"/>
    <n v="4.5"/>
    <s v="Credit Card"/>
  </r>
  <r>
    <n v="4074"/>
    <x v="9"/>
    <n v="176"/>
    <x v="168"/>
    <n v="3.1"/>
    <s v="Cash"/>
  </r>
  <r>
    <n v="4027"/>
    <x v="26"/>
    <n v="51"/>
    <x v="282"/>
    <n v="3.3"/>
    <s v="Credit Card"/>
  </r>
  <r>
    <n v="4008"/>
    <x v="38"/>
    <n v="41"/>
    <x v="70"/>
    <n v="3"/>
    <s v="Cash"/>
  </r>
  <r>
    <n v="3958"/>
    <x v="48"/>
    <n v="123.21818181818099"/>
    <x v="53"/>
    <n v="1"/>
    <s v="Cash"/>
  </r>
  <r>
    <n v="3993"/>
    <x v="34"/>
    <n v="172"/>
    <x v="176"/>
    <n v="4.2"/>
    <s v="Credit Card"/>
  </r>
  <r>
    <n v="4071"/>
    <x v="34"/>
    <n v="144"/>
    <x v="14"/>
    <n v="1.2"/>
    <s v="Credit Card"/>
  </r>
  <r>
    <n v="3973"/>
    <x v="17"/>
    <n v="196"/>
    <x v="337"/>
    <n v="2.9"/>
    <s v="Cash"/>
  </r>
  <r>
    <n v="4059"/>
    <x v="48"/>
    <n v="140"/>
    <x v="116"/>
    <n v="3"/>
    <s v="Credit Card"/>
  </r>
  <r>
    <n v="4111"/>
    <x v="45"/>
    <n v="50"/>
    <x v="118"/>
    <n v="4.4000000000000004"/>
    <s v="Credit Card"/>
  </r>
  <r>
    <n v="4020"/>
    <x v="12"/>
    <n v="107"/>
    <x v="314"/>
    <n v="1.3"/>
    <s v="Cash"/>
  </r>
  <r>
    <n v="4091"/>
    <x v="23"/>
    <n v="112.745762711864"/>
    <x v="90"/>
    <n v="1.4"/>
    <s v="Credit Card"/>
  </r>
  <r>
    <n v="4041"/>
    <x v="34"/>
    <n v="90.925925925925895"/>
    <x v="12"/>
    <n v="1.3"/>
    <s v="Credit Card"/>
  </r>
  <r>
    <n v="4102"/>
    <x v="27"/>
    <n v="178"/>
    <x v="117"/>
    <n v="4.5999999999999996"/>
    <s v="Credit Card"/>
  </r>
  <r>
    <n v="4082"/>
    <x v="24"/>
    <n v="51"/>
    <x v="352"/>
    <n v="3.4"/>
    <s v="Credit Card"/>
  </r>
  <r>
    <n v="4074"/>
    <x v="0"/>
    <n v="55"/>
    <x v="205"/>
    <n v="3.4"/>
    <s v="Credit Card"/>
  </r>
  <r>
    <n v="4075"/>
    <x v="30"/>
    <n v="23"/>
    <x v="219"/>
    <n v="4.5999999999999996"/>
    <s v="Credit Card"/>
  </r>
  <r>
    <n v="4104"/>
    <x v="48"/>
    <n v="89"/>
    <x v="144"/>
    <n v="3.9"/>
    <s v="Credit Card"/>
  </r>
  <r>
    <n v="3967"/>
    <x v="0"/>
    <n v="124"/>
    <x v="241"/>
    <n v="4.8"/>
    <s v="Cash"/>
  </r>
  <r>
    <n v="3980"/>
    <x v="3"/>
    <n v="56"/>
    <x v="334"/>
    <n v="4.4000000000000004"/>
    <s v="Credit Card"/>
  </r>
  <r>
    <n v="4030"/>
    <x v="39"/>
    <n v="93.135593220338905"/>
    <x v="104"/>
    <n v="1.2"/>
    <s v="Credit Card"/>
  </r>
  <r>
    <n v="4122"/>
    <x v="7"/>
    <n v="103.564102564102"/>
    <x v="284"/>
    <n v="2.8381818181818099"/>
    <s v="Credit Card"/>
  </r>
  <r>
    <n v="4073"/>
    <x v="36"/>
    <n v="169"/>
    <x v="24"/>
    <n v="3.9"/>
    <s v="Cash"/>
  </r>
  <r>
    <n v="4045"/>
    <x v="45"/>
    <n v="13"/>
    <x v="148"/>
    <n v="4.2"/>
    <s v="Credit Card"/>
  </r>
  <r>
    <n v="4033"/>
    <x v="8"/>
    <n v="137"/>
    <x v="344"/>
    <n v="2.7"/>
    <s v="Credit Card"/>
  </r>
  <r>
    <n v="4057"/>
    <x v="9"/>
    <n v="11"/>
    <x v="146"/>
    <n v="1.2"/>
    <s v="Credit Card"/>
  </r>
  <r>
    <n v="4113"/>
    <x v="11"/>
    <n v="136"/>
    <x v="154"/>
    <n v="3.6"/>
    <s v="Cash"/>
  </r>
  <r>
    <n v="4001"/>
    <x v="20"/>
    <n v="160"/>
    <x v="275"/>
    <n v="2.1"/>
    <s v="Cash"/>
  </r>
  <r>
    <n v="4063"/>
    <x v="37"/>
    <n v="126"/>
    <x v="4"/>
    <n v="3.8"/>
    <s v="Credit Card"/>
  </r>
  <r>
    <n v="4020"/>
    <x v="42"/>
    <n v="30"/>
    <x v="227"/>
    <n v="2.2999999999999998"/>
    <s v="Credit Card"/>
  </r>
  <r>
    <n v="4002"/>
    <x v="27"/>
    <n v="11"/>
    <x v="240"/>
    <n v="1.4"/>
    <s v="Credit Card"/>
  </r>
  <r>
    <n v="4115"/>
    <x v="0"/>
    <n v="150"/>
    <x v="304"/>
    <n v="3.3"/>
    <s v="Cash"/>
  </r>
  <r>
    <n v="4067"/>
    <x v="40"/>
    <n v="170"/>
    <x v="40"/>
    <n v="3.6"/>
    <s v="Credit Card"/>
  </r>
  <r>
    <n v="4074"/>
    <x v="23"/>
    <n v="63"/>
    <x v="140"/>
    <n v="1.7"/>
    <s v="Cash"/>
  </r>
  <r>
    <n v="4055"/>
    <x v="40"/>
    <n v="114.396551724137"/>
    <x v="121"/>
    <n v="4.5"/>
    <s v="Cash"/>
  </r>
  <r>
    <n v="4003"/>
    <x v="4"/>
    <n v="114.77966101694901"/>
    <x v="338"/>
    <n v="3.8"/>
    <s v="Credit Card"/>
  </r>
  <r>
    <n v="4102"/>
    <x v="20"/>
    <n v="19"/>
    <x v="21"/>
    <n v="3.4"/>
    <s v="Credit Card"/>
  </r>
  <r>
    <n v="3981"/>
    <x v="24"/>
    <n v="103.267857142857"/>
    <x v="162"/>
    <n v="2"/>
    <s v="Cash"/>
  </r>
  <r>
    <n v="4057"/>
    <x v="39"/>
    <n v="93.135593220338905"/>
    <x v="243"/>
    <n v="3.4"/>
    <s v="Credit Card"/>
  </r>
  <r>
    <n v="3968"/>
    <x v="45"/>
    <n v="164"/>
    <x v="231"/>
    <n v="3.1235294117647001"/>
    <s v="Cash"/>
  </r>
  <r>
    <n v="4018"/>
    <x v="34"/>
    <n v="32"/>
    <x v="149"/>
    <n v="2.2000000000000002"/>
    <s v="Credit Card"/>
  </r>
  <r>
    <n v="3997"/>
    <x v="47"/>
    <n v="114.217391304347"/>
    <x v="169"/>
    <n v="3.2020408163265301"/>
    <s v="Cash"/>
  </r>
  <r>
    <n v="4027"/>
    <x v="20"/>
    <n v="55"/>
    <x v="213"/>
    <n v="3.1651515151515102"/>
    <s v="Credit Card"/>
  </r>
  <r>
    <n v="4117"/>
    <x v="12"/>
    <n v="102.377358490566"/>
    <x v="322"/>
    <n v="1.4"/>
    <s v="Cash"/>
  </r>
  <r>
    <n v="4094"/>
    <x v="44"/>
    <n v="179"/>
    <x v="23"/>
    <n v="4.9000000000000004"/>
    <s v="Cash"/>
  </r>
  <r>
    <n v="4031"/>
    <x v="8"/>
    <n v="162"/>
    <x v="27"/>
    <n v="4"/>
    <s v="Cash"/>
  </r>
  <r>
    <n v="3974"/>
    <x v="22"/>
    <n v="153"/>
    <x v="53"/>
    <n v="2.6"/>
    <s v="Cash"/>
  </r>
  <r>
    <n v="4012"/>
    <x v="10"/>
    <n v="103.354166666666"/>
    <x v="265"/>
    <n v="1.5"/>
    <s v="Credit Card"/>
  </r>
  <r>
    <n v="4083"/>
    <x v="32"/>
    <n v="158"/>
    <x v="268"/>
    <n v="3.3"/>
    <s v="Credit Card"/>
  </r>
  <r>
    <n v="4062"/>
    <x v="32"/>
    <n v="19"/>
    <x v="357"/>
    <n v="1.9"/>
    <s v="Credit Card"/>
  </r>
  <r>
    <n v="4098"/>
    <x v="48"/>
    <n v="123.21818181818099"/>
    <x v="336"/>
    <n v="3.1"/>
    <s v="Credit Card"/>
  </r>
  <r>
    <n v="3988"/>
    <x v="32"/>
    <n v="104"/>
    <x v="197"/>
    <n v="3.5"/>
    <s v="Cash"/>
  </r>
  <r>
    <n v="4051"/>
    <x v="43"/>
    <n v="27"/>
    <x v="91"/>
    <n v="1.5"/>
    <s v="Cash"/>
  </r>
  <r>
    <n v="3976"/>
    <x v="42"/>
    <n v="150"/>
    <x v="36"/>
    <n v="2.9"/>
    <s v="Credit Card"/>
  </r>
  <r>
    <n v="3983"/>
    <x v="27"/>
    <n v="108.734693877551"/>
    <x v="87"/>
    <n v="4"/>
    <s v="Cash"/>
  </r>
  <r>
    <n v="4086"/>
    <x v="1"/>
    <n v="41"/>
    <x v="118"/>
    <n v="3.3"/>
    <s v="Credit Card"/>
  </r>
  <r>
    <n v="4040"/>
    <x v="15"/>
    <n v="80"/>
    <x v="335"/>
    <n v="3.5"/>
    <s v="Credit Card"/>
  </r>
  <r>
    <n v="4061"/>
    <x v="3"/>
    <n v="115"/>
    <x v="8"/>
    <n v="2.6520547945205402"/>
    <s v="Credit Card"/>
  </r>
  <r>
    <n v="4072"/>
    <x v="38"/>
    <n v="188"/>
    <x v="84"/>
    <n v="1.9"/>
    <s v="Cash"/>
  </r>
  <r>
    <n v="3999"/>
    <x v="16"/>
    <n v="24"/>
    <x v="24"/>
    <n v="3.3"/>
    <s v="Credit Card"/>
  </r>
  <r>
    <n v="4021"/>
    <x v="49"/>
    <n v="105.1"/>
    <x v="50"/>
    <n v="3.9"/>
    <s v="Cash"/>
  </r>
  <r>
    <n v="4010"/>
    <x v="20"/>
    <n v="171"/>
    <x v="147"/>
    <n v="4"/>
    <s v="Credit Card"/>
  </r>
  <r>
    <n v="4086"/>
    <x v="49"/>
    <n v="32"/>
    <x v="6"/>
    <n v="4.3"/>
    <s v="Cash"/>
  </r>
  <r>
    <n v="3968"/>
    <x v="28"/>
    <n v="186"/>
    <x v="200"/>
    <n v="4.5"/>
    <s v="Credit Card"/>
  </r>
  <r>
    <n v="4075"/>
    <x v="21"/>
    <n v="190"/>
    <x v="87"/>
    <n v="1.4"/>
    <s v="Cash"/>
  </r>
  <r>
    <n v="3963"/>
    <x v="40"/>
    <n v="165"/>
    <x v="77"/>
    <n v="3.9"/>
    <s v="Credit Card"/>
  </r>
  <r>
    <n v="3975"/>
    <x v="10"/>
    <n v="76"/>
    <x v="323"/>
    <n v="2.4"/>
    <s v="Credit Card"/>
  </r>
  <r>
    <n v="4120"/>
    <x v="11"/>
    <n v="169"/>
    <x v="243"/>
    <n v="1.2"/>
    <s v="Cash"/>
  </r>
  <r>
    <n v="4075"/>
    <x v="16"/>
    <n v="43"/>
    <x v="147"/>
    <n v="3.2"/>
    <s v="Credit Card"/>
  </r>
  <r>
    <n v="4054"/>
    <x v="47"/>
    <n v="137"/>
    <x v="21"/>
    <n v="3.2020408163265301"/>
    <s v="Cash"/>
  </r>
  <r>
    <n v="4044"/>
    <x v="3"/>
    <n v="171"/>
    <x v="281"/>
    <n v="4.3"/>
    <s v="Credit Card"/>
  </r>
  <r>
    <n v="4059"/>
    <x v="2"/>
    <n v="56"/>
    <x v="125"/>
    <n v="3.2285714285714202"/>
    <s v="Cash"/>
  </r>
  <r>
    <n v="4006"/>
    <x v="49"/>
    <n v="69"/>
    <x v="364"/>
    <n v="4.5999999999999996"/>
    <s v="Credit Card"/>
  </r>
  <r>
    <n v="4058"/>
    <x v="24"/>
    <n v="59"/>
    <x v="124"/>
    <n v="2.2000000000000002"/>
    <s v="Credit Card"/>
  </r>
  <r>
    <n v="3966"/>
    <x v="3"/>
    <n v="98.967741935483801"/>
    <x v="267"/>
    <n v="1.5"/>
    <s v="Cash"/>
  </r>
  <r>
    <n v="3959"/>
    <x v="23"/>
    <n v="112.745762711864"/>
    <x v="154"/>
    <n v="2.8291666666666599"/>
    <s v="Credit Card"/>
  </r>
  <r>
    <n v="4021"/>
    <x v="11"/>
    <n v="40"/>
    <x v="289"/>
    <n v="1.1000000000000001"/>
    <s v="Credit Card"/>
  </r>
  <r>
    <n v="3986"/>
    <x v="13"/>
    <n v="63"/>
    <x v="208"/>
    <n v="2.2000000000000002"/>
    <s v="Credit Card"/>
  </r>
  <r>
    <n v="3991"/>
    <x v="27"/>
    <n v="116"/>
    <x v="85"/>
    <n v="2.69137931034482"/>
    <s v="Cash"/>
  </r>
  <r>
    <n v="4040"/>
    <x v="19"/>
    <n v="95"/>
    <x v="291"/>
    <n v="2.6"/>
    <s v="Cash"/>
  </r>
  <r>
    <n v="4075"/>
    <x v="43"/>
    <n v="173"/>
    <x v="213"/>
    <n v="3.27111111111111"/>
    <s v="Cash"/>
  </r>
  <r>
    <n v="4081"/>
    <x v="44"/>
    <n v="173"/>
    <x v="156"/>
    <n v="2.9"/>
    <s v="Cash"/>
  </r>
  <r>
    <n v="4075"/>
    <x v="46"/>
    <n v="82"/>
    <x v="14"/>
    <n v="4"/>
    <s v="Credit Card"/>
  </r>
  <r>
    <n v="3974"/>
    <x v="1"/>
    <n v="27"/>
    <x v="283"/>
    <n v="1.5"/>
    <s v="Credit Card"/>
  </r>
  <r>
    <n v="3978"/>
    <x v="6"/>
    <n v="139"/>
    <x v="30"/>
    <n v="3.2"/>
    <s v="Cash"/>
  </r>
  <r>
    <n v="4097"/>
    <x v="27"/>
    <n v="11"/>
    <x v="316"/>
    <n v="3.5"/>
    <s v="Cash"/>
  </r>
  <r>
    <n v="4019"/>
    <x v="5"/>
    <n v="99.697674418604606"/>
    <x v="292"/>
    <n v="4.8"/>
    <s v="Credit Card"/>
  </r>
  <r>
    <n v="4069"/>
    <x v="11"/>
    <n v="111"/>
    <x v="303"/>
    <n v="4.5"/>
    <s v="Credit Card"/>
  </r>
  <r>
    <n v="3992"/>
    <x v="41"/>
    <n v="167"/>
    <x v="328"/>
    <n v="3.2"/>
    <s v="Cash"/>
  </r>
  <r>
    <n v="4077"/>
    <x v="4"/>
    <n v="54"/>
    <x v="63"/>
    <n v="2.8333333333333299"/>
    <s v="Cash"/>
  </r>
  <r>
    <n v="4028"/>
    <x v="25"/>
    <n v="103.98245614035"/>
    <x v="211"/>
    <n v="3.2016129032257998"/>
    <s v="Credit Card"/>
  </r>
  <r>
    <n v="3998"/>
    <x v="15"/>
    <n v="182"/>
    <x v="7"/>
    <n v="3.1"/>
    <s v="Credit Card"/>
  </r>
  <r>
    <n v="4000"/>
    <x v="24"/>
    <n v="131"/>
    <x v="362"/>
    <n v="4.0999999999999996"/>
    <s v="Credit Card"/>
  </r>
  <r>
    <n v="3961"/>
    <x v="10"/>
    <n v="175"/>
    <x v="254"/>
    <n v="3.5"/>
    <s v="Cash"/>
  </r>
  <r>
    <n v="4112"/>
    <x v="49"/>
    <n v="105.1"/>
    <x v="63"/>
    <n v="3.5"/>
    <s v="Credit Card"/>
  </r>
  <r>
    <n v="3982"/>
    <x v="22"/>
    <n v="95.292307692307602"/>
    <x v="328"/>
    <n v="3.2"/>
    <s v="Cash"/>
  </r>
  <r>
    <n v="4002"/>
    <x v="5"/>
    <n v="147"/>
    <x v="158"/>
    <n v="3.2"/>
    <s v="Cash"/>
  </r>
  <r>
    <n v="4032"/>
    <x v="23"/>
    <n v="128"/>
    <x v="226"/>
    <n v="2"/>
    <s v="Cash"/>
  </r>
  <r>
    <n v="3988"/>
    <x v="8"/>
    <n v="115"/>
    <x v="121"/>
    <n v="2.6"/>
    <s v="Credit Card"/>
  </r>
  <r>
    <n v="4093"/>
    <x v="25"/>
    <n v="24"/>
    <x v="225"/>
    <n v="2.8"/>
    <s v="Credit Card"/>
  </r>
  <r>
    <n v="4057"/>
    <x v="39"/>
    <n v="86"/>
    <x v="278"/>
    <n v="2.5"/>
    <s v="Credit Card"/>
  </r>
  <r>
    <n v="4000"/>
    <x v="33"/>
    <n v="183"/>
    <x v="109"/>
    <n v="4.5999999999999996"/>
    <s v="Cash"/>
  </r>
  <r>
    <n v="3976"/>
    <x v="29"/>
    <n v="147"/>
    <x v="45"/>
    <n v="2.6590163934426201"/>
    <s v="Cash"/>
  </r>
  <r>
    <n v="3959"/>
    <x v="29"/>
    <n v="88.827586206896498"/>
    <x v="125"/>
    <n v="2"/>
    <s v="Credit Card"/>
  </r>
  <r>
    <n v="4026"/>
    <x v="44"/>
    <n v="94"/>
    <x v="187"/>
    <n v="3.6"/>
    <s v="Credit Card"/>
  </r>
  <r>
    <n v="3996"/>
    <x v="28"/>
    <n v="100"/>
    <x v="131"/>
    <n v="3.5"/>
    <s v="Credit Card"/>
  </r>
  <r>
    <n v="4069"/>
    <x v="5"/>
    <n v="99.697674418604606"/>
    <x v="151"/>
    <n v="3.7"/>
    <s v="Cash"/>
  </r>
  <r>
    <n v="4048"/>
    <x v="21"/>
    <n v="107.68518518518501"/>
    <x v="256"/>
    <n v="3.1303030303030299"/>
    <s v="Credit Card"/>
  </r>
  <r>
    <n v="4002"/>
    <x v="14"/>
    <n v="96"/>
    <x v="200"/>
    <n v="2.9"/>
    <s v="Credit Card"/>
  </r>
  <r>
    <n v="4012"/>
    <x v="16"/>
    <n v="170"/>
    <x v="256"/>
    <n v="3.8"/>
    <s v="Credit Card"/>
  </r>
  <r>
    <n v="3965"/>
    <x v="29"/>
    <n v="52"/>
    <x v="341"/>
    <n v="3.8"/>
    <s v="Cash"/>
  </r>
  <r>
    <n v="4093"/>
    <x v="6"/>
    <n v="109"/>
    <x v="197"/>
    <n v="1.3"/>
    <s v="Credit Card"/>
  </r>
  <r>
    <n v="4012"/>
    <x v="38"/>
    <n v="106.80769230769199"/>
    <x v="198"/>
    <n v="3.15"/>
    <s v="Cash"/>
  </r>
  <r>
    <n v="4070"/>
    <x v="35"/>
    <n v="97.720588235294102"/>
    <x v="148"/>
    <n v="1.2"/>
    <s v="Cash"/>
  </r>
  <r>
    <n v="3969"/>
    <x v="12"/>
    <n v="88"/>
    <x v="255"/>
    <n v="3.2"/>
    <s v="Cash"/>
  </r>
  <r>
    <n v="4119"/>
    <x v="29"/>
    <n v="90"/>
    <x v="220"/>
    <n v="4.2"/>
    <s v="Cash"/>
  </r>
  <r>
    <n v="4090"/>
    <x v="31"/>
    <n v="79"/>
    <x v="144"/>
    <n v="2.2999999999999998"/>
    <s v="Cash"/>
  </r>
  <r>
    <n v="4121"/>
    <x v="32"/>
    <n v="137"/>
    <x v="174"/>
    <n v="3.8"/>
    <s v="Cash"/>
  </r>
  <r>
    <n v="3983"/>
    <x v="15"/>
    <n v="105"/>
    <x v="32"/>
    <n v="3.1"/>
    <s v="Cash"/>
  </r>
  <r>
    <n v="4056"/>
    <x v="25"/>
    <n v="87"/>
    <x v="70"/>
    <n v="2.5"/>
    <s v="Credit Card"/>
  </r>
  <r>
    <n v="4035"/>
    <x v="20"/>
    <n v="87"/>
    <x v="346"/>
    <n v="3.1651515151515102"/>
    <s v="Cash"/>
  </r>
  <r>
    <n v="4070"/>
    <x v="49"/>
    <n v="105.1"/>
    <x v="139"/>
    <n v="1.2"/>
    <s v="Cash"/>
  </r>
  <r>
    <n v="3970"/>
    <x v="17"/>
    <n v="19"/>
    <x v="150"/>
    <n v="3.6"/>
    <s v="Cash"/>
  </r>
  <r>
    <n v="4110"/>
    <x v="1"/>
    <n v="33"/>
    <x v="192"/>
    <n v="1.5"/>
    <s v="Credit Card"/>
  </r>
  <r>
    <n v="3958"/>
    <x v="8"/>
    <n v="16"/>
    <x v="319"/>
    <n v="3.3"/>
    <s v="Cash"/>
  </r>
  <r>
    <n v="3969"/>
    <x v="26"/>
    <n v="138"/>
    <x v="24"/>
    <n v="2.2000000000000002"/>
    <s v="Credit Card"/>
  </r>
  <r>
    <n v="4053"/>
    <x v="41"/>
    <n v="117.354166666666"/>
    <x v="2"/>
    <n v="2.5"/>
    <s v="Credit Card"/>
  </r>
  <r>
    <n v="4008"/>
    <x v="47"/>
    <n v="133"/>
    <x v="239"/>
    <n v="4.0999999999999996"/>
    <s v="Cash"/>
  </r>
  <r>
    <n v="4020"/>
    <x v="13"/>
    <n v="144"/>
    <x v="29"/>
    <n v="3.2"/>
    <s v="Credit Card"/>
  </r>
  <r>
    <n v="4052"/>
    <x v="39"/>
    <n v="93"/>
    <x v="162"/>
    <n v="3"/>
    <s v="Credit Card"/>
  </r>
  <r>
    <n v="4018"/>
    <x v="18"/>
    <n v="105.95348837209301"/>
    <x v="100"/>
    <n v="2.8545454545454501"/>
    <s v="Cash"/>
  </r>
  <r>
    <n v="4008"/>
    <x v="27"/>
    <n v="142"/>
    <x v="211"/>
    <n v="2"/>
    <s v="Credit Card"/>
  </r>
  <r>
    <n v="3980"/>
    <x v="7"/>
    <n v="43"/>
    <x v="255"/>
    <n v="2.8381818181818099"/>
    <s v="Credit Card"/>
  </r>
  <r>
    <n v="3961"/>
    <x v="24"/>
    <n v="19"/>
    <x v="169"/>
    <n v="2.2000000000000002"/>
    <s v="Cash"/>
  </r>
  <r>
    <n v="4064"/>
    <x v="21"/>
    <n v="192"/>
    <x v="105"/>
    <n v="2.5"/>
    <s v="Cash"/>
  </r>
  <r>
    <n v="3964"/>
    <x v="3"/>
    <n v="39"/>
    <x v="332"/>
    <n v="2.4"/>
    <s v="Credit Card"/>
  </r>
  <r>
    <n v="3960"/>
    <x v="3"/>
    <n v="98.967741935483801"/>
    <x v="297"/>
    <n v="3.3"/>
    <s v="Cash"/>
  </r>
  <r>
    <n v="4043"/>
    <x v="0"/>
    <n v="185"/>
    <x v="218"/>
    <n v="2.2000000000000002"/>
    <s v="Credit Card"/>
  </r>
  <r>
    <n v="4006"/>
    <x v="12"/>
    <n v="32"/>
    <x v="315"/>
    <n v="1.9"/>
    <s v="Credit Card"/>
  </r>
  <r>
    <n v="3973"/>
    <x v="28"/>
    <n v="21"/>
    <x v="48"/>
    <n v="4.2"/>
    <s v="Cash"/>
  </r>
  <r>
    <n v="4013"/>
    <x v="29"/>
    <n v="88.827586206896498"/>
    <x v="137"/>
    <n v="2.6590163934426201"/>
    <s v="Credit Card"/>
  </r>
  <r>
    <n v="3981"/>
    <x v="17"/>
    <n v="200"/>
    <x v="265"/>
    <n v="4.4000000000000004"/>
    <s v="Credit Card"/>
  </r>
  <r>
    <n v="3999"/>
    <x v="39"/>
    <n v="157"/>
    <x v="141"/>
    <n v="4.2"/>
    <s v="Credit Card"/>
  </r>
  <r>
    <n v="3999"/>
    <x v="40"/>
    <n v="173"/>
    <x v="6"/>
    <n v="4.0999999999999996"/>
    <s v="Cash"/>
  </r>
  <r>
    <n v="3968"/>
    <x v="34"/>
    <n v="92"/>
    <x v="143"/>
    <n v="1.7"/>
    <s v="Credit Card"/>
  </r>
  <r>
    <n v="4063"/>
    <x v="48"/>
    <n v="83"/>
    <x v="140"/>
    <n v="3.8"/>
    <s v="Cash"/>
  </r>
  <r>
    <n v="4088"/>
    <x v="48"/>
    <n v="91"/>
    <x v="327"/>
    <n v="3"/>
    <s v="Credit Card"/>
  </r>
  <r>
    <n v="3984"/>
    <x v="43"/>
    <n v="181"/>
    <x v="237"/>
    <n v="2.2999999999999998"/>
    <s v="Cash"/>
  </r>
  <r>
    <n v="4040"/>
    <x v="33"/>
    <n v="97.071428571428498"/>
    <x v="194"/>
    <n v="1.9"/>
    <s v="Credit Card"/>
  </r>
  <r>
    <n v="4039"/>
    <x v="8"/>
    <n v="120.375"/>
    <x v="275"/>
    <n v="2.91904761904761"/>
    <s v="Credit Card"/>
  </r>
  <r>
    <n v="4100"/>
    <x v="27"/>
    <n v="13"/>
    <x v="179"/>
    <n v="3.7"/>
    <s v="Credit Card"/>
  </r>
  <r>
    <n v="4117"/>
    <x v="5"/>
    <n v="153"/>
    <x v="218"/>
    <n v="1.7"/>
    <s v="Credit Card"/>
  </r>
  <r>
    <n v="4005"/>
    <x v="35"/>
    <n v="62"/>
    <x v="212"/>
    <n v="2.2000000000000002"/>
    <s v="Cash"/>
  </r>
  <r>
    <n v="4116"/>
    <x v="25"/>
    <n v="150"/>
    <x v="306"/>
    <n v="4.2"/>
    <s v="Cash"/>
  </r>
  <r>
    <n v="4010"/>
    <x v="23"/>
    <n v="46"/>
    <x v="226"/>
    <n v="4.5"/>
    <s v="Credit Card"/>
  </r>
  <r>
    <n v="4095"/>
    <x v="27"/>
    <n v="82"/>
    <x v="26"/>
    <n v="2.9"/>
    <s v="Credit Card"/>
  </r>
  <r>
    <n v="4058"/>
    <x v="39"/>
    <n v="53"/>
    <x v="278"/>
    <n v="4.0999999999999996"/>
    <s v="Credit Card"/>
  </r>
  <r>
    <n v="4066"/>
    <x v="31"/>
    <n v="113.54098360655701"/>
    <x v="183"/>
    <n v="2.6"/>
    <s v="Credit Card"/>
  </r>
  <r>
    <n v="3987"/>
    <x v="8"/>
    <n v="96"/>
    <x v="82"/>
    <n v="1.7"/>
    <s v="Cash"/>
  </r>
  <r>
    <n v="4016"/>
    <x v="12"/>
    <n v="22"/>
    <x v="286"/>
    <n v="1.4"/>
    <s v="Credit Card"/>
  </r>
  <r>
    <n v="4011"/>
    <x v="37"/>
    <n v="108.54716981132"/>
    <x v="160"/>
    <n v="4.9000000000000004"/>
    <s v="Cash"/>
  </r>
  <r>
    <n v="3984"/>
    <x v="49"/>
    <n v="182"/>
    <x v="14"/>
    <n v="4.8"/>
    <s v="Credit Card"/>
  </r>
  <r>
    <n v="4048"/>
    <x v="46"/>
    <n v="107.26027397260199"/>
    <x v="236"/>
    <n v="3.1"/>
    <s v="Credit Card"/>
  </r>
  <r>
    <n v="4039"/>
    <x v="28"/>
    <n v="32"/>
    <x v="135"/>
    <n v="1.2"/>
    <s v="Cash"/>
  </r>
  <r>
    <n v="4001"/>
    <x v="16"/>
    <n v="55"/>
    <x v="200"/>
    <n v="4.9000000000000004"/>
    <s v="Credit Card"/>
  </r>
  <r>
    <n v="3960"/>
    <x v="19"/>
    <n v="161"/>
    <x v="345"/>
    <n v="3.02830188679245"/>
    <s v="Credit Card"/>
  </r>
  <r>
    <n v="4059"/>
    <x v="4"/>
    <n v="186"/>
    <x v="78"/>
    <n v="3.1"/>
    <s v="Credit Card"/>
  </r>
  <r>
    <n v="4037"/>
    <x v="18"/>
    <n v="167"/>
    <x v="68"/>
    <n v="3.8"/>
    <s v="Credit Card"/>
  </r>
  <r>
    <n v="3960"/>
    <x v="7"/>
    <n v="95"/>
    <x v="324"/>
    <n v="1.5"/>
    <s v="Cash"/>
  </r>
  <r>
    <n v="4056"/>
    <x v="15"/>
    <n v="192"/>
    <x v="156"/>
    <n v="1.7"/>
    <s v="Credit Card"/>
  </r>
  <r>
    <n v="4011"/>
    <x v="16"/>
    <n v="146"/>
    <x v="219"/>
    <n v="4.8"/>
    <s v="Cash"/>
  </r>
  <r>
    <n v="4074"/>
    <x v="14"/>
    <n v="110.56666666666599"/>
    <x v="132"/>
    <n v="4.0999999999999996"/>
    <s v="Cash"/>
  </r>
  <r>
    <n v="4013"/>
    <x v="44"/>
    <n v="129"/>
    <x v="290"/>
    <n v="3.262"/>
    <s v="Cash"/>
  </r>
  <r>
    <n v="3973"/>
    <x v="23"/>
    <n v="33"/>
    <x v="195"/>
    <n v="2.8"/>
    <s v="Cash"/>
  </r>
  <r>
    <n v="4028"/>
    <x v="45"/>
    <n v="188"/>
    <x v="289"/>
    <n v="2.6"/>
    <s v="Cash"/>
  </r>
  <r>
    <n v="4116"/>
    <x v="48"/>
    <n v="126"/>
    <x v="92"/>
    <n v="1.7"/>
    <s v="Cash"/>
  </r>
  <r>
    <n v="4051"/>
    <x v="27"/>
    <n v="174"/>
    <x v="219"/>
    <n v="1.3"/>
    <s v="Credit Card"/>
  </r>
  <r>
    <n v="3968"/>
    <x v="38"/>
    <n v="129"/>
    <x v="177"/>
    <n v="4.7"/>
    <s v="Credit Card"/>
  </r>
  <r>
    <n v="3974"/>
    <x v="14"/>
    <n v="67"/>
    <x v="142"/>
    <n v="3.05820895522388"/>
    <s v="Cash"/>
  </r>
  <r>
    <n v="4012"/>
    <x v="27"/>
    <n v="108.734693877551"/>
    <x v="279"/>
    <n v="1.9"/>
    <s v="Credit Card"/>
  </r>
  <r>
    <n v="4062"/>
    <x v="18"/>
    <n v="76"/>
    <x v="180"/>
    <n v="2.9"/>
    <s v="Cash"/>
  </r>
  <r>
    <n v="4034"/>
    <x v="39"/>
    <n v="110"/>
    <x v="280"/>
    <n v="2.4"/>
    <s v="Credit Card"/>
  </r>
  <r>
    <n v="4110"/>
    <x v="2"/>
    <n v="100.679999999999"/>
    <x v="46"/>
    <n v="2.5"/>
    <s v="Credit Card"/>
  </r>
  <r>
    <n v="4084"/>
    <x v="12"/>
    <n v="94"/>
    <x v="346"/>
    <n v="1.2"/>
    <s v="Credit Card"/>
  </r>
  <r>
    <n v="3983"/>
    <x v="43"/>
    <n v="93"/>
    <x v="183"/>
    <n v="4.9000000000000004"/>
    <s v="Cash"/>
  </r>
  <r>
    <n v="4094"/>
    <x v="34"/>
    <n v="17"/>
    <x v="15"/>
    <n v="2.5"/>
    <s v="Credit Card"/>
  </r>
  <r>
    <n v="4102"/>
    <x v="37"/>
    <n v="108.54716981132"/>
    <x v="261"/>
    <n v="3.1"/>
    <s v="Credit Card"/>
  </r>
  <r>
    <n v="4000"/>
    <x v="42"/>
    <n v="106.72413793103399"/>
    <x v="210"/>
    <n v="1.5"/>
    <s v="Cash"/>
  </r>
  <r>
    <n v="4021"/>
    <x v="43"/>
    <n v="53"/>
    <x v="331"/>
    <n v="4"/>
    <s v="Cash"/>
  </r>
  <r>
    <n v="3981"/>
    <x v="19"/>
    <n v="99"/>
    <x v="54"/>
    <n v="4.5"/>
    <s v="Cash"/>
  </r>
  <r>
    <n v="4110"/>
    <x v="18"/>
    <n v="42"/>
    <x v="6"/>
    <n v="4"/>
    <s v="Cash"/>
  </r>
  <r>
    <n v="4040"/>
    <x v="22"/>
    <n v="113"/>
    <x v="22"/>
    <n v="1.2"/>
    <s v="Credit Card"/>
  </r>
  <r>
    <n v="4118"/>
    <x v="46"/>
    <n v="37"/>
    <x v="71"/>
    <n v="2.7"/>
    <s v="Cash"/>
  </r>
  <r>
    <n v="4056"/>
    <x v="32"/>
    <n v="176"/>
    <x v="343"/>
    <n v="2.5"/>
    <s v="Cash"/>
  </r>
  <r>
    <n v="3991"/>
    <x v="40"/>
    <n v="114.396551724137"/>
    <x v="227"/>
    <n v="2.4"/>
    <s v="Credit Card"/>
  </r>
  <r>
    <n v="4042"/>
    <x v="44"/>
    <n v="128"/>
    <x v="157"/>
    <n v="1.8"/>
    <s v="Cash"/>
  </r>
  <r>
    <n v="4001"/>
    <x v="0"/>
    <n v="115"/>
    <x v="92"/>
    <n v="1.4"/>
    <s v="Cas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n v="3957"/>
    <n v="3690.6961836428363"/>
    <n v="3690.6961836428363"/>
    <n v="1.0337342489212333E-2"/>
    <x v="0"/>
  </r>
  <r>
    <n v="3958"/>
    <n v="3625.0745482821576"/>
    <n v="7315.7707319249939"/>
    <n v="2.0490884067791058E-2"/>
    <x v="0"/>
  </r>
  <r>
    <n v="3959"/>
    <n v="3454.3155704189498"/>
    <n v="10770.086302343943"/>
    <n v="3.0166143514910912E-2"/>
    <x v="0"/>
  </r>
  <r>
    <n v="3960"/>
    <n v="3436.0647607475153"/>
    <n v="14206.151063091458"/>
    <n v="3.9790283915408828E-2"/>
    <x v="0"/>
  </r>
  <r>
    <n v="3961"/>
    <n v="3374.475460047538"/>
    <n v="17580.626523138995"/>
    <n v="4.9241917649595797E-2"/>
    <x v="0"/>
  </r>
  <r>
    <n v="3962"/>
    <n v="3196.4137475945276"/>
    <n v="20777.040270733523"/>
    <n v="5.8194814881439301E-2"/>
    <x v="0"/>
  </r>
  <r>
    <n v="3963"/>
    <n v="3107.066927851633"/>
    <n v="23884.107198585156"/>
    <n v="6.68974588737727E-2"/>
    <x v="0"/>
  </r>
  <r>
    <n v="3964"/>
    <n v="3066.5073880921332"/>
    <n v="26950.614586677289"/>
    <n v="7.5486498864899762E-2"/>
    <x v="0"/>
  </r>
  <r>
    <n v="3965"/>
    <n v="2958.8799805592348"/>
    <n v="29909.494567236525"/>
    <n v="8.3774083163785193E-2"/>
    <x v="0"/>
  </r>
  <r>
    <n v="3966"/>
    <n v="2905.6980686467232"/>
    <n v="32815.19263588325"/>
    <n v="9.1912709214601526E-2"/>
    <x v="0"/>
  </r>
  <r>
    <n v="3967"/>
    <n v="2864.1937452890884"/>
    <n v="35679.386381172335"/>
    <n v="9.9935085001515753E-2"/>
    <x v="0"/>
  </r>
  <r>
    <n v="3968"/>
    <n v="2855.1005943841769"/>
    <n v="38534.486975556509"/>
    <n v="0.1079319916057791"/>
    <x v="0"/>
  </r>
  <r>
    <n v="3969"/>
    <n v="2848.3669159189094"/>
    <n v="41382.853891475417"/>
    <n v="0.11591003771948888"/>
    <x v="0"/>
  </r>
  <r>
    <n v="3970"/>
    <n v="2811.9139846471689"/>
    <n v="44194.767876122583"/>
    <n v="0.12378598211131707"/>
    <x v="0"/>
  </r>
  <r>
    <n v="3971"/>
    <n v="2794.6641414141395"/>
    <n v="46989.432017536725"/>
    <n v="0.13161361108282557"/>
    <x v="0"/>
  </r>
  <r>
    <n v="3972"/>
    <n v="2765.1747300778093"/>
    <n v="49754.606747614533"/>
    <n v="0.13935864259043551"/>
    <x v="0"/>
  </r>
  <r>
    <n v="3973"/>
    <n v="2765.0225404247008"/>
    <n v="52519.629288039236"/>
    <n v="0.14710324782709572"/>
    <x v="0"/>
  </r>
  <r>
    <n v="3974"/>
    <n v="2764.4801191586598"/>
    <n v="55284.109407197895"/>
    <n v="0.15484633378551638"/>
    <x v="0"/>
  </r>
  <r>
    <n v="3975"/>
    <n v="2758.2520947176677"/>
    <n v="58042.361501915562"/>
    <n v="0.16257197554954275"/>
    <x v="0"/>
  </r>
  <r>
    <n v="3976"/>
    <n v="2730.016717089884"/>
    <n v="60772.378219005448"/>
    <n v="0.17021853229699577"/>
    <x v="0"/>
  </r>
  <r>
    <n v="3977"/>
    <n v="2711.8346282053267"/>
    <n v="63484.212847210772"/>
    <n v="0.17781416247921103"/>
    <x v="0"/>
  </r>
  <r>
    <n v="3978"/>
    <n v="2700.399877414814"/>
    <n v="66184.612724625593"/>
    <n v="0.18537776484626123"/>
    <x v="0"/>
  </r>
  <r>
    <n v="3979"/>
    <n v="2691.9616046981023"/>
    <n v="68876.574329323688"/>
    <n v="0.19291773229167336"/>
    <x v="0"/>
  </r>
  <r>
    <n v="3980"/>
    <n v="2688.766670190274"/>
    <n v="71565.340999513966"/>
    <n v="0.20044875098308504"/>
    <x v="0"/>
  </r>
  <r>
    <n v="3981"/>
    <n v="2644.7351502732222"/>
    <n v="74210.076149787186"/>
    <n v="0.20785644093675867"/>
    <x v="0"/>
  </r>
  <r>
    <n v="3982"/>
    <n v="2628.4177662396291"/>
    <n v="76838.493916026811"/>
    <n v="0.21521842721316115"/>
    <x v="0"/>
  </r>
  <r>
    <n v="3983"/>
    <n v="2621.2909769741673"/>
    <n v="79459.784893000979"/>
    <n v="0.22256045192734886"/>
    <x v="0"/>
  </r>
  <r>
    <n v="3984"/>
    <n v="2615.8877161484716"/>
    <n v="82075.672609149449"/>
    <n v="0.22988734254354135"/>
    <x v="0"/>
  </r>
  <r>
    <n v="3985"/>
    <n v="2611.8311326696676"/>
    <n v="84687.50374181912"/>
    <n v="0.23720287099642648"/>
    <x v="0"/>
  </r>
  <r>
    <n v="3986"/>
    <n v="2602.8108708995424"/>
    <n v="87290.314612718663"/>
    <n v="0.24449313442325138"/>
    <x v="0"/>
  </r>
  <r>
    <n v="3987"/>
    <n v="2591.2299022665952"/>
    <n v="89881.54451498526"/>
    <n v="0.2517509604905217"/>
    <x v="0"/>
  </r>
  <r>
    <n v="3988"/>
    <n v="2573.536904352477"/>
    <n v="92455.081419337745"/>
    <n v="0.25895922989693498"/>
    <x v="0"/>
  </r>
  <r>
    <n v="3989"/>
    <n v="2559.3489417634369"/>
    <n v="95014.430361101186"/>
    <n v="0.26612775996388244"/>
    <x v="0"/>
  </r>
  <r>
    <n v="3990"/>
    <n v="2532.9319144577735"/>
    <n v="97547.36227555896"/>
    <n v="0.27322229806692455"/>
    <x v="0"/>
  </r>
  <r>
    <n v="3991"/>
    <n v="2529.1524064171122"/>
    <n v="100076.51468197607"/>
    <n v="0.28030625007262544"/>
    <x v="0"/>
  </r>
  <r>
    <n v="3992"/>
    <n v="2504.292307692308"/>
    <n v="102580.80698966837"/>
    <n v="0.28732057094586599"/>
    <x v="0"/>
  </r>
  <r>
    <n v="3993"/>
    <n v="2499.9086950405904"/>
    <n v="105080.71568470896"/>
    <n v="0.29432261367344892"/>
    <x v="0"/>
  </r>
  <r>
    <n v="3994"/>
    <n v="2495.8917422490586"/>
    <n v="107576.60742695803"/>
    <n v="0.30131340524008476"/>
    <x v="0"/>
  </r>
  <r>
    <n v="3995"/>
    <n v="2490.3051503603906"/>
    <n v="110066.91257731842"/>
    <n v="0.30828854921319704"/>
    <x v="0"/>
  </r>
  <r>
    <n v="3996"/>
    <n v="2462.8548387096771"/>
    <n v="112529.7674160281"/>
    <n v="0.31518680707625057"/>
    <x v="0"/>
  </r>
  <r>
    <n v="3997"/>
    <n v="2456.9408916092493"/>
    <n v="114986.70830763735"/>
    <n v="0.32206850045022173"/>
    <x v="0"/>
  </r>
  <r>
    <n v="3998"/>
    <n v="2451.3500048194442"/>
    <n v="117438.05831245679"/>
    <n v="0.32893453420099744"/>
    <x v="0"/>
  </r>
  <r>
    <n v="3999"/>
    <n v="2434.9844119036361"/>
    <n v="119873.04272436044"/>
    <n v="0.33575472924530919"/>
    <x v="0"/>
  </r>
  <r>
    <n v="4000"/>
    <n v="2429.4934579309329"/>
    <n v="122302.53618229137"/>
    <n v="0.34255954457019028"/>
    <x v="0"/>
  </r>
  <r>
    <n v="4001"/>
    <n v="2425.6230505466729"/>
    <n v="124728.15923283804"/>
    <n v="0.34935351919599639"/>
    <x v="0"/>
  </r>
  <r>
    <n v="4002"/>
    <n v="2424.8502412479033"/>
    <n v="127153.00947408593"/>
    <n v="0.35614532924525577"/>
    <x v="0"/>
  </r>
  <r>
    <n v="4003"/>
    <n v="2421.3070812807855"/>
    <n v="129574.31655536672"/>
    <n v="0.362927215189075"/>
    <x v="0"/>
  </r>
  <r>
    <n v="4004"/>
    <n v="2417.5704686340614"/>
    <n v="131991.88702400078"/>
    <n v="0.36969863518209339"/>
    <x v="0"/>
  </r>
  <r>
    <n v="4005"/>
    <n v="2415.6321595558138"/>
    <n v="134407.51918355661"/>
    <n v="0.3764646261276382"/>
    <x v="0"/>
  </r>
  <r>
    <n v="4006"/>
    <n v="2414.6168256967389"/>
    <n v="136822.13600925336"/>
    <n v="0.38322777320489371"/>
    <x v="0"/>
  </r>
  <r>
    <n v="4007"/>
    <n v="2409.8345407444949"/>
    <n v="139231.97054999784"/>
    <n v="0.38997752548751624"/>
    <x v="0"/>
  </r>
  <r>
    <n v="4008"/>
    <n v="2408.2965382159337"/>
    <n v="141640.26708821379"/>
    <n v="0.3967229699490406"/>
    <x v="0"/>
  </r>
  <r>
    <n v="4009"/>
    <n v="2406.4302432735999"/>
    <n v="144046.69733148738"/>
    <n v="0.40346318706888057"/>
    <x v="0"/>
  </r>
  <r>
    <n v="4010"/>
    <n v="2390.6055103983135"/>
    <n v="146437.30284188568"/>
    <n v="0.41015908038762933"/>
    <x v="0"/>
  </r>
  <r>
    <n v="4011"/>
    <n v="2379.5874437839211"/>
    <n v="148816.89028566959"/>
    <n v="0.41682411298999977"/>
    <x v="0"/>
  </r>
  <r>
    <n v="4012"/>
    <n v="2371.4236584863897"/>
    <n v="151188.31394415599"/>
    <n v="0.42346627948786586"/>
    <x v="0"/>
  </r>
  <r>
    <n v="4013"/>
    <n v="2367.5922038980498"/>
    <n v="153555.90614805405"/>
    <n v="0.43009771439029831"/>
    <x v="0"/>
  </r>
  <r>
    <n v="4014"/>
    <n v="2358.5405138339911"/>
    <n v="155914.44666188804"/>
    <n v="0.43670379623855271"/>
    <x v="0"/>
  </r>
  <r>
    <n v="4015"/>
    <n v="2348.299625824453"/>
    <n v="158262.74628771248"/>
    <n v="0.44328119418504963"/>
    <x v="0"/>
  </r>
  <r>
    <n v="4016"/>
    <n v="2347.541090854244"/>
    <n v="160610.28737856672"/>
    <n v="0.44985646753624342"/>
    <x v="0"/>
  </r>
  <r>
    <n v="4017"/>
    <n v="2347.1453710274172"/>
    <n v="162957.43274959413"/>
    <n v="0.45643063250810278"/>
    <x v="0"/>
  </r>
  <r>
    <n v="4018"/>
    <n v="2335.7864232901165"/>
    <n v="165293.21917288424"/>
    <n v="0.46297298198303827"/>
    <x v="0"/>
  </r>
  <r>
    <n v="4019"/>
    <n v="2328.6671398182525"/>
    <n v="167621.8863127025"/>
    <n v="0.46949539091888187"/>
    <x v="0"/>
  </r>
  <r>
    <n v="4020"/>
    <n v="2328.2036367490227"/>
    <n v="169950.08994945153"/>
    <n v="0.47601650161999332"/>
    <x v="0"/>
  </r>
  <r>
    <n v="4021"/>
    <n v="2318.4580950551108"/>
    <n v="172268.54804450664"/>
    <n v="0.48251031584444554"/>
    <x v="0"/>
  </r>
  <r>
    <n v="4022"/>
    <n v="2313.0926739926736"/>
    <n v="174581.64071849931"/>
    <n v="0.4889891019570291"/>
    <x v="0"/>
  </r>
  <r>
    <n v="4023"/>
    <n v="2297.8052656546479"/>
    <n v="176879.44598415395"/>
    <n v="0.49542506927123436"/>
    <x v="0"/>
  </r>
  <r>
    <n v="4024"/>
    <n v="2296.0561204263413"/>
    <n v="179175.50210458029"/>
    <n v="0.50185613737066048"/>
    <x v="0"/>
  </r>
  <r>
    <n v="4025"/>
    <n v="2290.4375722734312"/>
    <n v="181465.93967685371"/>
    <n v="0.50827146836964299"/>
    <x v="0"/>
  </r>
  <r>
    <n v="4026"/>
    <n v="2289.8947629830573"/>
    <n v="183755.83443983676"/>
    <n v="0.5146852790035612"/>
    <x v="0"/>
  </r>
  <r>
    <n v="4027"/>
    <n v="2288.9414610546683"/>
    <n v="186044.77590089143"/>
    <n v="0.52109641951562724"/>
    <x v="0"/>
  </r>
  <r>
    <n v="4028"/>
    <n v="2288.4079843509571"/>
    <n v="188333.18388524238"/>
    <n v="0.52750606580245174"/>
    <x v="0"/>
  </r>
  <r>
    <n v="4029"/>
    <n v="2283.6820140131167"/>
    <n v="190616.8658992555"/>
    <n v="0.53390247502733867"/>
    <x v="0"/>
  </r>
  <r>
    <n v="4030"/>
    <n v="2262.1944459109859"/>
    <n v="192879.06034516648"/>
    <n v="0.54023869930616664"/>
    <x v="0"/>
  </r>
  <r>
    <n v="4031"/>
    <n v="2241.1886904761886"/>
    <n v="195120.24903564266"/>
    <n v="0.54651608815737629"/>
    <x v="0"/>
  </r>
  <r>
    <n v="4032"/>
    <n v="2236.2893600136035"/>
    <n v="197356.53839565627"/>
    <n v="0.55277975437891413"/>
    <x v="0"/>
  </r>
  <r>
    <n v="4033"/>
    <n v="2228.9890875319229"/>
    <n v="199585.5274831882"/>
    <n v="0.55902297312573368"/>
    <x v="0"/>
  </r>
  <r>
    <n v="4034"/>
    <n v="2227.1724137931033"/>
    <n v="201812.6998969813"/>
    <n v="0.5652611035158599"/>
    <x v="0"/>
  </r>
  <r>
    <n v="4035"/>
    <n v="2222.0611892342599"/>
    <n v="204034.76108621556"/>
    <n v="0.57148491777803212"/>
    <x v="0"/>
  </r>
  <r>
    <n v="4036"/>
    <n v="2204.6470588235288"/>
    <n v="206239.40814503908"/>
    <n v="0.57765995646474377"/>
    <x v="0"/>
  </r>
  <r>
    <n v="4037"/>
    <n v="2204.2181818181807"/>
    <n v="208443.62632685725"/>
    <n v="0.58383379390153678"/>
    <x v="0"/>
  </r>
  <r>
    <n v="4038"/>
    <n v="2203.9571798185334"/>
    <n v="210647.58350667579"/>
    <n v="0.59000690029276925"/>
    <x v="0"/>
  </r>
  <r>
    <n v="4039"/>
    <n v="2193.105086170659"/>
    <n v="212840.68859284645"/>
    <n v="0.59614961084452278"/>
    <x v="0"/>
  </r>
  <r>
    <n v="4040"/>
    <n v="2186.8644067796599"/>
    <n v="215027.55299962612"/>
    <n v="0.60227484175638735"/>
    <x v="0"/>
  </r>
  <r>
    <n v="4041"/>
    <n v="2184.7591654247381"/>
    <n v="217212.31216505085"/>
    <n v="0.60839417605692836"/>
    <x v="0"/>
  </r>
  <r>
    <n v="4042"/>
    <n v="2166.1265100554087"/>
    <n v="219378.43867510627"/>
    <n v="0.61446132179182966"/>
    <x v="0"/>
  </r>
  <r>
    <n v="4043"/>
    <n v="2149.6213836477982"/>
    <n v="221528.06005875405"/>
    <n v="0.62048223799820468"/>
    <x v="0"/>
  </r>
  <r>
    <n v="4044"/>
    <n v="2142.6851851851852"/>
    <n v="223670.74524393925"/>
    <n v="0.62648372647183947"/>
    <x v="0"/>
  </r>
  <r>
    <n v="4045"/>
    <n v="2139.5574419628315"/>
    <n v="225810.30268590208"/>
    <n v="0.63247645438884792"/>
    <x v="0"/>
  </r>
  <r>
    <n v="4046"/>
    <n v="2113.2169105889861"/>
    <n v="227923.51959649107"/>
    <n v="0.63839540460088939"/>
    <x v="0"/>
  </r>
  <r>
    <n v="4047"/>
    <n v="2099.7610047277763"/>
    <n v="230023.28060121884"/>
    <n v="0.64427666590534582"/>
    <x v="0"/>
  </r>
  <r>
    <n v="4048"/>
    <n v="2097.9491525423718"/>
    <n v="232121.2297537612"/>
    <n v="0.65015285235789133"/>
    <x v="0"/>
  </r>
  <r>
    <n v="4049"/>
    <n v="2090.4716476421072"/>
    <n v="234211.70140140332"/>
    <n v="0.65600809492200152"/>
    <x v="0"/>
  </r>
  <r>
    <n v="4050"/>
    <n v="2050.9491525423718"/>
    <n v="236262.65055394568"/>
    <n v="0.66175263816339713"/>
    <x v="0"/>
  </r>
  <r>
    <n v="4051"/>
    <n v="2037.7205882352941"/>
    <n v="238300.37114218099"/>
    <n v="0.66746012926257403"/>
    <x v="0"/>
  </r>
  <r>
    <n v="4052"/>
    <n v="2025.685185185185"/>
    <n v="240326.05632736618"/>
    <n v="0.67313391016802748"/>
    <x v="0"/>
  </r>
  <r>
    <n v="4053"/>
    <n v="2011.118181818181"/>
    <n v="242337.17450918438"/>
    <n v="0.67876689007135205"/>
    <x v="0"/>
  </r>
  <r>
    <n v="4054"/>
    <n v="2009.077533357374"/>
    <n v="244346.25204254175"/>
    <n v="0.68439415428284234"/>
    <x v="0"/>
  </r>
  <r>
    <n v="4055"/>
    <n v="1991.7205882352941"/>
    <n v="246337.97263077705"/>
    <n v="0.68997280309025555"/>
    <x v="0"/>
  </r>
  <r>
    <n v="4056"/>
    <n v="1990.733149389042"/>
    <n v="248328.70578016608"/>
    <n v="0.69554868616106169"/>
    <x v="0"/>
  </r>
  <r>
    <n v="4057"/>
    <n v="1990.1805351428218"/>
    <n v="250318.88631530892"/>
    <n v="0.70112302140391258"/>
    <x v="0"/>
  </r>
  <r>
    <n v="4058"/>
    <n v="1989.0190936852487"/>
    <n v="252307.90540899418"/>
    <n v="0.70669410354286899"/>
    <x v="0"/>
  </r>
  <r>
    <n v="4059"/>
    <n v="1982.8548387096771"/>
    <n v="254290.76024770385"/>
    <n v="0.71224792010056293"/>
    <x v="0"/>
  </r>
  <r>
    <n v="4060"/>
    <n v="1982.5063557241606"/>
    <n v="256273.266603428"/>
    <n v="0.71780076058550712"/>
    <x v="0"/>
  </r>
  <r>
    <n v="4061"/>
    <n v="1973.3246997220858"/>
    <n v="258246.59130315008"/>
    <n v="0.72332788399215797"/>
    <x v="0"/>
  </r>
  <r>
    <n v="4062"/>
    <n v="1963.8835634364975"/>
    <n v="260210.47486658659"/>
    <n v="0.72882856353715908"/>
    <x v="0"/>
  </r>
  <r>
    <n v="4063"/>
    <n v="1952.6926243567739"/>
    <n v="262163.16749094339"/>
    <n v="0.73429789816394253"/>
    <x v="0"/>
  </r>
  <r>
    <n v="4064"/>
    <n v="1948.6470588235291"/>
    <n v="264111.81454976695"/>
    <n v="0.7397559014877958"/>
    <x v="0"/>
  </r>
  <r>
    <n v="4065"/>
    <n v="1946.3529055690065"/>
    <n v="266058.16745533596"/>
    <n v="0.74520747907332374"/>
    <x v="0"/>
  </r>
  <r>
    <n v="4066"/>
    <n v="1943.7962949962082"/>
    <n v="268001.96375033219"/>
    <n v="0.75065189579873537"/>
    <x v="0"/>
  </r>
  <r>
    <n v="4067"/>
    <n v="1927.6651275642569"/>
    <n v="269929.62887789647"/>
    <n v="0.7560511304245654"/>
    <x v="0"/>
  </r>
  <r>
    <n v="4068"/>
    <n v="1914.6799999999989"/>
    <n v="271844.30887789646"/>
    <n v="0.76141399475486871"/>
    <x v="0"/>
  </r>
  <r>
    <n v="4069"/>
    <n v="1892.517241379308"/>
    <n v="273736.82611927576"/>
    <n v="0.76671478298490059"/>
    <x v="0"/>
  </r>
  <r>
    <n v="4070"/>
    <n v="1891.9476202395838"/>
    <n v="275628.77373951534"/>
    <n v="0.77201397575203934"/>
    <x v="0"/>
  </r>
  <r>
    <n v="4071"/>
    <n v="1883.9690686918618"/>
    <n v="277512.74280820717"/>
    <n v="0.77729082123947446"/>
    <x v="0"/>
  </r>
  <r>
    <n v="4072"/>
    <n v="1873.5733489187605"/>
    <n v="279386.31615712593"/>
    <n v="0.782538549153864"/>
    <x v="0"/>
  </r>
  <r>
    <n v="4073"/>
    <n v="1846.1619033536379"/>
    <n v="281232.47806047957"/>
    <n v="0.78770949981896754"/>
    <x v="0"/>
  </r>
  <r>
    <n v="4074"/>
    <n v="1824.936751435218"/>
    <n v="283057.41481191479"/>
    <n v="0.79282100054458837"/>
    <x v="0"/>
  </r>
  <r>
    <n v="4075"/>
    <n v="1822.8399888546055"/>
    <n v="284880.25480076938"/>
    <n v="0.79792662840724893"/>
    <x v="0"/>
  </r>
  <r>
    <n v="4076"/>
    <n v="1820.8961214008511"/>
    <n v="286701.15092217026"/>
    <n v="0.80302681165387424"/>
    <x v="1"/>
  </r>
  <r>
    <n v="4077"/>
    <n v="1816.1011494252862"/>
    <n v="288517.25207159552"/>
    <n v="0.80811356457053696"/>
    <x v="1"/>
  </r>
  <r>
    <n v="4078"/>
    <n v="1779.0436350522891"/>
    <n v="290296.2957066478"/>
    <n v="0.81309652237678931"/>
    <x v="1"/>
  </r>
  <r>
    <n v="4079"/>
    <n v="1768.9171987003381"/>
    <n v="292065.21290534816"/>
    <n v="0.81805111685115073"/>
    <x v="1"/>
  </r>
  <r>
    <n v="4080"/>
    <n v="1767.2010448247092"/>
    <n v="293832.41395017289"/>
    <n v="0.82300090451685226"/>
    <x v="1"/>
  </r>
  <r>
    <n v="4081"/>
    <n v="1754.0118912967305"/>
    <n v="295586.42584146961"/>
    <n v="0.82791375042675008"/>
    <x v="1"/>
  </r>
  <r>
    <n v="4082"/>
    <n v="1753.6102785474718"/>
    <n v="297340.03612001706"/>
    <n v="0.83282547145171282"/>
    <x v="1"/>
  </r>
  <r>
    <n v="4083"/>
    <n v="1736.453967840067"/>
    <n v="299076.49008785712"/>
    <n v="0.83768913903342002"/>
    <x v="1"/>
  </r>
  <r>
    <n v="4084"/>
    <n v="1723.7941857044805"/>
    <n v="300800.28427356161"/>
    <n v="0.84251734758591923"/>
    <x v="1"/>
  </r>
  <r>
    <n v="4085"/>
    <n v="1692.0582835768871"/>
    <n v="302492.34255713847"/>
    <n v="0.8472566664349116"/>
    <x v="1"/>
  </r>
  <r>
    <n v="4086"/>
    <n v="1689.2848780019356"/>
    <n v="304181.62743514043"/>
    <n v="0.85198821719846352"/>
    <x v="1"/>
  </r>
  <r>
    <n v="4087"/>
    <n v="1679.5318181818179"/>
    <n v="305861.15925332223"/>
    <n v="0.85669245042769071"/>
    <x v="1"/>
  </r>
  <r>
    <n v="4088"/>
    <n v="1676.348675914249"/>
    <n v="307537.50792923645"/>
    <n v="0.86138776793203176"/>
    <x v="1"/>
  </r>
  <r>
    <n v="4089"/>
    <n v="1673.528047094147"/>
    <n v="309211.03597633058"/>
    <n v="0.86607518508242942"/>
    <x v="1"/>
  </r>
  <r>
    <n v="4090"/>
    <n v="1669.0714285714284"/>
    <n v="310880.107404902"/>
    <n v="0.87075011960361015"/>
    <x v="1"/>
  </r>
  <r>
    <n v="4091"/>
    <n v="1660.808333333332"/>
    <n v="312540.91573823534"/>
    <n v="0.87540190986114874"/>
    <x v="1"/>
  </r>
  <r>
    <n v="4092"/>
    <n v="1659.7767387492686"/>
    <n v="314200.69247698464"/>
    <n v="0.88005081070541824"/>
    <x v="1"/>
  </r>
  <r>
    <n v="4093"/>
    <n v="1648.0642857142855"/>
    <n v="315848.75676269893"/>
    <n v="0.88466690591292241"/>
    <x v="1"/>
  </r>
  <r>
    <n v="4094"/>
    <n v="1644.5872549019607"/>
    <n v="317493.34401760087"/>
    <n v="0.88927326223741809"/>
    <x v="1"/>
  </r>
  <r>
    <n v="4095"/>
    <n v="1608.7507936507934"/>
    <n v="319102.09481125168"/>
    <n v="0.89377924352286375"/>
    <x v="1"/>
  </r>
  <r>
    <n v="4096"/>
    <n v="1604.311003010999"/>
    <n v="320706.40581426269"/>
    <n v="0.89827278931263599"/>
    <x v="1"/>
  </r>
  <r>
    <n v="4097"/>
    <n v="1595.5641025641021"/>
    <n v="322301.96991682681"/>
    <n v="0.90274183573937761"/>
    <x v="1"/>
  </r>
  <r>
    <n v="4098"/>
    <n v="1595.0128959276017"/>
    <n v="323896.9828127544"/>
    <n v="0.90720933828076522"/>
    <x v="1"/>
  </r>
  <r>
    <n v="4099"/>
    <n v="1590.4866236939647"/>
    <n v="325487.46943644836"/>
    <n v="0.91166416309850651"/>
    <x v="1"/>
  </r>
  <r>
    <n v="4100"/>
    <n v="1587.6394149093228"/>
    <n v="327075.10885135765"/>
    <n v="0.91611101311396648"/>
    <x v="1"/>
  </r>
  <r>
    <n v="4101"/>
    <n v="1574.3541666666661"/>
    <n v="328649.46301802434"/>
    <n v="0.92052065222007373"/>
    <x v="1"/>
  </r>
  <r>
    <n v="4102"/>
    <n v="1526.2222222222219"/>
    <n v="330175.68524024659"/>
    <n v="0.92479547762989256"/>
    <x v="1"/>
  </r>
  <r>
    <n v="4103"/>
    <n v="1498.2181818181809"/>
    <n v="331673.90342206479"/>
    <n v="0.9289918659800529"/>
    <x v="1"/>
  </r>
  <r>
    <n v="4104"/>
    <n v="1488.4547125987149"/>
    <n v="333162.35813466349"/>
    <n v="0.93316090764000004"/>
    <x v="1"/>
  </r>
  <r>
    <n v="4105"/>
    <n v="1476.597358490566"/>
    <n v="334638.95549315406"/>
    <n v="0.93729673780695699"/>
    <x v="1"/>
  </r>
  <r>
    <n v="4106"/>
    <n v="1473.970200308165"/>
    <n v="336112.92569346225"/>
    <n v="0.94142520951563058"/>
    <x v="1"/>
  </r>
  <r>
    <n v="4107"/>
    <n v="1455.8902636447722"/>
    <n v="337568.815957107"/>
    <n v="0.94550304077920277"/>
    <x v="1"/>
  </r>
  <r>
    <n v="4108"/>
    <n v="1440.8553156813302"/>
    <n v="339009.67127278831"/>
    <n v="0.94953876036555418"/>
    <x v="1"/>
  </r>
  <r>
    <n v="4109"/>
    <n v="1432.2376002142496"/>
    <n v="340441.90887300257"/>
    <n v="0.95355034242558945"/>
    <x v="1"/>
  </r>
  <r>
    <n v="4110"/>
    <n v="1420.889359138492"/>
    <n v="341862.79823214107"/>
    <n v="0.95753013897719685"/>
    <x v="1"/>
  </r>
  <r>
    <n v="4111"/>
    <n v="1399.7160714285703"/>
    <n v="343262.51430356962"/>
    <n v="0.9614506308567885"/>
    <x v="1"/>
  </r>
  <r>
    <n v="4112"/>
    <n v="1376.0625138279779"/>
    <n v="344638.57681739761"/>
    <n v="0.96530487102834495"/>
    <x v="1"/>
  </r>
  <r>
    <n v="4113"/>
    <n v="1348.913893615595"/>
    <n v="345987.4907110132"/>
    <n v="0.96908307010324091"/>
    <x v="1"/>
  </r>
  <r>
    <n v="4114"/>
    <n v="1346.15363515133"/>
    <n v="347333.64434616454"/>
    <n v="0.97285353791669349"/>
    <x v="1"/>
  </r>
  <r>
    <n v="4115"/>
    <n v="1332.824067309564"/>
    <n v="348666.4684134741"/>
    <n v="0.9765866706851688"/>
    <x v="1"/>
  </r>
  <r>
    <n v="4116"/>
    <n v="1288.375"/>
    <n v="349954.8434134741"/>
    <n v="0.98019530519931974"/>
    <x v="1"/>
  </r>
  <r>
    <n v="4117"/>
    <n v="1232.0714285714284"/>
    <n v="351186.91484204552"/>
    <n v="0.98364623794874617"/>
    <x v="1"/>
  </r>
  <r>
    <n v="4118"/>
    <n v="1216.1441077441068"/>
    <n v="352403.05894978961"/>
    <n v="0.98705255955649751"/>
    <x v="1"/>
  </r>
  <r>
    <n v="4119"/>
    <n v="1209.616951421649"/>
    <n v="353612.67590121127"/>
    <n v="0.99044059912556892"/>
    <x v="1"/>
  </r>
  <r>
    <n v="4120"/>
    <n v="1187.6872549019606"/>
    <n v="354800.36315611325"/>
    <n v="0.99376721538252555"/>
    <x v="1"/>
  </r>
  <r>
    <n v="4121"/>
    <n v="1113.6716886377899"/>
    <n v="355914.03484475106"/>
    <n v="0.99688652000505495"/>
    <x v="1"/>
  </r>
  <r>
    <n v="4122"/>
    <n v="1111.5921473225635"/>
    <n v="357025.6269920736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4D33C-2001-4F38-9FA4-28B80EB79D18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>
  <location ref="A1:E14" firstHeaderRow="0" firstDataRow="1" firstDataCol="1"/>
  <pivotFields count="9">
    <pivotField dataField="1" showAll="0"/>
    <pivotField showAll="0">
      <items count="51">
        <item x="0"/>
        <item x="35"/>
        <item x="37"/>
        <item x="8"/>
        <item x="2"/>
        <item x="5"/>
        <item x="3"/>
        <item x="14"/>
        <item x="38"/>
        <item x="1"/>
        <item x="12"/>
        <item x="43"/>
        <item x="16"/>
        <item x="25"/>
        <item x="24"/>
        <item x="31"/>
        <item x="27"/>
        <item x="15"/>
        <item x="47"/>
        <item x="28"/>
        <item x="10"/>
        <item x="4"/>
        <item x="40"/>
        <item x="36"/>
        <item x="23"/>
        <item x="30"/>
        <item x="18"/>
        <item x="6"/>
        <item x="48"/>
        <item x="45"/>
        <item x="44"/>
        <item x="17"/>
        <item x="46"/>
        <item x="49"/>
        <item x="32"/>
        <item x="9"/>
        <item x="29"/>
        <item x="33"/>
        <item x="39"/>
        <item x="19"/>
        <item x="41"/>
        <item x="22"/>
        <item x="13"/>
        <item x="34"/>
        <item x="7"/>
        <item x="26"/>
        <item x="11"/>
        <item x="21"/>
        <item x="42"/>
        <item x="20"/>
        <item t="default"/>
      </items>
    </pivotField>
    <pivotField dataField="1" showAll="0"/>
    <pivotField numFmtId="14" showAll="0">
      <items count="366">
        <item x="225"/>
        <item x="227"/>
        <item x="190"/>
        <item x="95"/>
        <item x="108"/>
        <item x="60"/>
        <item x="304"/>
        <item x="161"/>
        <item x="29"/>
        <item x="170"/>
        <item x="309"/>
        <item x="224"/>
        <item x="168"/>
        <item x="6"/>
        <item x="124"/>
        <item x="85"/>
        <item x="151"/>
        <item x="235"/>
        <item x="1"/>
        <item x="310"/>
        <item x="174"/>
        <item x="288"/>
        <item x="230"/>
        <item x="54"/>
        <item x="209"/>
        <item x="39"/>
        <item x="82"/>
        <item x="348"/>
        <item x="257"/>
        <item x="91"/>
        <item x="130"/>
        <item x="9"/>
        <item x="275"/>
        <item x="3"/>
        <item x="68"/>
        <item x="320"/>
        <item x="169"/>
        <item x="32"/>
        <item x="134"/>
        <item x="121"/>
        <item x="356"/>
        <item x="171"/>
        <item x="104"/>
        <item x="308"/>
        <item x="204"/>
        <item x="353"/>
        <item x="252"/>
        <item x="261"/>
        <item x="162"/>
        <item x="358"/>
        <item x="23"/>
        <item x="264"/>
        <item x="5"/>
        <item x="153"/>
        <item x="133"/>
        <item x="196"/>
        <item x="286"/>
        <item x="185"/>
        <item x="146"/>
        <item x="316"/>
        <item x="206"/>
        <item x="137"/>
        <item x="12"/>
        <item x="362"/>
        <item x="77"/>
        <item x="200"/>
        <item x="128"/>
        <item x="248"/>
        <item x="256"/>
        <item x="59"/>
        <item x="75"/>
        <item x="278"/>
        <item x="0"/>
        <item x="66"/>
        <item x="99"/>
        <item x="49"/>
        <item x="332"/>
        <item x="267"/>
        <item x="238"/>
        <item x="350"/>
        <item x="142"/>
        <item x="119"/>
        <item x="40"/>
        <item x="246"/>
        <item x="140"/>
        <item x="217"/>
        <item x="229"/>
        <item x="215"/>
        <item x="42"/>
        <item x="131"/>
        <item x="90"/>
        <item x="157"/>
        <item x="38"/>
        <item x="180"/>
        <item x="164"/>
        <item x="30"/>
        <item x="303"/>
        <item x="274"/>
        <item x="110"/>
        <item x="173"/>
        <item x="317"/>
        <item x="178"/>
        <item x="101"/>
        <item x="364"/>
        <item x="8"/>
        <item x="65"/>
        <item x="70"/>
        <item x="127"/>
        <item x="327"/>
        <item x="363"/>
        <item x="22"/>
        <item x="78"/>
        <item x="198"/>
        <item x="192"/>
        <item x="184"/>
        <item x="199"/>
        <item x="27"/>
        <item x="20"/>
        <item x="250"/>
        <item x="89"/>
        <item x="94"/>
        <item x="232"/>
        <item x="354"/>
        <item x="125"/>
        <item x="258"/>
        <item x="237"/>
        <item x="236"/>
        <item x="355"/>
        <item x="58"/>
        <item x="181"/>
        <item x="118"/>
        <item x="107"/>
        <item x="44"/>
        <item x="193"/>
        <item x="15"/>
        <item x="221"/>
        <item x="163"/>
        <item x="148"/>
        <item x="251"/>
        <item x="347"/>
        <item x="265"/>
        <item x="315"/>
        <item x="187"/>
        <item x="182"/>
        <item x="311"/>
        <item x="241"/>
        <item x="322"/>
        <item x="147"/>
        <item x="295"/>
        <item x="176"/>
        <item x="141"/>
        <item x="31"/>
        <item x="210"/>
        <item x="53"/>
        <item x="33"/>
        <item x="218"/>
        <item x="298"/>
        <item x="26"/>
        <item x="260"/>
        <item x="361"/>
        <item x="109"/>
        <item x="273"/>
        <item x="25"/>
        <item x="266"/>
        <item x="112"/>
        <item x="343"/>
        <item x="35"/>
        <item x="105"/>
        <item x="242"/>
        <item x="214"/>
        <item x="43"/>
        <item x="92"/>
        <item x="240"/>
        <item x="69"/>
        <item x="293"/>
        <item x="175"/>
        <item x="117"/>
        <item x="96"/>
        <item x="208"/>
        <item x="194"/>
        <item x="301"/>
        <item x="276"/>
        <item x="219"/>
        <item x="2"/>
        <item x="306"/>
        <item x="13"/>
        <item x="228"/>
        <item x="360"/>
        <item x="329"/>
        <item x="93"/>
        <item x="145"/>
        <item x="152"/>
        <item x="183"/>
        <item x="63"/>
        <item x="345"/>
        <item x="290"/>
        <item x="14"/>
        <item x="336"/>
        <item x="207"/>
        <item x="314"/>
        <item x="299"/>
        <item x="45"/>
        <item x="212"/>
        <item x="165"/>
        <item x="172"/>
        <item x="72"/>
        <item x="48"/>
        <item x="243"/>
        <item x="83"/>
        <item x="305"/>
        <item x="113"/>
        <item x="158"/>
        <item x="328"/>
        <item x="56"/>
        <item x="103"/>
        <item x="319"/>
        <item x="139"/>
        <item x="154"/>
        <item x="136"/>
        <item x="57"/>
        <item x="79"/>
        <item x="189"/>
        <item x="226"/>
        <item x="120"/>
        <item x="346"/>
        <item x="186"/>
        <item x="4"/>
        <item x="188"/>
        <item x="61"/>
        <item x="55"/>
        <item x="50"/>
        <item x="211"/>
        <item x="216"/>
        <item x="129"/>
        <item x="179"/>
        <item x="7"/>
        <item x="201"/>
        <item x="11"/>
        <item x="282"/>
        <item x="294"/>
        <item x="318"/>
        <item x="337"/>
        <item x="100"/>
        <item x="73"/>
        <item x="67"/>
        <item x="357"/>
        <item x="17"/>
        <item x="287"/>
        <item x="280"/>
        <item x="24"/>
        <item x="135"/>
        <item x="138"/>
        <item x="203"/>
        <item x="166"/>
        <item x="259"/>
        <item x="115"/>
        <item x="10"/>
        <item x="34"/>
        <item x="80"/>
        <item x="339"/>
        <item x="269"/>
        <item x="321"/>
        <item x="338"/>
        <item x="342"/>
        <item x="52"/>
        <item x="330"/>
        <item x="296"/>
        <item x="86"/>
        <item x="98"/>
        <item x="126"/>
        <item x="47"/>
        <item x="28"/>
        <item x="18"/>
        <item x="300"/>
        <item x="323"/>
        <item x="249"/>
        <item x="191"/>
        <item x="234"/>
        <item x="144"/>
        <item x="167"/>
        <item x="71"/>
        <item x="160"/>
        <item x="149"/>
        <item x="150"/>
        <item x="51"/>
        <item x="292"/>
        <item x="245"/>
        <item x="335"/>
        <item x="41"/>
        <item x="231"/>
        <item x="324"/>
        <item x="159"/>
        <item x="271"/>
        <item x="205"/>
        <item x="291"/>
        <item x="102"/>
        <item x="155"/>
        <item x="244"/>
        <item x="177"/>
        <item x="156"/>
        <item x="122"/>
        <item x="220"/>
        <item x="87"/>
        <item x="247"/>
        <item x="114"/>
        <item x="106"/>
        <item x="253"/>
        <item x="254"/>
        <item x="326"/>
        <item x="76"/>
        <item x="81"/>
        <item x="331"/>
        <item x="344"/>
        <item x="195"/>
        <item x="255"/>
        <item x="143"/>
        <item x="239"/>
        <item x="233"/>
        <item x="262"/>
        <item x="222"/>
        <item x="223"/>
        <item x="284"/>
        <item x="270"/>
        <item x="352"/>
        <item x="289"/>
        <item x="297"/>
        <item x="281"/>
        <item x="279"/>
        <item x="19"/>
        <item x="132"/>
        <item x="213"/>
        <item x="307"/>
        <item x="334"/>
        <item x="16"/>
        <item x="62"/>
        <item x="111"/>
        <item x="349"/>
        <item x="272"/>
        <item x="351"/>
        <item x="302"/>
        <item x="21"/>
        <item x="268"/>
        <item x="359"/>
        <item x="37"/>
        <item x="312"/>
        <item x="285"/>
        <item x="340"/>
        <item x="88"/>
        <item x="341"/>
        <item x="64"/>
        <item x="46"/>
        <item x="97"/>
        <item x="325"/>
        <item x="277"/>
        <item x="74"/>
        <item x="84"/>
        <item x="333"/>
        <item x="197"/>
        <item x="202"/>
        <item x="263"/>
        <item x="123"/>
        <item x="36"/>
        <item x="283"/>
        <item x="116"/>
        <item x="313"/>
        <item t="default"/>
      </items>
    </pivotField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редний чек" fld="2" subtotal="average" baseField="1" baseItem="0" numFmtId="4"/>
    <dataField name="Выручка" fld="2" baseField="1" baseItem="0" numFmtId="4"/>
    <dataField name="Средний рейтинг" fld="4" subtotal="average" baseField="1" baseItem="0" numFmtId="2"/>
    <dataField name="Кол-во покупок" fld="0" subtotal="count" baseField="1" baseItem="0"/>
  </dataFields>
  <formats count="6"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F949F-C3D0-4029-B6CC-CF7473262AA4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6" firstHeaderRow="0" firstDataRow="1" firstDataCol="1"/>
  <pivotFields count="5">
    <pivotField dataField="1" showAll="0"/>
    <pivotField dataField="1" numFmtId="4" showAll="0"/>
    <pivotField numFmtId="4" showAll="0"/>
    <pivotField numFmtId="10" showAll="0"/>
    <pivotField axis="axisRow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ID" fld="0" subtotal="count" baseField="4" baseItem="0"/>
    <dataField name="Сумма" fld="1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clean" connectionId="3" xr16:uid="{E35628F0-D910-4736-87DE-C7AECF1143F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ypotheses" connectionId="5" xr16:uid="{22998264-1D23-469F-B01D-87E200D9E534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rrelations" connectionId="2" xr16:uid="{D7D8D4CC-3958-4A77-807A-BC9067A0974D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s" connectionId="1" xr16:uid="{035F72BE-5FA6-4531-B6A7-E9990816ECA8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recast" connectionId="4" xr16:uid="{9DEC3815-1E9F-4EF9-850E-DE1CF7BBA9EA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C1112-CE64-4FED-8A1E-93085EE05B67}" name="Таблица1" displayName="Таблица1" ref="A1:B17" totalsRowShown="0">
  <autoFilter ref="A1:B17" xr:uid="{3FAC1112-CE64-4FED-8A1E-93085EE05B67}"/>
  <tableColumns count="2">
    <tableColumn id="1" xr3:uid="{8F1E1E9F-1EA6-423C-8E9D-6A5DE08FBAA2}" name="Метрика"/>
    <tableColumn id="2" xr3:uid="{1A193B6E-FEAB-484A-8E7A-9F88D0D140A1}" name="Значение" dataDxfId="8">
      <calculatedColumnFormula>COUNTA(Данные!A:A)-1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D5E2-CC85-486D-A0C2-379AC11E76FF}">
  <dimension ref="A1:G3358"/>
  <sheetViews>
    <sheetView workbookViewId="0">
      <selection activeCell="J17" sqref="J17"/>
    </sheetView>
  </sheetViews>
  <sheetFormatPr defaultRowHeight="14.4" x14ac:dyDescent="0.3"/>
  <cols>
    <col min="1" max="1" width="11.109375" bestFit="1" customWidth="1"/>
    <col min="2" max="2" width="10.88671875" bestFit="1" customWidth="1"/>
    <col min="3" max="3" width="12" style="7" bestFit="1" customWidth="1"/>
    <col min="4" max="4" width="13.109375" bestFit="1" customWidth="1"/>
    <col min="5" max="5" width="12" style="29" bestFit="1" customWidth="1"/>
    <col min="6" max="6" width="15.5546875" bestFit="1" customWidth="1"/>
  </cols>
  <sheetData>
    <row r="1" spans="1:7" x14ac:dyDescent="0.3">
      <c r="A1" t="s">
        <v>52</v>
      </c>
      <c r="B1" t="s">
        <v>53</v>
      </c>
      <c r="C1" s="7" t="s">
        <v>54</v>
      </c>
      <c r="D1" t="s">
        <v>55</v>
      </c>
      <c r="E1" s="29" t="s">
        <v>56</v>
      </c>
      <c r="F1" t="s">
        <v>57</v>
      </c>
      <c r="G1" t="s">
        <v>92</v>
      </c>
    </row>
    <row r="2" spans="1:7" x14ac:dyDescent="0.3">
      <c r="A2">
        <v>3992</v>
      </c>
      <c r="B2" t="s">
        <v>0</v>
      </c>
      <c r="C2" s="7">
        <v>101</v>
      </c>
      <c r="D2" s="1">
        <v>44908</v>
      </c>
      <c r="E2" s="29">
        <v>1.3</v>
      </c>
      <c r="F2" t="s">
        <v>1</v>
      </c>
      <c r="G2" t="str">
        <f>TEXT(D2,"ГГГГ-ММ")</f>
        <v>2022-12</v>
      </c>
    </row>
    <row r="3" spans="1:7" x14ac:dyDescent="0.3">
      <c r="A3">
        <v>4105</v>
      </c>
      <c r="B3" t="s">
        <v>2</v>
      </c>
      <c r="C3" s="7">
        <v>164</v>
      </c>
      <c r="D3" s="1">
        <v>44854</v>
      </c>
      <c r="E3" s="29">
        <v>1.2</v>
      </c>
      <c r="F3" t="s">
        <v>1</v>
      </c>
      <c r="G3" t="str">
        <f t="shared" ref="G3:G66" si="0">TEXT(D3,"ГГГГ-ММ")</f>
        <v>2022-10</v>
      </c>
    </row>
    <row r="4" spans="1:7" x14ac:dyDescent="0.3">
      <c r="A4">
        <v>4119</v>
      </c>
      <c r="B4" t="s">
        <v>3</v>
      </c>
      <c r="C4" s="7">
        <v>21</v>
      </c>
      <c r="D4" s="1">
        <v>45019</v>
      </c>
      <c r="E4" s="29">
        <v>3.9</v>
      </c>
      <c r="F4" t="s">
        <v>4</v>
      </c>
      <c r="G4" t="str">
        <f t="shared" si="0"/>
        <v>2023-04</v>
      </c>
    </row>
    <row r="5" spans="1:7" x14ac:dyDescent="0.3">
      <c r="A5">
        <v>3957</v>
      </c>
      <c r="B5" t="s">
        <v>5</v>
      </c>
      <c r="C5" s="7">
        <v>147</v>
      </c>
      <c r="D5" s="1">
        <v>44869</v>
      </c>
      <c r="E5" s="29">
        <v>4.7</v>
      </c>
      <c r="F5" t="s">
        <v>4</v>
      </c>
      <c r="G5" t="str">
        <f t="shared" si="0"/>
        <v>2022-11</v>
      </c>
    </row>
    <row r="6" spans="1:7" x14ac:dyDescent="0.3">
      <c r="A6">
        <v>3994</v>
      </c>
      <c r="B6" t="s">
        <v>6</v>
      </c>
      <c r="C6" s="7">
        <v>114.77966101694901</v>
      </c>
      <c r="D6" s="1">
        <v>45062</v>
      </c>
      <c r="E6" s="29">
        <v>3.9</v>
      </c>
      <c r="F6" t="s">
        <v>4</v>
      </c>
      <c r="G6" t="str">
        <f t="shared" si="0"/>
        <v>2023-05</v>
      </c>
    </row>
    <row r="7" spans="1:7" x14ac:dyDescent="0.3">
      <c r="A7">
        <v>3995</v>
      </c>
      <c r="B7" t="s">
        <v>7</v>
      </c>
      <c r="C7" s="7">
        <v>30</v>
      </c>
      <c r="D7" s="1">
        <v>44888</v>
      </c>
      <c r="E7" s="29">
        <v>4.0999999999999996</v>
      </c>
      <c r="F7" t="s">
        <v>4</v>
      </c>
      <c r="G7" t="str">
        <f t="shared" si="0"/>
        <v>2022-11</v>
      </c>
    </row>
    <row r="8" spans="1:7" x14ac:dyDescent="0.3">
      <c r="A8">
        <v>4072</v>
      </c>
      <c r="B8" t="s">
        <v>8</v>
      </c>
      <c r="C8" s="7">
        <v>170</v>
      </c>
      <c r="D8" s="1">
        <v>44849</v>
      </c>
      <c r="E8" s="29">
        <v>3.6</v>
      </c>
      <c r="F8" t="s">
        <v>1</v>
      </c>
      <c r="G8" t="str">
        <f t="shared" si="0"/>
        <v>2022-10</v>
      </c>
    </row>
    <row r="9" spans="1:7" x14ac:dyDescent="0.3">
      <c r="A9">
        <v>4093</v>
      </c>
      <c r="B9" t="s">
        <v>9</v>
      </c>
      <c r="C9" s="7">
        <v>102</v>
      </c>
      <c r="D9" s="1">
        <v>45071</v>
      </c>
      <c r="E9" s="29">
        <v>2.1</v>
      </c>
      <c r="F9" t="s">
        <v>4</v>
      </c>
      <c r="G9" t="str">
        <f t="shared" si="0"/>
        <v>2023-05</v>
      </c>
    </row>
    <row r="10" spans="1:7" x14ac:dyDescent="0.3">
      <c r="A10">
        <v>4031</v>
      </c>
      <c r="B10" t="s">
        <v>10</v>
      </c>
      <c r="C10" s="7">
        <v>190</v>
      </c>
      <c r="D10" s="1">
        <v>44940</v>
      </c>
      <c r="E10" s="29">
        <v>3</v>
      </c>
      <c r="F10" t="s">
        <v>4</v>
      </c>
      <c r="G10" t="str">
        <f t="shared" si="0"/>
        <v>2023-01</v>
      </c>
    </row>
    <row r="11" spans="1:7" x14ac:dyDescent="0.3">
      <c r="A11">
        <v>4056</v>
      </c>
      <c r="B11" t="s">
        <v>11</v>
      </c>
      <c r="C11" s="7">
        <v>109.08474576271099</v>
      </c>
      <c r="D11" s="1">
        <v>44867</v>
      </c>
      <c r="E11" s="29">
        <v>3.0693548387096699</v>
      </c>
      <c r="F11" t="s">
        <v>1</v>
      </c>
      <c r="G11" t="str">
        <f t="shared" si="0"/>
        <v>2022-11</v>
      </c>
    </row>
    <row r="12" spans="1:7" x14ac:dyDescent="0.3">
      <c r="A12">
        <v>4114</v>
      </c>
      <c r="B12" t="s">
        <v>12</v>
      </c>
      <c r="C12" s="7">
        <v>84</v>
      </c>
      <c r="D12" s="1">
        <v>45092</v>
      </c>
      <c r="E12" s="29">
        <v>3.8</v>
      </c>
      <c r="F12" t="s">
        <v>4</v>
      </c>
      <c r="G12" t="str">
        <f t="shared" si="0"/>
        <v>2023-06</v>
      </c>
    </row>
    <row r="13" spans="1:7" x14ac:dyDescent="0.3">
      <c r="A13">
        <v>4104</v>
      </c>
      <c r="B13" t="s">
        <v>0</v>
      </c>
      <c r="C13" s="7">
        <v>69</v>
      </c>
      <c r="D13" s="1">
        <v>45073</v>
      </c>
      <c r="E13" s="29">
        <v>2.1</v>
      </c>
      <c r="F13" t="s">
        <v>4</v>
      </c>
      <c r="G13" t="str">
        <f t="shared" si="0"/>
        <v>2023-05</v>
      </c>
    </row>
    <row r="14" spans="1:7" x14ac:dyDescent="0.3">
      <c r="A14">
        <v>4071</v>
      </c>
      <c r="B14" t="s">
        <v>13</v>
      </c>
      <c r="C14" s="7">
        <v>107</v>
      </c>
      <c r="D14" s="1">
        <v>44898</v>
      </c>
      <c r="E14" s="29">
        <v>1.5</v>
      </c>
      <c r="F14" t="s">
        <v>4</v>
      </c>
      <c r="G14" t="str">
        <f t="shared" si="0"/>
        <v>2022-12</v>
      </c>
    </row>
    <row r="15" spans="1:7" x14ac:dyDescent="0.3">
      <c r="A15">
        <v>4007</v>
      </c>
      <c r="B15" t="s">
        <v>2</v>
      </c>
      <c r="C15" s="7">
        <v>172</v>
      </c>
      <c r="D15" s="1">
        <v>45021</v>
      </c>
      <c r="E15" s="29">
        <v>1.9</v>
      </c>
      <c r="F15" t="s">
        <v>4</v>
      </c>
      <c r="G15" t="str">
        <f t="shared" si="0"/>
        <v>2023-04</v>
      </c>
    </row>
    <row r="16" spans="1:7" x14ac:dyDescent="0.3">
      <c r="A16">
        <v>4009</v>
      </c>
      <c r="B16" t="s">
        <v>14</v>
      </c>
      <c r="C16" s="7">
        <v>51</v>
      </c>
      <c r="D16" s="1">
        <v>45032</v>
      </c>
      <c r="E16" s="29">
        <v>1.8</v>
      </c>
      <c r="F16" t="s">
        <v>4</v>
      </c>
      <c r="G16" t="str">
        <f t="shared" si="0"/>
        <v>2023-04</v>
      </c>
    </row>
    <row r="17" spans="1:7" x14ac:dyDescent="0.3">
      <c r="A17">
        <v>4038</v>
      </c>
      <c r="B17" t="s">
        <v>15</v>
      </c>
      <c r="C17" s="7">
        <v>63</v>
      </c>
      <c r="D17" s="1">
        <v>44970</v>
      </c>
      <c r="E17" s="29">
        <v>4.3</v>
      </c>
      <c r="F17" t="s">
        <v>4</v>
      </c>
      <c r="G17" t="str">
        <f t="shared" si="0"/>
        <v>2023-02</v>
      </c>
    </row>
    <row r="18" spans="1:7" x14ac:dyDescent="0.3">
      <c r="A18">
        <v>4033</v>
      </c>
      <c r="B18" t="s">
        <v>0</v>
      </c>
      <c r="C18" s="7">
        <v>189</v>
      </c>
      <c r="D18" s="1">
        <v>45169</v>
      </c>
      <c r="E18" s="29">
        <v>4.9000000000000004</v>
      </c>
      <c r="F18" t="s">
        <v>4</v>
      </c>
      <c r="G18" t="str">
        <f t="shared" si="0"/>
        <v>2023-08</v>
      </c>
    </row>
    <row r="19" spans="1:7" x14ac:dyDescent="0.3">
      <c r="A19">
        <v>4102</v>
      </c>
      <c r="B19" t="s">
        <v>16</v>
      </c>
      <c r="C19" s="7">
        <v>175</v>
      </c>
      <c r="D19" s="1">
        <v>45082</v>
      </c>
      <c r="E19" s="29">
        <v>3.6</v>
      </c>
      <c r="F19" t="s">
        <v>1</v>
      </c>
      <c r="G19" t="str">
        <f t="shared" si="0"/>
        <v>2023-06</v>
      </c>
    </row>
    <row r="20" spans="1:7" x14ac:dyDescent="0.3">
      <c r="A20">
        <v>4034</v>
      </c>
      <c r="B20" t="s">
        <v>13</v>
      </c>
      <c r="C20" s="7">
        <v>112.64705882352899</v>
      </c>
      <c r="D20" s="1">
        <v>45108</v>
      </c>
      <c r="E20" s="29">
        <v>1.5</v>
      </c>
      <c r="F20" t="s">
        <v>1</v>
      </c>
      <c r="G20" t="str">
        <f t="shared" si="0"/>
        <v>2023-07</v>
      </c>
    </row>
    <row r="21" spans="1:7" x14ac:dyDescent="0.3">
      <c r="A21">
        <v>4068</v>
      </c>
      <c r="B21" t="s">
        <v>17</v>
      </c>
      <c r="C21" s="7">
        <v>146</v>
      </c>
      <c r="D21" s="1">
        <v>45164</v>
      </c>
      <c r="E21" s="29">
        <v>1.1000000000000001</v>
      </c>
      <c r="F21" t="s">
        <v>4</v>
      </c>
      <c r="G21" t="str">
        <f t="shared" si="0"/>
        <v>2023-08</v>
      </c>
    </row>
    <row r="22" spans="1:7" x14ac:dyDescent="0.3">
      <c r="A22">
        <v>4045</v>
      </c>
      <c r="B22" t="s">
        <v>18</v>
      </c>
      <c r="C22" s="7">
        <v>51</v>
      </c>
      <c r="D22" s="1">
        <v>44953</v>
      </c>
      <c r="E22" s="29">
        <v>2.5</v>
      </c>
      <c r="F22" t="s">
        <v>1</v>
      </c>
      <c r="G22" t="str">
        <f t="shared" si="0"/>
        <v>2023-01</v>
      </c>
    </row>
    <row r="23" spans="1:7" x14ac:dyDescent="0.3">
      <c r="A23">
        <v>3979</v>
      </c>
      <c r="B23" t="s">
        <v>5</v>
      </c>
      <c r="C23" s="7">
        <v>79</v>
      </c>
      <c r="D23" s="1">
        <v>45082</v>
      </c>
      <c r="E23" s="29">
        <v>1.3</v>
      </c>
      <c r="F23" t="s">
        <v>4</v>
      </c>
      <c r="G23" t="str">
        <f t="shared" si="0"/>
        <v>2023-06</v>
      </c>
    </row>
    <row r="24" spans="1:7" x14ac:dyDescent="0.3">
      <c r="A24">
        <v>4106</v>
      </c>
      <c r="B24" t="s">
        <v>9</v>
      </c>
      <c r="C24" s="7">
        <v>173</v>
      </c>
      <c r="D24" s="1">
        <v>45176</v>
      </c>
      <c r="E24" s="29">
        <v>3.4</v>
      </c>
      <c r="F24" t="s">
        <v>1</v>
      </c>
      <c r="G24" t="str">
        <f t="shared" si="0"/>
        <v>2023-09</v>
      </c>
    </row>
    <row r="25" spans="1:7" x14ac:dyDescent="0.3">
      <c r="A25">
        <v>3959</v>
      </c>
      <c r="B25" t="s">
        <v>9</v>
      </c>
      <c r="C25" s="7">
        <v>66</v>
      </c>
      <c r="D25" s="1">
        <v>44867</v>
      </c>
      <c r="E25" s="29">
        <v>4.5</v>
      </c>
      <c r="F25" t="s">
        <v>4</v>
      </c>
      <c r="G25" t="str">
        <f t="shared" si="0"/>
        <v>2022-11</v>
      </c>
    </row>
    <row r="26" spans="1:7" x14ac:dyDescent="0.3">
      <c r="A26">
        <v>4113</v>
      </c>
      <c r="B26" t="s">
        <v>3</v>
      </c>
      <c r="C26" s="7">
        <v>24</v>
      </c>
      <c r="D26" s="1">
        <v>44946</v>
      </c>
      <c r="E26" s="29">
        <v>1.2</v>
      </c>
      <c r="F26" t="s">
        <v>1</v>
      </c>
      <c r="G26" t="str">
        <f t="shared" si="0"/>
        <v>2023-01</v>
      </c>
    </row>
    <row r="27" spans="1:7" x14ac:dyDescent="0.3">
      <c r="A27">
        <v>4087</v>
      </c>
      <c r="B27" t="s">
        <v>19</v>
      </c>
      <c r="C27" s="7">
        <v>18</v>
      </c>
      <c r="D27" s="1">
        <v>44886</v>
      </c>
      <c r="E27" s="29">
        <v>1.7</v>
      </c>
      <c r="F27" t="s">
        <v>1</v>
      </c>
      <c r="G27" t="str">
        <f t="shared" si="0"/>
        <v>2022-11</v>
      </c>
    </row>
    <row r="28" spans="1:7" x14ac:dyDescent="0.3">
      <c r="A28">
        <v>4060</v>
      </c>
      <c r="B28" t="s">
        <v>20</v>
      </c>
      <c r="C28" s="7">
        <v>112</v>
      </c>
      <c r="D28" s="1">
        <v>45085</v>
      </c>
      <c r="E28" s="29">
        <v>1.2</v>
      </c>
      <c r="F28" t="s">
        <v>4</v>
      </c>
      <c r="G28" t="str">
        <f t="shared" si="0"/>
        <v>2023-06</v>
      </c>
    </row>
    <row r="29" spans="1:7" x14ac:dyDescent="0.3">
      <c r="A29">
        <v>3989</v>
      </c>
      <c r="B29" t="s">
        <v>21</v>
      </c>
      <c r="C29" s="7">
        <v>64</v>
      </c>
      <c r="D29" s="1">
        <v>44998</v>
      </c>
      <c r="E29" s="29">
        <v>3.2</v>
      </c>
      <c r="F29" t="s">
        <v>1</v>
      </c>
      <c r="G29" t="str">
        <f t="shared" si="0"/>
        <v>2023-03</v>
      </c>
    </row>
    <row r="30" spans="1:7" x14ac:dyDescent="0.3">
      <c r="A30">
        <v>4032</v>
      </c>
      <c r="B30" t="s">
        <v>22</v>
      </c>
      <c r="C30" s="7">
        <v>155</v>
      </c>
      <c r="D30" s="1">
        <v>44993</v>
      </c>
      <c r="E30" s="29">
        <v>1.1000000000000001</v>
      </c>
      <c r="F30" t="s">
        <v>1</v>
      </c>
      <c r="G30" t="str">
        <f t="shared" si="0"/>
        <v>2023-03</v>
      </c>
    </row>
    <row r="31" spans="1:7" x14ac:dyDescent="0.3">
      <c r="A31">
        <v>3972</v>
      </c>
      <c r="B31" t="s">
        <v>3</v>
      </c>
      <c r="C31" s="7">
        <v>90</v>
      </c>
      <c r="D31" s="1">
        <v>44952</v>
      </c>
      <c r="E31" s="29">
        <v>4.5999999999999996</v>
      </c>
      <c r="F31" t="s">
        <v>1</v>
      </c>
      <c r="G31" t="str">
        <f t="shared" si="0"/>
        <v>2023-01</v>
      </c>
    </row>
    <row r="32" spans="1:7" x14ac:dyDescent="0.3">
      <c r="A32">
        <v>4051</v>
      </c>
      <c r="B32" t="s">
        <v>23</v>
      </c>
      <c r="C32" s="7">
        <v>137</v>
      </c>
      <c r="D32" s="1">
        <v>45107</v>
      </c>
      <c r="E32" s="29">
        <v>4.5999999999999996</v>
      </c>
      <c r="F32" t="s">
        <v>4</v>
      </c>
      <c r="G32" t="str">
        <f t="shared" si="0"/>
        <v>2023-06</v>
      </c>
    </row>
    <row r="33" spans="1:7" x14ac:dyDescent="0.3">
      <c r="A33">
        <v>4097</v>
      </c>
      <c r="B33" t="s">
        <v>24</v>
      </c>
      <c r="C33" s="7">
        <v>174</v>
      </c>
      <c r="D33" s="1">
        <v>44844</v>
      </c>
      <c r="E33" s="29">
        <v>3.4</v>
      </c>
      <c r="F33" t="s">
        <v>4</v>
      </c>
      <c r="G33" t="str">
        <f t="shared" si="0"/>
        <v>2022-10</v>
      </c>
    </row>
    <row r="34" spans="1:7" x14ac:dyDescent="0.3">
      <c r="A34">
        <v>3970</v>
      </c>
      <c r="B34" t="s">
        <v>5</v>
      </c>
      <c r="C34" s="7">
        <v>77</v>
      </c>
      <c r="D34" s="1">
        <v>44931</v>
      </c>
      <c r="E34" s="29">
        <v>2.4</v>
      </c>
      <c r="F34" t="s">
        <v>4</v>
      </c>
      <c r="G34" t="str">
        <f t="shared" si="0"/>
        <v>2023-01</v>
      </c>
    </row>
    <row r="35" spans="1:7" x14ac:dyDescent="0.3">
      <c r="A35">
        <v>3957</v>
      </c>
      <c r="B35" t="s">
        <v>18</v>
      </c>
      <c r="C35" s="7">
        <v>102.74</v>
      </c>
      <c r="D35" s="1">
        <v>45062</v>
      </c>
      <c r="E35" s="29">
        <v>2.7</v>
      </c>
      <c r="F35" t="s">
        <v>4</v>
      </c>
      <c r="G35" t="str">
        <f t="shared" si="0"/>
        <v>2023-05</v>
      </c>
    </row>
    <row r="36" spans="1:7" x14ac:dyDescent="0.3">
      <c r="A36">
        <v>4100</v>
      </c>
      <c r="B36" t="s">
        <v>6</v>
      </c>
      <c r="C36" s="7">
        <v>147</v>
      </c>
      <c r="D36" s="1">
        <v>44987</v>
      </c>
      <c r="E36" s="29">
        <v>3.9</v>
      </c>
      <c r="F36" t="s">
        <v>1</v>
      </c>
      <c r="G36" t="str">
        <f t="shared" si="0"/>
        <v>2023-03</v>
      </c>
    </row>
    <row r="37" spans="1:7" x14ac:dyDescent="0.3">
      <c r="A37">
        <v>4048</v>
      </c>
      <c r="B37" t="s">
        <v>25</v>
      </c>
      <c r="C37" s="7">
        <v>159</v>
      </c>
      <c r="D37" s="1">
        <v>44873</v>
      </c>
      <c r="E37" s="29">
        <v>1.2</v>
      </c>
      <c r="F37" t="s">
        <v>1</v>
      </c>
      <c r="G37" t="str">
        <f t="shared" si="0"/>
        <v>2022-11</v>
      </c>
    </row>
    <row r="38" spans="1:7" x14ac:dyDescent="0.3">
      <c r="A38">
        <v>3985</v>
      </c>
      <c r="B38" t="s">
        <v>14</v>
      </c>
      <c r="C38" s="7">
        <v>159</v>
      </c>
      <c r="D38" s="1">
        <v>44990</v>
      </c>
      <c r="E38" s="29">
        <v>2.6</v>
      </c>
      <c r="F38" t="s">
        <v>4</v>
      </c>
      <c r="G38" t="str">
        <f t="shared" si="0"/>
        <v>2023-03</v>
      </c>
    </row>
    <row r="39" spans="1:7" x14ac:dyDescent="0.3">
      <c r="A39">
        <v>4029</v>
      </c>
      <c r="B39" t="s">
        <v>12</v>
      </c>
      <c r="C39" s="7">
        <v>66</v>
      </c>
      <c r="D39" s="1">
        <v>45093</v>
      </c>
      <c r="E39" s="29">
        <v>3.7</v>
      </c>
      <c r="F39" t="s">
        <v>4</v>
      </c>
      <c r="G39" t="str">
        <f t="shared" si="0"/>
        <v>2023-06</v>
      </c>
    </row>
    <row r="40" spans="1:7" x14ac:dyDescent="0.3">
      <c r="A40">
        <v>3964</v>
      </c>
      <c r="B40" t="s">
        <v>26</v>
      </c>
      <c r="C40" s="7">
        <v>45</v>
      </c>
      <c r="D40" s="1">
        <v>45002</v>
      </c>
      <c r="E40" s="29">
        <v>4.8</v>
      </c>
      <c r="F40" t="s">
        <v>4</v>
      </c>
      <c r="G40" t="str">
        <f t="shared" si="0"/>
        <v>2023-03</v>
      </c>
    </row>
    <row r="41" spans="1:7" x14ac:dyDescent="0.3">
      <c r="A41">
        <v>4017</v>
      </c>
      <c r="B41" t="s">
        <v>7</v>
      </c>
      <c r="C41" s="7">
        <v>33</v>
      </c>
      <c r="D41" s="1">
        <v>45197</v>
      </c>
      <c r="E41" s="29">
        <v>3.3</v>
      </c>
      <c r="F41" t="s">
        <v>1</v>
      </c>
      <c r="G41" t="str">
        <f t="shared" si="0"/>
        <v>2023-09</v>
      </c>
    </row>
    <row r="42" spans="1:7" x14ac:dyDescent="0.3">
      <c r="A42">
        <v>4067</v>
      </c>
      <c r="B42" t="s">
        <v>27</v>
      </c>
      <c r="C42" s="7">
        <v>38</v>
      </c>
      <c r="D42" s="1">
        <v>45071</v>
      </c>
      <c r="E42" s="29">
        <v>3.1</v>
      </c>
      <c r="F42" t="s">
        <v>4</v>
      </c>
      <c r="G42" t="str">
        <f t="shared" si="0"/>
        <v>2023-05</v>
      </c>
    </row>
    <row r="43" spans="1:7" x14ac:dyDescent="0.3">
      <c r="A43">
        <v>4108</v>
      </c>
      <c r="B43" t="s">
        <v>28</v>
      </c>
      <c r="C43" s="7">
        <v>111.854838709677</v>
      </c>
      <c r="D43" s="1">
        <v>45179</v>
      </c>
      <c r="E43" s="29">
        <v>2.5</v>
      </c>
      <c r="F43" t="s">
        <v>1</v>
      </c>
      <c r="G43" t="str">
        <f t="shared" si="0"/>
        <v>2023-09</v>
      </c>
    </row>
    <row r="44" spans="1:7" x14ac:dyDescent="0.3">
      <c r="A44">
        <v>4057</v>
      </c>
      <c r="B44" t="s">
        <v>29</v>
      </c>
      <c r="C44" s="7">
        <v>108.734693877551</v>
      </c>
      <c r="D44" s="1">
        <v>44928</v>
      </c>
      <c r="E44" s="29">
        <v>4.7</v>
      </c>
      <c r="F44" t="s">
        <v>4</v>
      </c>
      <c r="G44" t="str">
        <f t="shared" si="0"/>
        <v>2023-01</v>
      </c>
    </row>
    <row r="45" spans="1:7" x14ac:dyDescent="0.3">
      <c r="A45">
        <v>4117</v>
      </c>
      <c r="B45" t="s">
        <v>30</v>
      </c>
      <c r="C45" s="7">
        <v>162</v>
      </c>
      <c r="D45" s="1">
        <v>45032</v>
      </c>
      <c r="E45" s="29">
        <v>1.1000000000000001</v>
      </c>
      <c r="F45" t="s">
        <v>4</v>
      </c>
      <c r="G45" t="str">
        <f t="shared" si="0"/>
        <v>2023-04</v>
      </c>
    </row>
    <row r="46" spans="1:7" x14ac:dyDescent="0.3">
      <c r="A46">
        <v>4038</v>
      </c>
      <c r="B46" t="s">
        <v>29</v>
      </c>
      <c r="C46" s="7">
        <v>108.734693877551</v>
      </c>
      <c r="D46" s="1">
        <v>44861</v>
      </c>
      <c r="E46" s="29">
        <v>4.8</v>
      </c>
      <c r="F46" t="s">
        <v>1</v>
      </c>
      <c r="G46" t="str">
        <f t="shared" si="0"/>
        <v>2022-10</v>
      </c>
    </row>
    <row r="47" spans="1:7" x14ac:dyDescent="0.3">
      <c r="A47">
        <v>4054</v>
      </c>
      <c r="B47" t="s">
        <v>31</v>
      </c>
      <c r="C47" s="7">
        <v>129</v>
      </c>
      <c r="D47" s="1">
        <v>44918</v>
      </c>
      <c r="E47" s="29">
        <v>2.6590163934426201</v>
      </c>
      <c r="F47" t="s">
        <v>4</v>
      </c>
      <c r="G47" t="str">
        <f t="shared" si="0"/>
        <v>2022-12</v>
      </c>
    </row>
    <row r="48" spans="1:7" x14ac:dyDescent="0.3">
      <c r="A48">
        <v>4060</v>
      </c>
      <c r="B48" t="s">
        <v>21</v>
      </c>
      <c r="C48" s="7">
        <v>151</v>
      </c>
      <c r="D48" s="1">
        <v>45124</v>
      </c>
      <c r="E48" s="29">
        <v>3.2</v>
      </c>
      <c r="F48" t="s">
        <v>4</v>
      </c>
      <c r="G48" t="str">
        <f t="shared" si="0"/>
        <v>2023-07</v>
      </c>
    </row>
    <row r="49" spans="1:7" x14ac:dyDescent="0.3">
      <c r="A49">
        <v>4054</v>
      </c>
      <c r="B49" t="s">
        <v>27</v>
      </c>
      <c r="C49" s="7">
        <v>12</v>
      </c>
      <c r="D49" s="1">
        <v>44924</v>
      </c>
      <c r="E49" s="29">
        <v>2.6</v>
      </c>
      <c r="F49" t="s">
        <v>1</v>
      </c>
      <c r="G49" t="str">
        <f t="shared" si="0"/>
        <v>2022-12</v>
      </c>
    </row>
    <row r="50" spans="1:7" x14ac:dyDescent="0.3">
      <c r="A50">
        <v>4068</v>
      </c>
      <c r="B50" t="s">
        <v>32</v>
      </c>
      <c r="C50" s="7">
        <v>39</v>
      </c>
      <c r="D50" s="1">
        <v>45006</v>
      </c>
      <c r="E50" s="29">
        <v>2.4</v>
      </c>
      <c r="F50" t="s">
        <v>1</v>
      </c>
      <c r="G50" t="str">
        <f t="shared" si="0"/>
        <v>2023-03</v>
      </c>
    </row>
    <row r="51" spans="1:7" x14ac:dyDescent="0.3">
      <c r="A51">
        <v>4096</v>
      </c>
      <c r="B51" t="s">
        <v>19</v>
      </c>
      <c r="C51" s="7">
        <v>147</v>
      </c>
      <c r="D51" s="1">
        <v>44968</v>
      </c>
      <c r="E51" s="29">
        <v>4.0999999999999996</v>
      </c>
      <c r="F51" t="s">
        <v>1</v>
      </c>
      <c r="G51" t="str">
        <f t="shared" si="0"/>
        <v>2023-02</v>
      </c>
    </row>
    <row r="52" spans="1:7" x14ac:dyDescent="0.3">
      <c r="A52">
        <v>4011</v>
      </c>
      <c r="B52" t="s">
        <v>10</v>
      </c>
      <c r="C52" s="7">
        <v>174</v>
      </c>
      <c r="D52" s="1">
        <v>45037</v>
      </c>
      <c r="E52" s="29">
        <v>3.4</v>
      </c>
      <c r="F52" t="s">
        <v>4</v>
      </c>
      <c r="G52" t="str">
        <f t="shared" si="0"/>
        <v>2023-04</v>
      </c>
    </row>
    <row r="53" spans="1:7" x14ac:dyDescent="0.3">
      <c r="A53">
        <v>4001</v>
      </c>
      <c r="B53" t="s">
        <v>33</v>
      </c>
      <c r="C53" s="7">
        <v>85</v>
      </c>
      <c r="D53" s="1">
        <v>45186</v>
      </c>
      <c r="E53" s="29">
        <v>3.3</v>
      </c>
      <c r="F53" t="s">
        <v>4</v>
      </c>
      <c r="G53" t="str">
        <f t="shared" si="0"/>
        <v>2023-09</v>
      </c>
    </row>
    <row r="54" spans="1:7" x14ac:dyDescent="0.3">
      <c r="A54">
        <v>4078</v>
      </c>
      <c r="B54" t="s">
        <v>26</v>
      </c>
      <c r="C54" s="7">
        <v>126</v>
      </c>
      <c r="D54" s="1">
        <v>45106</v>
      </c>
      <c r="E54" s="29">
        <v>2.1</v>
      </c>
      <c r="F54" t="s">
        <v>1</v>
      </c>
      <c r="G54" t="str">
        <f t="shared" si="0"/>
        <v>2023-06</v>
      </c>
    </row>
    <row r="55" spans="1:7" x14ac:dyDescent="0.3">
      <c r="A55">
        <v>3992</v>
      </c>
      <c r="B55" t="s">
        <v>34</v>
      </c>
      <c r="C55" s="7">
        <v>110.431818181818</v>
      </c>
      <c r="D55" s="1">
        <v>45042</v>
      </c>
      <c r="E55" s="29">
        <v>2.9</v>
      </c>
      <c r="F55" t="s">
        <v>4</v>
      </c>
      <c r="G55" t="str">
        <f t="shared" si="0"/>
        <v>2023-04</v>
      </c>
    </row>
    <row r="56" spans="1:7" x14ac:dyDescent="0.3">
      <c r="A56">
        <v>4005</v>
      </c>
      <c r="B56" t="s">
        <v>35</v>
      </c>
      <c r="C56" s="7">
        <v>194</v>
      </c>
      <c r="D56" s="1">
        <v>44911</v>
      </c>
      <c r="E56" s="29">
        <v>2.9</v>
      </c>
      <c r="F56" t="s">
        <v>1</v>
      </c>
      <c r="G56" t="str">
        <f t="shared" si="0"/>
        <v>2022-12</v>
      </c>
    </row>
    <row r="57" spans="1:7" x14ac:dyDescent="0.3">
      <c r="A57">
        <v>4099</v>
      </c>
      <c r="B57" t="s">
        <v>19</v>
      </c>
      <c r="C57" s="7">
        <v>138</v>
      </c>
      <c r="D57" s="1">
        <v>45066</v>
      </c>
      <c r="E57" s="29">
        <v>2.9</v>
      </c>
      <c r="F57" t="s">
        <v>1</v>
      </c>
      <c r="G57" t="str">
        <f t="shared" si="0"/>
        <v>2023-05</v>
      </c>
    </row>
    <row r="58" spans="1:7" x14ac:dyDescent="0.3">
      <c r="A58">
        <v>4055</v>
      </c>
      <c r="B58" t="s">
        <v>3</v>
      </c>
      <c r="C58" s="7">
        <v>139</v>
      </c>
      <c r="D58" s="1">
        <v>44931</v>
      </c>
      <c r="E58" s="29">
        <v>1.9</v>
      </c>
      <c r="F58" t="s">
        <v>1</v>
      </c>
      <c r="G58" t="str">
        <f t="shared" si="0"/>
        <v>2023-01</v>
      </c>
    </row>
    <row r="59" spans="1:7" x14ac:dyDescent="0.3">
      <c r="A59">
        <v>4049</v>
      </c>
      <c r="B59" t="s">
        <v>36</v>
      </c>
      <c r="C59" s="7">
        <v>170</v>
      </c>
      <c r="D59" s="1">
        <v>45120</v>
      </c>
      <c r="E59" s="29">
        <v>3.1546875000000001</v>
      </c>
      <c r="F59" t="s">
        <v>4</v>
      </c>
      <c r="G59" t="str">
        <f t="shared" si="0"/>
        <v>2023-07</v>
      </c>
    </row>
    <row r="60" spans="1:7" x14ac:dyDescent="0.3">
      <c r="A60">
        <v>4063</v>
      </c>
      <c r="B60" t="s">
        <v>33</v>
      </c>
      <c r="C60" s="7">
        <v>173</v>
      </c>
      <c r="D60" s="1">
        <v>45100</v>
      </c>
      <c r="E60" s="29">
        <v>2.1</v>
      </c>
      <c r="F60" t="s">
        <v>1</v>
      </c>
      <c r="G60" t="str">
        <f t="shared" si="0"/>
        <v>2023-06</v>
      </c>
    </row>
    <row r="61" spans="1:7" x14ac:dyDescent="0.3">
      <c r="A61">
        <v>3996</v>
      </c>
      <c r="B61" t="s">
        <v>37</v>
      </c>
      <c r="C61" s="7">
        <v>60</v>
      </c>
      <c r="D61" s="1">
        <v>44989</v>
      </c>
      <c r="E61" s="29">
        <v>2.2999999999999998</v>
      </c>
      <c r="F61" t="s">
        <v>1</v>
      </c>
      <c r="G61" t="str">
        <f t="shared" si="0"/>
        <v>2023-03</v>
      </c>
    </row>
    <row r="62" spans="1:7" x14ac:dyDescent="0.3">
      <c r="A62">
        <v>4030</v>
      </c>
      <c r="B62" t="s">
        <v>5</v>
      </c>
      <c r="C62" s="7">
        <v>98.967741935483801</v>
      </c>
      <c r="D62" s="1">
        <v>44859</v>
      </c>
      <c r="E62" s="29">
        <v>2.6520547945205402</v>
      </c>
      <c r="F62" t="s">
        <v>1</v>
      </c>
      <c r="G62" t="str">
        <f t="shared" si="0"/>
        <v>2022-10</v>
      </c>
    </row>
    <row r="63" spans="1:7" x14ac:dyDescent="0.3">
      <c r="A63">
        <v>3989</v>
      </c>
      <c r="B63" t="s">
        <v>38</v>
      </c>
      <c r="C63" s="7">
        <v>148</v>
      </c>
      <c r="D63" s="1">
        <v>45065</v>
      </c>
      <c r="E63" s="29">
        <v>4.0999999999999996</v>
      </c>
      <c r="F63" t="s">
        <v>1</v>
      </c>
      <c r="G63" t="str">
        <f t="shared" si="0"/>
        <v>2023-05</v>
      </c>
    </row>
    <row r="64" spans="1:7" x14ac:dyDescent="0.3">
      <c r="A64">
        <v>3991</v>
      </c>
      <c r="B64" t="s">
        <v>39</v>
      </c>
      <c r="C64" s="7">
        <v>145</v>
      </c>
      <c r="D64" s="1">
        <v>45049</v>
      </c>
      <c r="E64" s="29">
        <v>4.5</v>
      </c>
      <c r="F64" t="s">
        <v>1</v>
      </c>
      <c r="G64" t="str">
        <f t="shared" si="0"/>
        <v>2023-05</v>
      </c>
    </row>
    <row r="65" spans="1:7" x14ac:dyDescent="0.3">
      <c r="A65">
        <v>3959</v>
      </c>
      <c r="B65" t="s">
        <v>40</v>
      </c>
      <c r="C65" s="7">
        <v>163</v>
      </c>
      <c r="D65" s="1">
        <v>45055</v>
      </c>
      <c r="E65" s="29">
        <v>3.5</v>
      </c>
      <c r="F65" t="s">
        <v>1</v>
      </c>
      <c r="G65" t="str">
        <f t="shared" si="0"/>
        <v>2023-05</v>
      </c>
    </row>
    <row r="66" spans="1:7" x14ac:dyDescent="0.3">
      <c r="A66">
        <v>3975</v>
      </c>
      <c r="B66" t="s">
        <v>5</v>
      </c>
      <c r="C66" s="7">
        <v>14</v>
      </c>
      <c r="D66" s="1">
        <v>44964</v>
      </c>
      <c r="E66" s="29">
        <v>3.5</v>
      </c>
      <c r="F66" t="s">
        <v>4</v>
      </c>
      <c r="G66" t="str">
        <f t="shared" si="0"/>
        <v>2023-02</v>
      </c>
    </row>
    <row r="67" spans="1:7" x14ac:dyDescent="0.3">
      <c r="A67">
        <v>4122</v>
      </c>
      <c r="B67" t="s">
        <v>31</v>
      </c>
      <c r="C67" s="7">
        <v>88.827586206896498</v>
      </c>
      <c r="D67" s="1">
        <v>44905</v>
      </c>
      <c r="E67" s="29">
        <v>2.6590163934426201</v>
      </c>
      <c r="F67" t="s">
        <v>1</v>
      </c>
      <c r="G67" t="str">
        <f t="shared" ref="G67:G130" si="1">TEXT(D67,"ГГГГ-ММ")</f>
        <v>2022-12</v>
      </c>
    </row>
    <row r="68" spans="1:7" x14ac:dyDescent="0.3">
      <c r="A68">
        <v>3961</v>
      </c>
      <c r="B68" t="s">
        <v>3</v>
      </c>
      <c r="C68" s="7">
        <v>88</v>
      </c>
      <c r="D68" s="1">
        <v>44841</v>
      </c>
      <c r="E68" s="29">
        <v>1.2</v>
      </c>
      <c r="F68" t="s">
        <v>4</v>
      </c>
      <c r="G68" t="str">
        <f t="shared" si="1"/>
        <v>2022-10</v>
      </c>
    </row>
    <row r="69" spans="1:7" x14ac:dyDescent="0.3">
      <c r="A69">
        <v>3993</v>
      </c>
      <c r="B69" t="s">
        <v>37</v>
      </c>
      <c r="C69" s="7">
        <v>71</v>
      </c>
      <c r="D69" s="1">
        <v>45064</v>
      </c>
      <c r="E69" s="29">
        <v>4.4000000000000004</v>
      </c>
      <c r="F69" t="s">
        <v>1</v>
      </c>
      <c r="G69" t="str">
        <f t="shared" si="1"/>
        <v>2023-05</v>
      </c>
    </row>
    <row r="70" spans="1:7" x14ac:dyDescent="0.3">
      <c r="A70">
        <v>4081</v>
      </c>
      <c r="B70" t="s">
        <v>26</v>
      </c>
      <c r="C70" s="7">
        <v>30</v>
      </c>
      <c r="D70" s="1">
        <v>45170</v>
      </c>
      <c r="E70" s="29">
        <v>1.2</v>
      </c>
      <c r="F70" t="s">
        <v>1</v>
      </c>
      <c r="G70" t="str">
        <f t="shared" si="1"/>
        <v>2023-09</v>
      </c>
    </row>
    <row r="71" spans="1:7" x14ac:dyDescent="0.3">
      <c r="A71">
        <v>4068</v>
      </c>
      <c r="B71" t="s">
        <v>6</v>
      </c>
      <c r="C71" s="7">
        <v>114.77966101694901</v>
      </c>
      <c r="D71" s="1">
        <v>45029</v>
      </c>
      <c r="E71" s="29">
        <v>1.2</v>
      </c>
      <c r="F71" t="s">
        <v>1</v>
      </c>
      <c r="G71" t="str">
        <f t="shared" si="1"/>
        <v>2023-04</v>
      </c>
    </row>
    <row r="72" spans="1:7" x14ac:dyDescent="0.3">
      <c r="A72">
        <v>3991</v>
      </c>
      <c r="B72" t="s">
        <v>3</v>
      </c>
      <c r="C72" s="7">
        <v>27</v>
      </c>
      <c r="D72" s="1">
        <v>45185</v>
      </c>
      <c r="E72" s="29">
        <v>2</v>
      </c>
      <c r="F72" t="s">
        <v>1</v>
      </c>
      <c r="G72" t="str">
        <f t="shared" si="1"/>
        <v>2023-09</v>
      </c>
    </row>
    <row r="73" spans="1:7" x14ac:dyDescent="0.3">
      <c r="A73">
        <v>3978</v>
      </c>
      <c r="B73" t="s">
        <v>39</v>
      </c>
      <c r="C73" s="7">
        <v>146</v>
      </c>
      <c r="D73" s="1">
        <v>44941</v>
      </c>
      <c r="E73" s="29">
        <v>3.7</v>
      </c>
      <c r="F73" t="s">
        <v>1</v>
      </c>
      <c r="G73" t="str">
        <f t="shared" si="1"/>
        <v>2023-01</v>
      </c>
    </row>
    <row r="74" spans="1:7" x14ac:dyDescent="0.3">
      <c r="A74">
        <v>3992</v>
      </c>
      <c r="B74" t="s">
        <v>16</v>
      </c>
      <c r="C74" s="7">
        <v>42</v>
      </c>
      <c r="D74" s="1">
        <v>44909</v>
      </c>
      <c r="E74" s="29">
        <v>2.4</v>
      </c>
      <c r="F74" t="s">
        <v>1</v>
      </c>
      <c r="G74" t="str">
        <f t="shared" si="1"/>
        <v>2022-12</v>
      </c>
    </row>
    <row r="75" spans="1:7" x14ac:dyDescent="0.3">
      <c r="A75">
        <v>4121</v>
      </c>
      <c r="B75" t="s">
        <v>41</v>
      </c>
      <c r="C75" s="7">
        <v>150</v>
      </c>
      <c r="D75" s="1">
        <v>45080</v>
      </c>
      <c r="E75" s="29">
        <v>3.4</v>
      </c>
      <c r="F75" t="s">
        <v>1</v>
      </c>
      <c r="G75" t="str">
        <f t="shared" si="1"/>
        <v>2023-06</v>
      </c>
    </row>
    <row r="76" spans="1:7" x14ac:dyDescent="0.3">
      <c r="A76">
        <v>4063</v>
      </c>
      <c r="B76" t="s">
        <v>7</v>
      </c>
      <c r="C76" s="7">
        <v>99.697674418604606</v>
      </c>
      <c r="D76" s="1">
        <v>44870</v>
      </c>
      <c r="E76" s="29">
        <v>1.3</v>
      </c>
      <c r="F76" t="s">
        <v>1</v>
      </c>
      <c r="G76" t="str">
        <f t="shared" si="1"/>
        <v>2022-11</v>
      </c>
    </row>
    <row r="77" spans="1:7" x14ac:dyDescent="0.3">
      <c r="A77">
        <v>4073</v>
      </c>
      <c r="B77" t="s">
        <v>27</v>
      </c>
      <c r="C77" s="7">
        <v>165</v>
      </c>
      <c r="D77" s="1">
        <v>45197</v>
      </c>
      <c r="E77" s="29">
        <v>3</v>
      </c>
      <c r="F77" t="s">
        <v>1</v>
      </c>
      <c r="G77" t="str">
        <f t="shared" si="1"/>
        <v>2023-09</v>
      </c>
    </row>
    <row r="78" spans="1:7" x14ac:dyDescent="0.3">
      <c r="A78">
        <v>4111</v>
      </c>
      <c r="B78" t="s">
        <v>31</v>
      </c>
      <c r="C78" s="7">
        <v>64</v>
      </c>
      <c r="D78" s="1">
        <v>44941</v>
      </c>
      <c r="E78" s="29">
        <v>2.2999999999999998</v>
      </c>
      <c r="F78" t="s">
        <v>1</v>
      </c>
      <c r="G78" t="str">
        <f t="shared" si="1"/>
        <v>2023-01</v>
      </c>
    </row>
    <row r="79" spans="1:7" x14ac:dyDescent="0.3">
      <c r="A79">
        <v>4065</v>
      </c>
      <c r="B79" t="s">
        <v>11</v>
      </c>
      <c r="C79" s="7">
        <v>196</v>
      </c>
      <c r="D79" s="1">
        <v>45009</v>
      </c>
      <c r="E79" s="29">
        <v>4.3</v>
      </c>
      <c r="F79" t="s">
        <v>1</v>
      </c>
      <c r="G79" t="str">
        <f t="shared" si="1"/>
        <v>2023-03</v>
      </c>
    </row>
    <row r="80" spans="1:7" x14ac:dyDescent="0.3">
      <c r="A80">
        <v>4116</v>
      </c>
      <c r="B80" t="s">
        <v>42</v>
      </c>
      <c r="C80" s="7">
        <v>192</v>
      </c>
      <c r="D80" s="1">
        <v>44942</v>
      </c>
      <c r="E80" s="29">
        <v>3.6</v>
      </c>
      <c r="F80" t="s">
        <v>1</v>
      </c>
      <c r="G80" t="str">
        <f t="shared" si="1"/>
        <v>2023-01</v>
      </c>
    </row>
    <row r="81" spans="1:7" x14ac:dyDescent="0.3">
      <c r="A81">
        <v>4003</v>
      </c>
      <c r="B81" t="s">
        <v>33</v>
      </c>
      <c r="C81" s="7">
        <v>181</v>
      </c>
      <c r="D81" s="1">
        <v>45116</v>
      </c>
      <c r="E81" s="29">
        <v>1.6</v>
      </c>
      <c r="F81" t="s">
        <v>1</v>
      </c>
      <c r="G81" t="str">
        <f t="shared" si="1"/>
        <v>2023-07</v>
      </c>
    </row>
    <row r="82" spans="1:7" x14ac:dyDescent="0.3">
      <c r="A82">
        <v>4073</v>
      </c>
      <c r="B82" t="s">
        <v>43</v>
      </c>
      <c r="C82" s="7">
        <v>122</v>
      </c>
      <c r="D82" s="1">
        <v>45041</v>
      </c>
      <c r="E82" s="29">
        <v>4.2</v>
      </c>
      <c r="F82" t="s">
        <v>1</v>
      </c>
      <c r="G82" t="str">
        <f t="shared" si="1"/>
        <v>2023-04</v>
      </c>
    </row>
    <row r="83" spans="1:7" x14ac:dyDescent="0.3">
      <c r="A83">
        <v>4087</v>
      </c>
      <c r="B83" t="s">
        <v>44</v>
      </c>
      <c r="C83" s="7">
        <v>125</v>
      </c>
      <c r="D83" s="1">
        <v>45079</v>
      </c>
      <c r="E83" s="29">
        <v>2.6</v>
      </c>
      <c r="F83" t="s">
        <v>1</v>
      </c>
      <c r="G83" t="str">
        <f t="shared" si="1"/>
        <v>2023-06</v>
      </c>
    </row>
    <row r="84" spans="1:7" x14ac:dyDescent="0.3">
      <c r="A84">
        <v>4065</v>
      </c>
      <c r="B84" t="s">
        <v>25</v>
      </c>
      <c r="C84" s="7">
        <v>112.745762711864</v>
      </c>
      <c r="D84" s="1">
        <v>45049</v>
      </c>
      <c r="E84" s="29">
        <v>2.9</v>
      </c>
      <c r="F84" t="s">
        <v>1</v>
      </c>
      <c r="G84" t="str">
        <f t="shared" si="1"/>
        <v>2023-05</v>
      </c>
    </row>
    <row r="85" spans="1:7" x14ac:dyDescent="0.3">
      <c r="A85">
        <v>4098</v>
      </c>
      <c r="B85" t="s">
        <v>40</v>
      </c>
      <c r="C85" s="7">
        <v>96</v>
      </c>
      <c r="D85" s="1">
        <v>45190</v>
      </c>
      <c r="E85" s="29">
        <v>3.5</v>
      </c>
      <c r="F85" t="s">
        <v>1</v>
      </c>
      <c r="G85" t="str">
        <f t="shared" si="1"/>
        <v>2023-09</v>
      </c>
    </row>
    <row r="86" spans="1:7" x14ac:dyDescent="0.3">
      <c r="A86">
        <v>4072</v>
      </c>
      <c r="B86" t="s">
        <v>42</v>
      </c>
      <c r="C86" s="7">
        <v>114.396551724137</v>
      </c>
      <c r="D86" s="1">
        <v>44906</v>
      </c>
      <c r="E86" s="29">
        <v>1.2</v>
      </c>
      <c r="F86" t="s">
        <v>4</v>
      </c>
      <c r="G86" t="str">
        <f t="shared" si="1"/>
        <v>2022-12</v>
      </c>
    </row>
    <row r="87" spans="1:7" x14ac:dyDescent="0.3">
      <c r="A87">
        <v>4055</v>
      </c>
      <c r="B87" t="s">
        <v>7</v>
      </c>
      <c r="C87" s="7">
        <v>160</v>
      </c>
      <c r="D87" s="1">
        <v>45019</v>
      </c>
      <c r="E87" s="29">
        <v>4.5999999999999996</v>
      </c>
      <c r="F87" t="s">
        <v>4</v>
      </c>
      <c r="G87" t="str">
        <f t="shared" si="1"/>
        <v>2023-04</v>
      </c>
    </row>
    <row r="88" spans="1:7" x14ac:dyDescent="0.3">
      <c r="A88">
        <v>4047</v>
      </c>
      <c r="B88" t="s">
        <v>37</v>
      </c>
      <c r="C88" s="7">
        <v>28</v>
      </c>
      <c r="D88" s="1">
        <v>45145</v>
      </c>
      <c r="E88" s="29">
        <v>3.0156626506023998</v>
      </c>
      <c r="F88" t="s">
        <v>4</v>
      </c>
      <c r="G88" t="str">
        <f t="shared" si="1"/>
        <v>2023-08</v>
      </c>
    </row>
    <row r="89" spans="1:7" x14ac:dyDescent="0.3">
      <c r="A89">
        <v>4014</v>
      </c>
      <c r="B89" t="s">
        <v>36</v>
      </c>
      <c r="C89" s="7">
        <v>25</v>
      </c>
      <c r="D89" s="1">
        <v>44900</v>
      </c>
      <c r="E89" s="29">
        <v>4.2</v>
      </c>
      <c r="F89" t="s">
        <v>4</v>
      </c>
      <c r="G89" t="str">
        <f t="shared" si="1"/>
        <v>2022-12</v>
      </c>
    </row>
    <row r="90" spans="1:7" x14ac:dyDescent="0.3">
      <c r="A90">
        <v>4004</v>
      </c>
      <c r="B90" t="s">
        <v>45</v>
      </c>
      <c r="C90" s="7">
        <v>18</v>
      </c>
      <c r="D90" s="1">
        <v>44947</v>
      </c>
      <c r="E90" s="29">
        <v>4.0999999999999996</v>
      </c>
      <c r="F90" t="s">
        <v>1</v>
      </c>
      <c r="G90" t="str">
        <f t="shared" si="1"/>
        <v>2023-01</v>
      </c>
    </row>
    <row r="91" spans="1:7" x14ac:dyDescent="0.3">
      <c r="A91">
        <v>4065</v>
      </c>
      <c r="B91" t="s">
        <v>8</v>
      </c>
      <c r="C91" s="7">
        <v>28</v>
      </c>
      <c r="D91" s="1">
        <v>45106</v>
      </c>
      <c r="E91" s="29">
        <v>3.3</v>
      </c>
      <c r="F91" t="s">
        <v>1</v>
      </c>
      <c r="G91" t="str">
        <f t="shared" si="1"/>
        <v>2023-06</v>
      </c>
    </row>
    <row r="92" spans="1:7" x14ac:dyDescent="0.3">
      <c r="A92">
        <v>4111</v>
      </c>
      <c r="B92" t="s">
        <v>37</v>
      </c>
      <c r="C92" s="7">
        <v>81</v>
      </c>
      <c r="D92" s="1">
        <v>45056</v>
      </c>
      <c r="E92" s="29">
        <v>1.9</v>
      </c>
      <c r="F92" t="s">
        <v>1</v>
      </c>
      <c r="G92" t="str">
        <f t="shared" si="1"/>
        <v>2023-05</v>
      </c>
    </row>
    <row r="93" spans="1:7" x14ac:dyDescent="0.3">
      <c r="A93">
        <v>3958</v>
      </c>
      <c r="B93" t="s">
        <v>13</v>
      </c>
      <c r="C93" s="7">
        <v>64</v>
      </c>
      <c r="D93" s="1">
        <v>45094</v>
      </c>
      <c r="E93" s="29">
        <v>1.1000000000000001</v>
      </c>
      <c r="F93" t="s">
        <v>4</v>
      </c>
      <c r="G93" t="str">
        <f t="shared" si="1"/>
        <v>2023-06</v>
      </c>
    </row>
    <row r="94" spans="1:7" x14ac:dyDescent="0.3">
      <c r="A94">
        <v>4104</v>
      </c>
      <c r="B94" t="s">
        <v>32</v>
      </c>
      <c r="C94" s="7">
        <v>195</v>
      </c>
      <c r="D94" s="1">
        <v>45079</v>
      </c>
      <c r="E94" s="29">
        <v>2.5</v>
      </c>
      <c r="F94" t="s">
        <v>4</v>
      </c>
      <c r="G94" t="str">
        <f t="shared" si="1"/>
        <v>2023-06</v>
      </c>
    </row>
    <row r="95" spans="1:7" x14ac:dyDescent="0.3">
      <c r="A95">
        <v>4084</v>
      </c>
      <c r="B95" t="s">
        <v>42</v>
      </c>
      <c r="C95" s="7">
        <v>156</v>
      </c>
      <c r="D95" s="1">
        <v>45146</v>
      </c>
      <c r="E95" s="29">
        <v>1.3</v>
      </c>
      <c r="F95" t="s">
        <v>1</v>
      </c>
      <c r="G95" t="str">
        <f t="shared" si="1"/>
        <v>2023-08</v>
      </c>
    </row>
    <row r="96" spans="1:7" x14ac:dyDescent="0.3">
      <c r="A96">
        <v>4017</v>
      </c>
      <c r="B96" t="s">
        <v>17</v>
      </c>
      <c r="C96" s="7">
        <v>72</v>
      </c>
      <c r="D96" s="1">
        <v>44862</v>
      </c>
      <c r="E96" s="29">
        <v>3.22399999999999</v>
      </c>
      <c r="F96" t="s">
        <v>1</v>
      </c>
      <c r="G96" t="str">
        <f t="shared" si="1"/>
        <v>2022-10</v>
      </c>
    </row>
    <row r="97" spans="1:7" x14ac:dyDescent="0.3">
      <c r="A97">
        <v>4085</v>
      </c>
      <c r="B97" t="s">
        <v>13</v>
      </c>
      <c r="C97" s="7">
        <v>114</v>
      </c>
      <c r="D97" s="1">
        <v>45044</v>
      </c>
      <c r="E97" s="29">
        <v>1.9</v>
      </c>
      <c r="F97" t="s">
        <v>1</v>
      </c>
      <c r="G97" t="str">
        <f t="shared" si="1"/>
        <v>2023-04</v>
      </c>
    </row>
    <row r="98" spans="1:7" x14ac:dyDescent="0.3">
      <c r="A98">
        <v>4025</v>
      </c>
      <c r="B98" t="s">
        <v>25</v>
      </c>
      <c r="C98" s="7">
        <v>112.745762711864</v>
      </c>
      <c r="D98" s="1">
        <v>45179</v>
      </c>
      <c r="E98" s="29">
        <v>3.3</v>
      </c>
      <c r="F98" t="s">
        <v>4</v>
      </c>
      <c r="G98" t="str">
        <f t="shared" si="1"/>
        <v>2023-09</v>
      </c>
    </row>
    <row r="99" spans="1:7" x14ac:dyDescent="0.3">
      <c r="A99">
        <v>4062</v>
      </c>
      <c r="B99" t="s">
        <v>37</v>
      </c>
      <c r="C99" s="7">
        <v>97.720588235294102</v>
      </c>
      <c r="D99" s="1">
        <v>45191</v>
      </c>
      <c r="E99" s="29">
        <v>2.7</v>
      </c>
      <c r="F99" t="s">
        <v>1</v>
      </c>
      <c r="G99" t="str">
        <f t="shared" si="1"/>
        <v>2023-09</v>
      </c>
    </row>
    <row r="100" spans="1:7" x14ac:dyDescent="0.3">
      <c r="A100">
        <v>4096</v>
      </c>
      <c r="B100" t="s">
        <v>33</v>
      </c>
      <c r="C100" s="7">
        <v>118</v>
      </c>
      <c r="D100" s="1">
        <v>44851</v>
      </c>
      <c r="E100" s="29">
        <v>4.4000000000000004</v>
      </c>
      <c r="F100" t="s">
        <v>4</v>
      </c>
      <c r="G100" t="str">
        <f t="shared" si="1"/>
        <v>2022-10</v>
      </c>
    </row>
    <row r="101" spans="1:7" x14ac:dyDescent="0.3">
      <c r="A101">
        <v>4104</v>
      </c>
      <c r="B101" t="s">
        <v>13</v>
      </c>
      <c r="C101" s="7">
        <v>196</v>
      </c>
      <c r="D101" s="1">
        <v>44970</v>
      </c>
      <c r="E101" s="29">
        <v>1.2</v>
      </c>
      <c r="F101" t="s">
        <v>4</v>
      </c>
      <c r="G101" t="str">
        <f t="shared" si="1"/>
        <v>2023-02</v>
      </c>
    </row>
    <row r="102" spans="1:7" x14ac:dyDescent="0.3">
      <c r="A102">
        <v>4050</v>
      </c>
      <c r="B102" t="s">
        <v>39</v>
      </c>
      <c r="C102" s="7">
        <v>108.54716981132</v>
      </c>
      <c r="D102" s="1">
        <v>45100</v>
      </c>
      <c r="E102" s="29">
        <v>3.1</v>
      </c>
      <c r="F102" t="s">
        <v>1</v>
      </c>
      <c r="G102" t="str">
        <f t="shared" si="1"/>
        <v>2023-06</v>
      </c>
    </row>
    <row r="103" spans="1:7" x14ac:dyDescent="0.3">
      <c r="A103">
        <v>3965</v>
      </c>
      <c r="B103" t="s">
        <v>6</v>
      </c>
      <c r="C103" s="7">
        <v>175</v>
      </c>
      <c r="D103" s="1">
        <v>45103</v>
      </c>
      <c r="E103" s="29">
        <v>2.1</v>
      </c>
      <c r="F103" t="s">
        <v>4</v>
      </c>
      <c r="G103" t="str">
        <f t="shared" si="1"/>
        <v>2023-06</v>
      </c>
    </row>
    <row r="104" spans="1:7" x14ac:dyDescent="0.3">
      <c r="A104">
        <v>3966</v>
      </c>
      <c r="B104" t="s">
        <v>20</v>
      </c>
      <c r="C104" s="7">
        <v>105.95348837209301</v>
      </c>
      <c r="D104" s="1">
        <v>45037</v>
      </c>
      <c r="E104" s="29">
        <v>2.2000000000000002</v>
      </c>
      <c r="F104" t="s">
        <v>1</v>
      </c>
      <c r="G104" t="str">
        <f t="shared" si="1"/>
        <v>2023-04</v>
      </c>
    </row>
    <row r="105" spans="1:7" x14ac:dyDescent="0.3">
      <c r="A105">
        <v>4102</v>
      </c>
      <c r="B105" t="s">
        <v>32</v>
      </c>
      <c r="C105" s="7">
        <v>96</v>
      </c>
      <c r="D105" s="1">
        <v>45138</v>
      </c>
      <c r="E105" s="29">
        <v>2</v>
      </c>
      <c r="F105" t="s">
        <v>1</v>
      </c>
      <c r="G105" t="str">
        <f t="shared" si="1"/>
        <v>2023-07</v>
      </c>
    </row>
    <row r="106" spans="1:7" x14ac:dyDescent="0.3">
      <c r="A106">
        <v>4080</v>
      </c>
      <c r="B106" t="s">
        <v>35</v>
      </c>
      <c r="C106" s="7">
        <v>37</v>
      </c>
      <c r="D106" s="1">
        <v>45183</v>
      </c>
      <c r="E106" s="29">
        <v>2.4</v>
      </c>
      <c r="F106" t="s">
        <v>4</v>
      </c>
      <c r="G106" t="str">
        <f t="shared" si="1"/>
        <v>2023-09</v>
      </c>
    </row>
    <row r="107" spans="1:7" x14ac:dyDescent="0.3">
      <c r="A107">
        <v>4051</v>
      </c>
      <c r="B107" t="s">
        <v>5</v>
      </c>
      <c r="C107" s="7">
        <v>58</v>
      </c>
      <c r="D107" s="1">
        <v>44955</v>
      </c>
      <c r="E107" s="29">
        <v>4</v>
      </c>
      <c r="F107" t="s">
        <v>4</v>
      </c>
      <c r="G107" t="str">
        <f t="shared" si="1"/>
        <v>2023-01</v>
      </c>
    </row>
    <row r="108" spans="1:7" x14ac:dyDescent="0.3">
      <c r="A108">
        <v>3985</v>
      </c>
      <c r="B108" t="s">
        <v>26</v>
      </c>
      <c r="C108" s="7">
        <v>45</v>
      </c>
      <c r="D108" s="1">
        <v>44926</v>
      </c>
      <c r="E108" s="29">
        <v>2</v>
      </c>
      <c r="F108" t="s">
        <v>1</v>
      </c>
      <c r="G108" t="str">
        <f t="shared" si="1"/>
        <v>2022-12</v>
      </c>
    </row>
    <row r="109" spans="1:7" x14ac:dyDescent="0.3">
      <c r="A109">
        <v>4105</v>
      </c>
      <c r="B109" t="s">
        <v>46</v>
      </c>
      <c r="C109" s="7">
        <v>81</v>
      </c>
      <c r="D109" s="1">
        <v>44865</v>
      </c>
      <c r="E109" s="29">
        <v>4.5</v>
      </c>
      <c r="F109" t="s">
        <v>1</v>
      </c>
      <c r="G109" t="str">
        <f t="shared" si="1"/>
        <v>2022-10</v>
      </c>
    </row>
    <row r="110" spans="1:7" x14ac:dyDescent="0.3">
      <c r="A110">
        <v>4080</v>
      </c>
      <c r="B110" t="s">
        <v>25</v>
      </c>
      <c r="C110" s="7">
        <v>29</v>
      </c>
      <c r="D110" s="1">
        <v>45191</v>
      </c>
      <c r="E110" s="29">
        <v>2.4</v>
      </c>
      <c r="F110" t="s">
        <v>1</v>
      </c>
      <c r="G110" t="str">
        <f t="shared" si="1"/>
        <v>2023-09</v>
      </c>
    </row>
    <row r="111" spans="1:7" x14ac:dyDescent="0.3">
      <c r="A111">
        <v>3977</v>
      </c>
      <c r="B111" t="s">
        <v>38</v>
      </c>
      <c r="C111" s="7">
        <v>150</v>
      </c>
      <c r="D111" s="1">
        <v>45007</v>
      </c>
      <c r="E111" s="29">
        <v>4.7</v>
      </c>
      <c r="F111" t="s">
        <v>4</v>
      </c>
      <c r="G111" t="str">
        <f t="shared" si="1"/>
        <v>2023-03</v>
      </c>
    </row>
    <row r="112" spans="1:7" x14ac:dyDescent="0.3">
      <c r="A112">
        <v>3993</v>
      </c>
      <c r="B112" t="s">
        <v>39</v>
      </c>
      <c r="C112" s="7">
        <v>108.54716981132</v>
      </c>
      <c r="D112" s="1">
        <v>45025</v>
      </c>
      <c r="E112" s="29">
        <v>3.4</v>
      </c>
      <c r="F112" t="s">
        <v>4</v>
      </c>
      <c r="G112" t="str">
        <f t="shared" si="1"/>
        <v>2023-04</v>
      </c>
    </row>
    <row r="113" spans="1:7" x14ac:dyDescent="0.3">
      <c r="A113">
        <v>4091</v>
      </c>
      <c r="B113" t="s">
        <v>38</v>
      </c>
      <c r="C113" s="7">
        <v>148</v>
      </c>
      <c r="D113" s="1">
        <v>44956</v>
      </c>
      <c r="E113" s="29">
        <v>2.7</v>
      </c>
      <c r="F113" t="s">
        <v>4</v>
      </c>
      <c r="G113" t="str">
        <f t="shared" si="1"/>
        <v>2023-01</v>
      </c>
    </row>
    <row r="114" spans="1:7" x14ac:dyDescent="0.3">
      <c r="A114">
        <v>4028</v>
      </c>
      <c r="B114" t="s">
        <v>16</v>
      </c>
      <c r="C114" s="7">
        <v>33</v>
      </c>
      <c r="D114" s="1">
        <v>44968</v>
      </c>
      <c r="E114" s="29">
        <v>4.3</v>
      </c>
      <c r="F114" t="s">
        <v>1</v>
      </c>
      <c r="G114" t="str">
        <f t="shared" si="1"/>
        <v>2023-02</v>
      </c>
    </row>
    <row r="115" spans="1:7" x14ac:dyDescent="0.3">
      <c r="A115">
        <v>4076</v>
      </c>
      <c r="B115" t="s">
        <v>25</v>
      </c>
      <c r="C115" s="7">
        <v>70</v>
      </c>
      <c r="D115" s="1">
        <v>44839</v>
      </c>
      <c r="E115" s="29">
        <v>3.2</v>
      </c>
      <c r="F115" t="s">
        <v>1</v>
      </c>
      <c r="G115" t="str">
        <f t="shared" si="1"/>
        <v>2022-10</v>
      </c>
    </row>
    <row r="116" spans="1:7" x14ac:dyDescent="0.3">
      <c r="A116">
        <v>4089</v>
      </c>
      <c r="B116" t="s">
        <v>35</v>
      </c>
      <c r="C116" s="7">
        <v>97.071428571428498</v>
      </c>
      <c r="D116" s="1">
        <v>45013</v>
      </c>
      <c r="E116" s="29">
        <v>2.6</v>
      </c>
      <c r="F116" t="s">
        <v>4</v>
      </c>
      <c r="G116" t="str">
        <f t="shared" si="1"/>
        <v>2023-03</v>
      </c>
    </row>
    <row r="117" spans="1:7" x14ac:dyDescent="0.3">
      <c r="A117">
        <v>3977</v>
      </c>
      <c r="B117" t="s">
        <v>6</v>
      </c>
      <c r="C117" s="7">
        <v>64</v>
      </c>
      <c r="D117" s="1">
        <v>44849</v>
      </c>
      <c r="E117" s="29">
        <v>1.6</v>
      </c>
      <c r="F117" t="s">
        <v>4</v>
      </c>
      <c r="G117" t="str">
        <f t="shared" si="1"/>
        <v>2022-10</v>
      </c>
    </row>
    <row r="118" spans="1:7" x14ac:dyDescent="0.3">
      <c r="A118">
        <v>4090</v>
      </c>
      <c r="B118" t="s">
        <v>42</v>
      </c>
      <c r="C118" s="7">
        <v>25</v>
      </c>
      <c r="D118" s="1">
        <v>45187</v>
      </c>
      <c r="E118" s="29">
        <v>2.1</v>
      </c>
      <c r="F118" t="s">
        <v>4</v>
      </c>
      <c r="G118" t="str">
        <f t="shared" si="1"/>
        <v>2023-09</v>
      </c>
    </row>
    <row r="119" spans="1:7" x14ac:dyDescent="0.3">
      <c r="A119">
        <v>4113</v>
      </c>
      <c r="B119" t="s">
        <v>29</v>
      </c>
      <c r="C119" s="7">
        <v>108.734693877551</v>
      </c>
      <c r="D119" s="1">
        <v>45104</v>
      </c>
      <c r="E119" s="29">
        <v>1.3</v>
      </c>
      <c r="F119" t="s">
        <v>4</v>
      </c>
      <c r="G119" t="str">
        <f t="shared" si="1"/>
        <v>2023-06</v>
      </c>
    </row>
    <row r="120" spans="1:7" x14ac:dyDescent="0.3">
      <c r="A120">
        <v>3979</v>
      </c>
      <c r="B120" t="s">
        <v>9</v>
      </c>
      <c r="C120" s="7">
        <v>103.564102564102</v>
      </c>
      <c r="D120" s="1">
        <v>45145</v>
      </c>
      <c r="E120" s="29">
        <v>4.9000000000000004</v>
      </c>
      <c r="F120" t="s">
        <v>1</v>
      </c>
      <c r="G120" t="str">
        <f t="shared" si="1"/>
        <v>2023-08</v>
      </c>
    </row>
    <row r="121" spans="1:7" x14ac:dyDescent="0.3">
      <c r="A121">
        <v>4019</v>
      </c>
      <c r="B121" t="s">
        <v>10</v>
      </c>
      <c r="C121" s="7">
        <v>126</v>
      </c>
      <c r="D121" s="1">
        <v>44910</v>
      </c>
      <c r="E121" s="29">
        <v>3.5</v>
      </c>
      <c r="F121" t="s">
        <v>1</v>
      </c>
      <c r="G121" t="str">
        <f t="shared" si="1"/>
        <v>2022-12</v>
      </c>
    </row>
    <row r="122" spans="1:7" x14ac:dyDescent="0.3">
      <c r="A122">
        <v>4077</v>
      </c>
      <c r="B122" t="s">
        <v>47</v>
      </c>
      <c r="C122" s="7">
        <v>188</v>
      </c>
      <c r="D122" s="1">
        <v>45078</v>
      </c>
      <c r="E122" s="29">
        <v>4.5999999999999996</v>
      </c>
      <c r="F122" t="s">
        <v>1</v>
      </c>
      <c r="G122" t="str">
        <f t="shared" si="1"/>
        <v>2023-06</v>
      </c>
    </row>
    <row r="123" spans="1:7" x14ac:dyDescent="0.3">
      <c r="A123">
        <v>4118</v>
      </c>
      <c r="B123" t="s">
        <v>42</v>
      </c>
      <c r="C123" s="7">
        <v>152</v>
      </c>
      <c r="D123" s="1">
        <v>44938</v>
      </c>
      <c r="E123" s="29">
        <v>1.1000000000000001</v>
      </c>
      <c r="F123" t="s">
        <v>1</v>
      </c>
      <c r="G123" t="str">
        <f t="shared" si="1"/>
        <v>2023-01</v>
      </c>
    </row>
    <row r="124" spans="1:7" x14ac:dyDescent="0.3">
      <c r="A124">
        <v>3976</v>
      </c>
      <c r="B124" t="s">
        <v>31</v>
      </c>
      <c r="C124" s="7">
        <v>134</v>
      </c>
      <c r="D124" s="1">
        <v>45131</v>
      </c>
      <c r="E124" s="29">
        <v>2.1</v>
      </c>
      <c r="F124" t="s">
        <v>1</v>
      </c>
      <c r="G124" t="str">
        <f t="shared" si="1"/>
        <v>2023-07</v>
      </c>
    </row>
    <row r="125" spans="1:7" x14ac:dyDescent="0.3">
      <c r="A125">
        <v>4119</v>
      </c>
      <c r="B125" t="s">
        <v>32</v>
      </c>
      <c r="C125" s="7">
        <v>84.528571428571396</v>
      </c>
      <c r="D125" s="1">
        <v>45050</v>
      </c>
      <c r="E125" s="29">
        <v>4.7</v>
      </c>
      <c r="F125" t="s">
        <v>4</v>
      </c>
      <c r="G125" t="str">
        <f t="shared" si="1"/>
        <v>2023-05</v>
      </c>
    </row>
    <row r="126" spans="1:7" x14ac:dyDescent="0.3">
      <c r="A126">
        <v>4095</v>
      </c>
      <c r="B126" t="s">
        <v>31</v>
      </c>
      <c r="C126" s="7">
        <v>24</v>
      </c>
      <c r="D126" s="1">
        <v>44878</v>
      </c>
      <c r="E126" s="29">
        <v>1.5</v>
      </c>
      <c r="F126" t="s">
        <v>4</v>
      </c>
      <c r="G126" t="str">
        <f t="shared" si="1"/>
        <v>2022-11</v>
      </c>
    </row>
    <row r="127" spans="1:7" x14ac:dyDescent="0.3">
      <c r="A127">
        <v>4105</v>
      </c>
      <c r="B127" t="s">
        <v>28</v>
      </c>
      <c r="C127" s="7">
        <v>148</v>
      </c>
      <c r="D127" s="1">
        <v>45003</v>
      </c>
      <c r="E127" s="29">
        <v>3</v>
      </c>
      <c r="F127" t="s">
        <v>1</v>
      </c>
      <c r="G127" t="str">
        <f t="shared" si="1"/>
        <v>2023-03</v>
      </c>
    </row>
    <row r="128" spans="1:7" x14ac:dyDescent="0.3">
      <c r="A128">
        <v>4036</v>
      </c>
      <c r="B128" t="s">
        <v>28</v>
      </c>
      <c r="C128" s="7">
        <v>111.854838709677</v>
      </c>
      <c r="D128" s="1">
        <v>45141</v>
      </c>
      <c r="E128" s="29">
        <v>3.8</v>
      </c>
      <c r="F128" t="s">
        <v>1</v>
      </c>
      <c r="G128" t="str">
        <f t="shared" si="1"/>
        <v>2023-08</v>
      </c>
    </row>
    <row r="129" spans="1:7" x14ac:dyDescent="0.3">
      <c r="A129">
        <v>4113</v>
      </c>
      <c r="B129" t="s">
        <v>36</v>
      </c>
      <c r="C129" s="7">
        <v>22</v>
      </c>
      <c r="D129" s="1">
        <v>45066</v>
      </c>
      <c r="E129" s="29">
        <v>1.5</v>
      </c>
      <c r="F129" t="s">
        <v>4</v>
      </c>
      <c r="G129" t="str">
        <f t="shared" si="1"/>
        <v>2023-05</v>
      </c>
    </row>
    <row r="130" spans="1:7" x14ac:dyDescent="0.3">
      <c r="A130">
        <v>3970</v>
      </c>
      <c r="B130" t="s">
        <v>5</v>
      </c>
      <c r="C130" s="7">
        <v>138</v>
      </c>
      <c r="D130" s="1">
        <v>45055</v>
      </c>
      <c r="E130" s="29">
        <v>4.7</v>
      </c>
      <c r="F130" t="s">
        <v>4</v>
      </c>
      <c r="G130" t="str">
        <f t="shared" si="1"/>
        <v>2023-05</v>
      </c>
    </row>
    <row r="131" spans="1:7" x14ac:dyDescent="0.3">
      <c r="A131">
        <v>4044</v>
      </c>
      <c r="B131" t="s">
        <v>5</v>
      </c>
      <c r="C131" s="7">
        <v>145</v>
      </c>
      <c r="D131" s="1">
        <v>44967</v>
      </c>
      <c r="E131" s="29">
        <v>2.4</v>
      </c>
      <c r="F131" t="s">
        <v>4</v>
      </c>
      <c r="G131" t="str">
        <f t="shared" ref="G131:G194" si="2">TEXT(D131,"ГГГГ-ММ")</f>
        <v>2023-02</v>
      </c>
    </row>
    <row r="132" spans="1:7" x14ac:dyDescent="0.3">
      <c r="A132">
        <v>4093</v>
      </c>
      <c r="B132" t="s">
        <v>43</v>
      </c>
      <c r="C132" s="7">
        <v>117.354166666666</v>
      </c>
      <c r="D132" s="1">
        <v>44840</v>
      </c>
      <c r="E132" s="29">
        <v>3.2</v>
      </c>
      <c r="F132" t="s">
        <v>4</v>
      </c>
      <c r="G132" t="str">
        <f t="shared" si="2"/>
        <v>2022-10</v>
      </c>
    </row>
    <row r="133" spans="1:7" x14ac:dyDescent="0.3">
      <c r="A133">
        <v>3959</v>
      </c>
      <c r="B133" t="s">
        <v>30</v>
      </c>
      <c r="C133" s="7">
        <v>30</v>
      </c>
      <c r="D133" s="1">
        <v>44996</v>
      </c>
      <c r="E133" s="29">
        <v>1.5</v>
      </c>
      <c r="F133" t="s">
        <v>4</v>
      </c>
      <c r="G133" t="str">
        <f t="shared" si="2"/>
        <v>2023-03</v>
      </c>
    </row>
    <row r="134" spans="1:7" x14ac:dyDescent="0.3">
      <c r="A134">
        <v>4077</v>
      </c>
      <c r="B134" t="s">
        <v>44</v>
      </c>
      <c r="C134" s="7">
        <v>27</v>
      </c>
      <c r="D134" s="1">
        <v>44934</v>
      </c>
      <c r="E134" s="29">
        <v>4.5999999999999996</v>
      </c>
      <c r="F134" t="s">
        <v>1</v>
      </c>
      <c r="G134" t="str">
        <f t="shared" si="2"/>
        <v>2023-01</v>
      </c>
    </row>
    <row r="135" spans="1:7" x14ac:dyDescent="0.3">
      <c r="A135">
        <v>4073</v>
      </c>
      <c r="B135" t="s">
        <v>15</v>
      </c>
      <c r="C135" s="7">
        <v>182</v>
      </c>
      <c r="D135" s="1">
        <v>45185</v>
      </c>
      <c r="E135" s="29">
        <v>3.5</v>
      </c>
      <c r="F135" t="s">
        <v>4</v>
      </c>
      <c r="G135" t="str">
        <f t="shared" si="2"/>
        <v>2023-09</v>
      </c>
    </row>
    <row r="136" spans="1:7" x14ac:dyDescent="0.3">
      <c r="A136">
        <v>4088</v>
      </c>
      <c r="B136" t="s">
        <v>44</v>
      </c>
      <c r="C136" s="7">
        <v>113</v>
      </c>
      <c r="D136" s="1">
        <v>45171</v>
      </c>
      <c r="E136" s="29">
        <v>1.2</v>
      </c>
      <c r="F136" t="s">
        <v>1</v>
      </c>
      <c r="G136" t="str">
        <f t="shared" si="2"/>
        <v>2023-09</v>
      </c>
    </row>
    <row r="137" spans="1:7" x14ac:dyDescent="0.3">
      <c r="A137">
        <v>4077</v>
      </c>
      <c r="B137" t="s">
        <v>8</v>
      </c>
      <c r="C137" s="7">
        <v>105.81034482758599</v>
      </c>
      <c r="D137" s="1">
        <v>45000</v>
      </c>
      <c r="E137" s="29">
        <v>2.4</v>
      </c>
      <c r="F137" t="s">
        <v>1</v>
      </c>
      <c r="G137" t="str">
        <f t="shared" si="2"/>
        <v>2023-03</v>
      </c>
    </row>
    <row r="138" spans="1:7" x14ac:dyDescent="0.3">
      <c r="A138">
        <v>4103</v>
      </c>
      <c r="B138" t="s">
        <v>43</v>
      </c>
      <c r="C138" s="7">
        <v>73</v>
      </c>
      <c r="D138" s="1">
        <v>45046</v>
      </c>
      <c r="E138" s="29">
        <v>2.6</v>
      </c>
      <c r="F138" t="s">
        <v>4</v>
      </c>
      <c r="G138" t="str">
        <f t="shared" si="2"/>
        <v>2023-04</v>
      </c>
    </row>
    <row r="139" spans="1:7" x14ac:dyDescent="0.3">
      <c r="A139">
        <v>4041</v>
      </c>
      <c r="B139" t="s">
        <v>25</v>
      </c>
      <c r="C139" s="7">
        <v>20</v>
      </c>
      <c r="D139" s="1">
        <v>45066</v>
      </c>
      <c r="E139" s="29">
        <v>4.3</v>
      </c>
      <c r="F139" t="s">
        <v>4</v>
      </c>
      <c r="G139" t="str">
        <f t="shared" si="2"/>
        <v>2023-05</v>
      </c>
    </row>
    <row r="140" spans="1:7" x14ac:dyDescent="0.3">
      <c r="A140">
        <v>4064</v>
      </c>
      <c r="B140" t="s">
        <v>30</v>
      </c>
      <c r="C140" s="7">
        <v>117</v>
      </c>
      <c r="D140" s="1">
        <v>44865</v>
      </c>
      <c r="E140" s="29">
        <v>2.9</v>
      </c>
      <c r="F140" t="s">
        <v>4</v>
      </c>
      <c r="G140" t="str">
        <f t="shared" si="2"/>
        <v>2022-10</v>
      </c>
    </row>
    <row r="141" spans="1:7" x14ac:dyDescent="0.3">
      <c r="A141">
        <v>4047</v>
      </c>
      <c r="B141" t="s">
        <v>39</v>
      </c>
      <c r="C141" s="7">
        <v>154</v>
      </c>
      <c r="D141" s="1">
        <v>45078</v>
      </c>
      <c r="E141" s="29">
        <v>1.7</v>
      </c>
      <c r="F141" t="s">
        <v>4</v>
      </c>
      <c r="G141" t="str">
        <f t="shared" si="2"/>
        <v>2023-06</v>
      </c>
    </row>
    <row r="142" spans="1:7" x14ac:dyDescent="0.3">
      <c r="A142">
        <v>4032</v>
      </c>
      <c r="B142" t="s">
        <v>0</v>
      </c>
      <c r="C142" s="7">
        <v>76</v>
      </c>
      <c r="D142" s="1">
        <v>45092</v>
      </c>
      <c r="E142" s="29">
        <v>4.7</v>
      </c>
      <c r="F142" t="s">
        <v>4</v>
      </c>
      <c r="G142" t="str">
        <f t="shared" si="2"/>
        <v>2023-06</v>
      </c>
    </row>
    <row r="143" spans="1:7" x14ac:dyDescent="0.3">
      <c r="A143">
        <v>4031</v>
      </c>
      <c r="B143" t="s">
        <v>34</v>
      </c>
      <c r="C143" s="7">
        <v>193</v>
      </c>
      <c r="D143" s="1">
        <v>45140</v>
      </c>
      <c r="E143" s="29">
        <v>1.3</v>
      </c>
      <c r="F143" t="s">
        <v>1</v>
      </c>
      <c r="G143" t="str">
        <f t="shared" si="2"/>
        <v>2023-08</v>
      </c>
    </row>
    <row r="144" spans="1:7" x14ac:dyDescent="0.3">
      <c r="A144">
        <v>3999</v>
      </c>
      <c r="B144" t="s">
        <v>29</v>
      </c>
      <c r="C144" s="7">
        <v>77</v>
      </c>
      <c r="D144" s="1">
        <v>45073</v>
      </c>
      <c r="E144" s="29">
        <v>3.4</v>
      </c>
      <c r="F144" t="s">
        <v>1</v>
      </c>
      <c r="G144" t="str">
        <f t="shared" si="2"/>
        <v>2023-05</v>
      </c>
    </row>
    <row r="145" spans="1:7" x14ac:dyDescent="0.3">
      <c r="A145">
        <v>3966</v>
      </c>
      <c r="B145" t="s">
        <v>15</v>
      </c>
      <c r="C145" s="7">
        <v>181</v>
      </c>
      <c r="D145" s="1">
        <v>45091</v>
      </c>
      <c r="E145" s="29">
        <v>3.6</v>
      </c>
      <c r="F145" t="s">
        <v>1</v>
      </c>
      <c r="G145" t="str">
        <f t="shared" si="2"/>
        <v>2023-06</v>
      </c>
    </row>
    <row r="146" spans="1:7" x14ac:dyDescent="0.3">
      <c r="A146">
        <v>4109</v>
      </c>
      <c r="B146" t="s">
        <v>2</v>
      </c>
      <c r="C146" s="7">
        <v>127</v>
      </c>
      <c r="D146" s="1">
        <v>45199</v>
      </c>
      <c r="E146" s="29">
        <v>2.8</v>
      </c>
      <c r="F146" t="s">
        <v>4</v>
      </c>
      <c r="G146" t="str">
        <f t="shared" si="2"/>
        <v>2023-09</v>
      </c>
    </row>
    <row r="147" spans="1:7" x14ac:dyDescent="0.3">
      <c r="A147">
        <v>4034</v>
      </c>
      <c r="B147" t="s">
        <v>48</v>
      </c>
      <c r="C147" s="7">
        <v>28</v>
      </c>
      <c r="D147" s="1">
        <v>45009</v>
      </c>
      <c r="E147" s="29">
        <v>3.4</v>
      </c>
      <c r="F147" t="s">
        <v>4</v>
      </c>
      <c r="G147" t="str">
        <f t="shared" si="2"/>
        <v>2023-03</v>
      </c>
    </row>
    <row r="148" spans="1:7" x14ac:dyDescent="0.3">
      <c r="A148">
        <v>4101</v>
      </c>
      <c r="B148" t="s">
        <v>25</v>
      </c>
      <c r="C148" s="7">
        <v>112.745762711864</v>
      </c>
      <c r="D148" s="1">
        <v>45012</v>
      </c>
      <c r="E148" s="29">
        <v>1.4</v>
      </c>
      <c r="F148" t="s">
        <v>4</v>
      </c>
      <c r="G148" t="str">
        <f t="shared" si="2"/>
        <v>2023-03</v>
      </c>
    </row>
    <row r="149" spans="1:7" x14ac:dyDescent="0.3">
      <c r="A149">
        <v>4023</v>
      </c>
      <c r="B149" t="s">
        <v>41</v>
      </c>
      <c r="C149" s="7">
        <v>154</v>
      </c>
      <c r="D149" s="1">
        <v>44966</v>
      </c>
      <c r="E149" s="29">
        <v>2.4</v>
      </c>
      <c r="F149" t="s">
        <v>1</v>
      </c>
      <c r="G149" t="str">
        <f t="shared" si="2"/>
        <v>2023-02</v>
      </c>
    </row>
    <row r="150" spans="1:7" x14ac:dyDescent="0.3">
      <c r="A150">
        <v>3972</v>
      </c>
      <c r="B150" t="s">
        <v>40</v>
      </c>
      <c r="C150" s="7">
        <v>28</v>
      </c>
      <c r="D150" s="1">
        <v>44917</v>
      </c>
      <c r="E150" s="29">
        <v>4.5999999999999996</v>
      </c>
      <c r="F150" t="s">
        <v>1</v>
      </c>
      <c r="G150" t="str">
        <f t="shared" si="2"/>
        <v>2022-12</v>
      </c>
    </row>
    <row r="151" spans="1:7" x14ac:dyDescent="0.3">
      <c r="A151">
        <v>4118</v>
      </c>
      <c r="B151" t="s">
        <v>31</v>
      </c>
      <c r="C151" s="7">
        <v>139</v>
      </c>
      <c r="D151" s="1">
        <v>45059</v>
      </c>
      <c r="E151" s="29">
        <v>4.4000000000000004</v>
      </c>
      <c r="F151" t="s">
        <v>1</v>
      </c>
      <c r="G151" t="str">
        <f t="shared" si="2"/>
        <v>2023-05</v>
      </c>
    </row>
    <row r="152" spans="1:7" x14ac:dyDescent="0.3">
      <c r="A152">
        <v>4078</v>
      </c>
      <c r="B152" t="s">
        <v>13</v>
      </c>
      <c r="C152" s="7">
        <v>99</v>
      </c>
      <c r="D152" s="1">
        <v>44875</v>
      </c>
      <c r="E152" s="29">
        <v>2.2999999999999998</v>
      </c>
      <c r="F152" t="s">
        <v>4</v>
      </c>
      <c r="G152" t="str">
        <f t="shared" si="2"/>
        <v>2022-11</v>
      </c>
    </row>
    <row r="153" spans="1:7" x14ac:dyDescent="0.3">
      <c r="A153">
        <v>4105</v>
      </c>
      <c r="B153" t="s">
        <v>37</v>
      </c>
      <c r="C153" s="7">
        <v>72</v>
      </c>
      <c r="D153" s="1">
        <v>45136</v>
      </c>
      <c r="E153" s="29">
        <v>1.7</v>
      </c>
      <c r="F153" t="s">
        <v>1</v>
      </c>
      <c r="G153" t="str">
        <f t="shared" si="2"/>
        <v>2023-07</v>
      </c>
    </row>
    <row r="154" spans="1:7" x14ac:dyDescent="0.3">
      <c r="A154">
        <v>4000</v>
      </c>
      <c r="B154" t="s">
        <v>46</v>
      </c>
      <c r="C154" s="7">
        <v>50</v>
      </c>
      <c r="D154" s="1">
        <v>45196</v>
      </c>
      <c r="E154" s="29">
        <v>4.3</v>
      </c>
      <c r="F154" t="s">
        <v>4</v>
      </c>
      <c r="G154" t="str">
        <f t="shared" si="2"/>
        <v>2023-09</v>
      </c>
    </row>
    <row r="155" spans="1:7" x14ac:dyDescent="0.3">
      <c r="A155">
        <v>4103</v>
      </c>
      <c r="B155" t="s">
        <v>49</v>
      </c>
      <c r="C155" s="7">
        <v>149</v>
      </c>
      <c r="D155" s="1">
        <v>44850</v>
      </c>
      <c r="E155" s="29">
        <v>5</v>
      </c>
      <c r="F155" t="s">
        <v>4</v>
      </c>
      <c r="G155" t="str">
        <f t="shared" si="2"/>
        <v>2022-10</v>
      </c>
    </row>
    <row r="156" spans="1:7" x14ac:dyDescent="0.3">
      <c r="A156">
        <v>3970</v>
      </c>
      <c r="B156" t="s">
        <v>13</v>
      </c>
      <c r="C156" s="7">
        <v>166</v>
      </c>
      <c r="D156" s="1">
        <v>44959</v>
      </c>
      <c r="E156" s="29">
        <v>3.1</v>
      </c>
      <c r="F156" t="s">
        <v>1</v>
      </c>
      <c r="G156" t="str">
        <f t="shared" si="2"/>
        <v>2023-02</v>
      </c>
    </row>
    <row r="157" spans="1:7" x14ac:dyDescent="0.3">
      <c r="A157">
        <v>4031</v>
      </c>
      <c r="B157" t="s">
        <v>5</v>
      </c>
      <c r="C157" s="7">
        <v>177</v>
      </c>
      <c r="D157" s="1">
        <v>45105</v>
      </c>
      <c r="E157" s="29">
        <v>3.5</v>
      </c>
      <c r="F157" t="s">
        <v>4</v>
      </c>
      <c r="G157" t="str">
        <f t="shared" si="2"/>
        <v>2023-06</v>
      </c>
    </row>
    <row r="158" spans="1:7" x14ac:dyDescent="0.3">
      <c r="A158">
        <v>4116</v>
      </c>
      <c r="B158" t="s">
        <v>50</v>
      </c>
      <c r="C158" s="7">
        <v>180</v>
      </c>
      <c r="D158" s="1">
        <v>44968</v>
      </c>
      <c r="E158" s="29">
        <v>3</v>
      </c>
      <c r="F158" t="s">
        <v>4</v>
      </c>
      <c r="G158" t="str">
        <f t="shared" si="2"/>
        <v>2023-02</v>
      </c>
    </row>
    <row r="159" spans="1:7" x14ac:dyDescent="0.3">
      <c r="A159">
        <v>3963</v>
      </c>
      <c r="B159" t="s">
        <v>36</v>
      </c>
      <c r="C159" s="7">
        <v>86</v>
      </c>
      <c r="D159" s="1">
        <v>44911</v>
      </c>
      <c r="E159" s="29">
        <v>1.5</v>
      </c>
      <c r="F159" t="s">
        <v>4</v>
      </c>
      <c r="G159" t="str">
        <f t="shared" si="2"/>
        <v>2022-12</v>
      </c>
    </row>
    <row r="160" spans="1:7" x14ac:dyDescent="0.3">
      <c r="A160">
        <v>4030</v>
      </c>
      <c r="B160" t="s">
        <v>47</v>
      </c>
      <c r="C160" s="7">
        <v>36</v>
      </c>
      <c r="D160" s="1">
        <v>44928</v>
      </c>
      <c r="E160" s="29">
        <v>2.8</v>
      </c>
      <c r="F160" t="s">
        <v>1</v>
      </c>
      <c r="G160" t="str">
        <f t="shared" si="2"/>
        <v>2023-01</v>
      </c>
    </row>
    <row r="161" spans="1:7" x14ac:dyDescent="0.3">
      <c r="A161">
        <v>4081</v>
      </c>
      <c r="B161" t="s">
        <v>30</v>
      </c>
      <c r="C161" s="7">
        <v>44</v>
      </c>
      <c r="D161" s="1">
        <v>45080</v>
      </c>
      <c r="E161" s="29">
        <v>2.2000000000000002</v>
      </c>
      <c r="F161" t="s">
        <v>1</v>
      </c>
      <c r="G161" t="str">
        <f t="shared" si="2"/>
        <v>2023-06</v>
      </c>
    </row>
    <row r="162" spans="1:7" x14ac:dyDescent="0.3">
      <c r="A162">
        <v>3978</v>
      </c>
      <c r="B162" t="s">
        <v>27</v>
      </c>
      <c r="C162" s="7">
        <v>37</v>
      </c>
      <c r="D162" s="1">
        <v>44943</v>
      </c>
      <c r="E162" s="29">
        <v>5</v>
      </c>
      <c r="F162" t="s">
        <v>4</v>
      </c>
      <c r="G162" t="str">
        <f t="shared" si="2"/>
        <v>2023-01</v>
      </c>
    </row>
    <row r="163" spans="1:7" x14ac:dyDescent="0.3">
      <c r="A163">
        <v>3989</v>
      </c>
      <c r="B163" t="s">
        <v>24</v>
      </c>
      <c r="C163" s="7">
        <v>49</v>
      </c>
      <c r="D163" s="1">
        <v>45042</v>
      </c>
      <c r="E163" s="29">
        <v>4.7</v>
      </c>
      <c r="F163" t="s">
        <v>1</v>
      </c>
      <c r="G163" t="str">
        <f t="shared" si="2"/>
        <v>2023-04</v>
      </c>
    </row>
    <row r="164" spans="1:7" x14ac:dyDescent="0.3">
      <c r="A164">
        <v>4086</v>
      </c>
      <c r="B164" t="s">
        <v>43</v>
      </c>
      <c r="C164" s="7">
        <v>164</v>
      </c>
      <c r="D164" s="1">
        <v>44902</v>
      </c>
      <c r="E164" s="29">
        <v>1.6</v>
      </c>
      <c r="F164" t="s">
        <v>4</v>
      </c>
      <c r="G164" t="str">
        <f t="shared" si="2"/>
        <v>2022-12</v>
      </c>
    </row>
    <row r="165" spans="1:7" x14ac:dyDescent="0.3">
      <c r="A165">
        <v>3976</v>
      </c>
      <c r="B165" t="s">
        <v>24</v>
      </c>
      <c r="C165" s="7">
        <v>97</v>
      </c>
      <c r="D165" s="1">
        <v>45069</v>
      </c>
      <c r="E165" s="29">
        <v>4.4000000000000004</v>
      </c>
      <c r="F165" t="s">
        <v>4</v>
      </c>
      <c r="G165" t="str">
        <f t="shared" si="2"/>
        <v>2023-05</v>
      </c>
    </row>
    <row r="166" spans="1:7" x14ac:dyDescent="0.3">
      <c r="A166">
        <v>4028</v>
      </c>
      <c r="B166" t="s">
        <v>21</v>
      </c>
      <c r="C166" s="7">
        <v>172</v>
      </c>
      <c r="D166" s="1">
        <v>44941</v>
      </c>
      <c r="E166" s="29">
        <v>1.1000000000000001</v>
      </c>
      <c r="F166" t="s">
        <v>1</v>
      </c>
      <c r="G166" t="str">
        <f t="shared" si="2"/>
        <v>2023-01</v>
      </c>
    </row>
    <row r="167" spans="1:7" x14ac:dyDescent="0.3">
      <c r="A167">
        <v>4021</v>
      </c>
      <c r="B167" t="s">
        <v>0</v>
      </c>
      <c r="C167" s="7">
        <v>139</v>
      </c>
      <c r="D167" s="1">
        <v>44928</v>
      </c>
      <c r="E167" s="29">
        <v>4.8</v>
      </c>
      <c r="F167" t="s">
        <v>4</v>
      </c>
      <c r="G167" t="str">
        <f t="shared" si="2"/>
        <v>2023-01</v>
      </c>
    </row>
    <row r="168" spans="1:7" x14ac:dyDescent="0.3">
      <c r="A168">
        <v>3990</v>
      </c>
      <c r="B168" t="s">
        <v>25</v>
      </c>
      <c r="C168" s="7">
        <v>23</v>
      </c>
      <c r="D168" s="1">
        <v>44866</v>
      </c>
      <c r="E168" s="29">
        <v>4.2</v>
      </c>
      <c r="F168" t="s">
        <v>1</v>
      </c>
      <c r="G168" t="str">
        <f t="shared" si="2"/>
        <v>2022-11</v>
      </c>
    </row>
    <row r="169" spans="1:7" x14ac:dyDescent="0.3">
      <c r="A169">
        <v>4114</v>
      </c>
      <c r="B169" t="s">
        <v>37</v>
      </c>
      <c r="C169" s="7">
        <v>97.720588235294102</v>
      </c>
      <c r="D169" s="1">
        <v>45197</v>
      </c>
      <c r="E169" s="29">
        <v>3.0156626506023998</v>
      </c>
      <c r="F169" t="s">
        <v>4</v>
      </c>
      <c r="G169" t="str">
        <f t="shared" si="2"/>
        <v>2023-09</v>
      </c>
    </row>
    <row r="170" spans="1:7" x14ac:dyDescent="0.3">
      <c r="A170">
        <v>4028</v>
      </c>
      <c r="B170" t="s">
        <v>8</v>
      </c>
      <c r="C170" s="7">
        <v>80</v>
      </c>
      <c r="D170" s="1">
        <v>44926</v>
      </c>
      <c r="E170" s="29">
        <v>1.1000000000000001</v>
      </c>
      <c r="F170" t="s">
        <v>4</v>
      </c>
      <c r="G170" t="str">
        <f t="shared" si="2"/>
        <v>2022-12</v>
      </c>
    </row>
    <row r="171" spans="1:7" x14ac:dyDescent="0.3">
      <c r="A171">
        <v>4027</v>
      </c>
      <c r="B171" t="s">
        <v>3</v>
      </c>
      <c r="C171" s="7">
        <v>100.68</v>
      </c>
      <c r="D171" s="1">
        <v>44925</v>
      </c>
      <c r="E171" s="29">
        <v>4.8</v>
      </c>
      <c r="F171" t="s">
        <v>1</v>
      </c>
      <c r="G171" t="str">
        <f t="shared" si="2"/>
        <v>2022-12</v>
      </c>
    </row>
    <row r="172" spans="1:7" x14ac:dyDescent="0.3">
      <c r="A172">
        <v>4022</v>
      </c>
      <c r="B172" t="s">
        <v>3</v>
      </c>
      <c r="C172" s="7">
        <v>43</v>
      </c>
      <c r="D172" s="1">
        <v>45165</v>
      </c>
      <c r="E172" s="29">
        <v>3.9</v>
      </c>
      <c r="F172" t="s">
        <v>4</v>
      </c>
      <c r="G172" t="str">
        <f t="shared" si="2"/>
        <v>2023-08</v>
      </c>
    </row>
    <row r="173" spans="1:7" x14ac:dyDescent="0.3">
      <c r="A173">
        <v>3960</v>
      </c>
      <c r="B173" t="s">
        <v>42</v>
      </c>
      <c r="C173" s="7">
        <v>77</v>
      </c>
      <c r="D173" s="1">
        <v>44911</v>
      </c>
      <c r="E173" s="29">
        <v>4.3</v>
      </c>
      <c r="F173" t="s">
        <v>4</v>
      </c>
      <c r="G173" t="str">
        <f t="shared" si="2"/>
        <v>2022-12</v>
      </c>
    </row>
    <row r="174" spans="1:7" x14ac:dyDescent="0.3">
      <c r="A174">
        <v>3985</v>
      </c>
      <c r="B174" t="s">
        <v>2</v>
      </c>
      <c r="C174" s="7">
        <v>93.340909090909093</v>
      </c>
      <c r="D174" s="1">
        <v>45082</v>
      </c>
      <c r="E174" s="29">
        <v>1.4</v>
      </c>
      <c r="F174" t="s">
        <v>1</v>
      </c>
      <c r="G174" t="str">
        <f t="shared" si="2"/>
        <v>2023-06</v>
      </c>
    </row>
    <row r="175" spans="1:7" x14ac:dyDescent="0.3">
      <c r="A175">
        <v>4111</v>
      </c>
      <c r="B175" t="s">
        <v>43</v>
      </c>
      <c r="C175" s="7">
        <v>190</v>
      </c>
      <c r="D175" s="1">
        <v>44888</v>
      </c>
      <c r="E175" s="29">
        <v>4.4000000000000004</v>
      </c>
      <c r="F175" t="s">
        <v>1</v>
      </c>
      <c r="G175" t="str">
        <f t="shared" si="2"/>
        <v>2022-11</v>
      </c>
    </row>
    <row r="176" spans="1:7" x14ac:dyDescent="0.3">
      <c r="A176">
        <v>4001</v>
      </c>
      <c r="B176" t="s">
        <v>27</v>
      </c>
      <c r="C176" s="7">
        <v>12</v>
      </c>
      <c r="D176" s="1">
        <v>44890</v>
      </c>
      <c r="E176" s="29">
        <v>2.7</v>
      </c>
      <c r="F176" t="s">
        <v>4</v>
      </c>
      <c r="G176" t="str">
        <f t="shared" si="2"/>
        <v>2022-11</v>
      </c>
    </row>
    <row r="177" spans="1:7" x14ac:dyDescent="0.3">
      <c r="A177">
        <v>4108</v>
      </c>
      <c r="B177" t="s">
        <v>47</v>
      </c>
      <c r="C177" s="7">
        <v>106.297872340425</v>
      </c>
      <c r="D177" s="1">
        <v>44874</v>
      </c>
      <c r="E177" s="29">
        <v>4.5</v>
      </c>
      <c r="F177" t="s">
        <v>1</v>
      </c>
      <c r="G177" t="str">
        <f t="shared" si="2"/>
        <v>2022-11</v>
      </c>
    </row>
    <row r="178" spans="1:7" x14ac:dyDescent="0.3">
      <c r="A178">
        <v>3995</v>
      </c>
      <c r="B178" t="s">
        <v>23</v>
      </c>
      <c r="C178" s="7">
        <v>186</v>
      </c>
      <c r="D178" s="1">
        <v>45073</v>
      </c>
      <c r="E178" s="29">
        <v>3.9</v>
      </c>
      <c r="F178" t="s">
        <v>4</v>
      </c>
      <c r="G178" t="str">
        <f t="shared" si="2"/>
        <v>2023-05</v>
      </c>
    </row>
    <row r="179" spans="1:7" x14ac:dyDescent="0.3">
      <c r="A179">
        <v>4071</v>
      </c>
      <c r="B179" t="s">
        <v>17</v>
      </c>
      <c r="C179" s="7">
        <v>149</v>
      </c>
      <c r="D179" s="1">
        <v>45025</v>
      </c>
      <c r="E179" s="29">
        <v>2.4</v>
      </c>
      <c r="F179" t="s">
        <v>4</v>
      </c>
      <c r="G179" t="str">
        <f t="shared" si="2"/>
        <v>2023-04</v>
      </c>
    </row>
    <row r="180" spans="1:7" x14ac:dyDescent="0.3">
      <c r="A180">
        <v>4051</v>
      </c>
      <c r="B180" t="s">
        <v>24</v>
      </c>
      <c r="C180" s="7">
        <v>95.292307692307602</v>
      </c>
      <c r="D180" s="1">
        <v>45169</v>
      </c>
      <c r="E180" s="29">
        <v>3.1712328767123199</v>
      </c>
      <c r="F180" t="s">
        <v>1</v>
      </c>
      <c r="G180" t="str">
        <f t="shared" si="2"/>
        <v>2023-08</v>
      </c>
    </row>
    <row r="181" spans="1:7" x14ac:dyDescent="0.3">
      <c r="A181">
        <v>4001</v>
      </c>
      <c r="B181" t="s">
        <v>22</v>
      </c>
      <c r="C181" s="7">
        <v>151</v>
      </c>
      <c r="D181" s="1">
        <v>45086</v>
      </c>
      <c r="E181" s="29">
        <v>3.9</v>
      </c>
      <c r="F181" t="s">
        <v>4</v>
      </c>
      <c r="G181" t="str">
        <f t="shared" si="2"/>
        <v>2023-06</v>
      </c>
    </row>
    <row r="182" spans="1:7" x14ac:dyDescent="0.3">
      <c r="A182">
        <v>4023</v>
      </c>
      <c r="B182" t="s">
        <v>0</v>
      </c>
      <c r="C182" s="7">
        <v>112.145454545454</v>
      </c>
      <c r="D182" s="1">
        <v>45054</v>
      </c>
      <c r="E182" s="29">
        <v>3</v>
      </c>
      <c r="F182" t="s">
        <v>1</v>
      </c>
      <c r="G182" t="str">
        <f t="shared" si="2"/>
        <v>2023-05</v>
      </c>
    </row>
    <row r="183" spans="1:7" x14ac:dyDescent="0.3">
      <c r="A183">
        <v>4017</v>
      </c>
      <c r="B183" t="s">
        <v>32</v>
      </c>
      <c r="C183" s="7">
        <v>84.528571428571396</v>
      </c>
      <c r="D183" s="1">
        <v>45146</v>
      </c>
      <c r="E183" s="29">
        <v>3.5</v>
      </c>
      <c r="F183" t="s">
        <v>4</v>
      </c>
      <c r="G183" t="str">
        <f t="shared" si="2"/>
        <v>2023-08</v>
      </c>
    </row>
    <row r="184" spans="1:7" x14ac:dyDescent="0.3">
      <c r="A184">
        <v>4081</v>
      </c>
      <c r="B184" t="s">
        <v>46</v>
      </c>
      <c r="C184" s="7">
        <v>20</v>
      </c>
      <c r="D184" s="1">
        <v>44897</v>
      </c>
      <c r="E184" s="29">
        <v>4.0999999999999996</v>
      </c>
      <c r="F184" t="s">
        <v>4</v>
      </c>
      <c r="G184" t="str">
        <f t="shared" si="2"/>
        <v>2022-12</v>
      </c>
    </row>
    <row r="185" spans="1:7" x14ac:dyDescent="0.3">
      <c r="A185">
        <v>4003</v>
      </c>
      <c r="B185" t="s">
        <v>6</v>
      </c>
      <c r="C185" s="7">
        <v>63</v>
      </c>
      <c r="D185" s="1">
        <v>45087</v>
      </c>
      <c r="E185" s="29">
        <v>2.2999999999999998</v>
      </c>
      <c r="F185" t="s">
        <v>1</v>
      </c>
      <c r="G185" t="str">
        <f t="shared" si="2"/>
        <v>2023-06</v>
      </c>
    </row>
    <row r="186" spans="1:7" x14ac:dyDescent="0.3">
      <c r="A186">
        <v>4092</v>
      </c>
      <c r="B186" t="s">
        <v>38</v>
      </c>
      <c r="C186" s="7">
        <v>180</v>
      </c>
      <c r="D186" s="1">
        <v>44890</v>
      </c>
      <c r="E186" s="29">
        <v>2.7</v>
      </c>
      <c r="F186" t="s">
        <v>4</v>
      </c>
      <c r="G186" t="str">
        <f t="shared" si="2"/>
        <v>2022-11</v>
      </c>
    </row>
    <row r="187" spans="1:7" x14ac:dyDescent="0.3">
      <c r="A187">
        <v>3965</v>
      </c>
      <c r="B187" t="s">
        <v>23</v>
      </c>
      <c r="C187" s="7">
        <v>107.68518518518501</v>
      </c>
      <c r="D187" s="1">
        <v>45052</v>
      </c>
      <c r="E187" s="29">
        <v>4.2</v>
      </c>
      <c r="F187" t="s">
        <v>4</v>
      </c>
      <c r="G187" t="str">
        <f t="shared" si="2"/>
        <v>2023-05</v>
      </c>
    </row>
    <row r="188" spans="1:7" x14ac:dyDescent="0.3">
      <c r="A188">
        <v>4044</v>
      </c>
      <c r="B188" t="s">
        <v>32</v>
      </c>
      <c r="C188" s="7">
        <v>114</v>
      </c>
      <c r="D188" s="1">
        <v>44920</v>
      </c>
      <c r="E188" s="29">
        <v>4.4000000000000004</v>
      </c>
      <c r="F188" t="s">
        <v>1</v>
      </c>
      <c r="G188" t="str">
        <f t="shared" si="2"/>
        <v>2022-12</v>
      </c>
    </row>
    <row r="189" spans="1:7" x14ac:dyDescent="0.3">
      <c r="A189">
        <v>3978</v>
      </c>
      <c r="B189" t="s">
        <v>46</v>
      </c>
      <c r="C189" s="7">
        <v>49</v>
      </c>
      <c r="D189" s="1">
        <v>44865</v>
      </c>
      <c r="E189" s="29">
        <v>4.5</v>
      </c>
      <c r="F189" t="s">
        <v>4</v>
      </c>
      <c r="G189" t="str">
        <f t="shared" si="2"/>
        <v>2022-10</v>
      </c>
    </row>
    <row r="190" spans="1:7" x14ac:dyDescent="0.3">
      <c r="A190">
        <v>3994</v>
      </c>
      <c r="B190" t="s">
        <v>3</v>
      </c>
      <c r="C190" s="7">
        <v>70</v>
      </c>
      <c r="D190" s="1">
        <v>44986</v>
      </c>
      <c r="E190" s="29">
        <v>3.2285714285714202</v>
      </c>
      <c r="F190" t="s">
        <v>4</v>
      </c>
      <c r="G190" t="str">
        <f t="shared" si="2"/>
        <v>2023-03</v>
      </c>
    </row>
    <row r="191" spans="1:7" x14ac:dyDescent="0.3">
      <c r="A191">
        <v>4109</v>
      </c>
      <c r="B191" t="s">
        <v>6</v>
      </c>
      <c r="C191" s="7">
        <v>55</v>
      </c>
      <c r="D191" s="1">
        <v>44916</v>
      </c>
      <c r="E191" s="29">
        <v>1</v>
      </c>
      <c r="F191" t="s">
        <v>1</v>
      </c>
      <c r="G191" t="str">
        <f t="shared" si="2"/>
        <v>2022-12</v>
      </c>
    </row>
    <row r="192" spans="1:7" x14ac:dyDescent="0.3">
      <c r="A192">
        <v>3996</v>
      </c>
      <c r="B192" t="s">
        <v>34</v>
      </c>
      <c r="C192" s="7">
        <v>16</v>
      </c>
      <c r="D192" s="1">
        <v>45151</v>
      </c>
      <c r="E192" s="29">
        <v>2.5</v>
      </c>
      <c r="F192" t="s">
        <v>1</v>
      </c>
      <c r="G192" t="str">
        <f t="shared" si="2"/>
        <v>2023-08</v>
      </c>
    </row>
    <row r="193" spans="1:7" x14ac:dyDescent="0.3">
      <c r="A193">
        <v>4083</v>
      </c>
      <c r="B193" t="s">
        <v>22</v>
      </c>
      <c r="C193" s="7">
        <v>107.949152542372</v>
      </c>
      <c r="D193" s="1">
        <v>45114</v>
      </c>
      <c r="E193" s="29">
        <v>3.7</v>
      </c>
      <c r="F193" t="s">
        <v>1</v>
      </c>
      <c r="G193" t="str">
        <f t="shared" si="2"/>
        <v>2023-07</v>
      </c>
    </row>
    <row r="194" spans="1:7" x14ac:dyDescent="0.3">
      <c r="A194">
        <v>4062</v>
      </c>
      <c r="B194" t="s">
        <v>40</v>
      </c>
      <c r="C194" s="7">
        <v>115</v>
      </c>
      <c r="D194" s="1">
        <v>45026</v>
      </c>
      <c r="E194" s="29">
        <v>1.6</v>
      </c>
      <c r="F194" t="s">
        <v>1</v>
      </c>
      <c r="G194" t="str">
        <f t="shared" si="2"/>
        <v>2023-04</v>
      </c>
    </row>
    <row r="195" spans="1:7" x14ac:dyDescent="0.3">
      <c r="A195">
        <v>4055</v>
      </c>
      <c r="B195" t="s">
        <v>28</v>
      </c>
      <c r="C195" s="7">
        <v>198</v>
      </c>
      <c r="D195" s="1">
        <v>44894</v>
      </c>
      <c r="E195" s="29">
        <v>3.9</v>
      </c>
      <c r="F195" t="s">
        <v>1</v>
      </c>
      <c r="G195" t="str">
        <f t="shared" ref="G195:G258" si="3">TEXT(D195,"ГГГГ-ММ")</f>
        <v>2022-11</v>
      </c>
    </row>
    <row r="196" spans="1:7" x14ac:dyDescent="0.3">
      <c r="A196">
        <v>4017</v>
      </c>
      <c r="B196" t="s">
        <v>48</v>
      </c>
      <c r="C196" s="7">
        <v>78</v>
      </c>
      <c r="D196" s="1">
        <v>44983</v>
      </c>
      <c r="E196" s="29">
        <v>1.8</v>
      </c>
      <c r="F196" t="s">
        <v>1</v>
      </c>
      <c r="G196" t="str">
        <f t="shared" si="3"/>
        <v>2023-02</v>
      </c>
    </row>
    <row r="197" spans="1:7" x14ac:dyDescent="0.3">
      <c r="A197">
        <v>4069</v>
      </c>
      <c r="B197" t="s">
        <v>49</v>
      </c>
      <c r="C197" s="7">
        <v>114.217391304347</v>
      </c>
      <c r="D197" s="1">
        <v>44973</v>
      </c>
      <c r="E197" s="29">
        <v>4.8</v>
      </c>
      <c r="F197" t="s">
        <v>4</v>
      </c>
      <c r="G197" t="str">
        <f t="shared" si="3"/>
        <v>2023-02</v>
      </c>
    </row>
    <row r="198" spans="1:7" x14ac:dyDescent="0.3">
      <c r="A198">
        <v>4120</v>
      </c>
      <c r="B198" t="s">
        <v>33</v>
      </c>
      <c r="C198" s="7">
        <v>107</v>
      </c>
      <c r="D198" s="1">
        <v>45118</v>
      </c>
      <c r="E198" s="29">
        <v>4</v>
      </c>
      <c r="F198" t="s">
        <v>4</v>
      </c>
      <c r="G198" t="str">
        <f t="shared" si="3"/>
        <v>2023-07</v>
      </c>
    </row>
    <row r="199" spans="1:7" x14ac:dyDescent="0.3">
      <c r="A199">
        <v>3999</v>
      </c>
      <c r="B199" t="s">
        <v>0</v>
      </c>
      <c r="C199" s="7">
        <v>130</v>
      </c>
      <c r="D199" s="1">
        <v>45042</v>
      </c>
      <c r="E199" s="29">
        <v>3.0636363636363599</v>
      </c>
      <c r="F199" t="s">
        <v>4</v>
      </c>
      <c r="G199" t="str">
        <f t="shared" si="3"/>
        <v>2023-04</v>
      </c>
    </row>
    <row r="200" spans="1:7" x14ac:dyDescent="0.3">
      <c r="A200">
        <v>4010</v>
      </c>
      <c r="B200" t="s">
        <v>47</v>
      </c>
      <c r="C200" s="7">
        <v>127</v>
      </c>
      <c r="D200" s="1">
        <v>45131</v>
      </c>
      <c r="E200" s="29">
        <v>3.1235294117647001</v>
      </c>
      <c r="F200" t="s">
        <v>1</v>
      </c>
      <c r="G200" t="str">
        <f t="shared" si="3"/>
        <v>2023-07</v>
      </c>
    </row>
    <row r="201" spans="1:7" x14ac:dyDescent="0.3">
      <c r="A201">
        <v>4104</v>
      </c>
      <c r="B201" t="s">
        <v>25</v>
      </c>
      <c r="C201" s="7">
        <v>68</v>
      </c>
      <c r="D201" s="1">
        <v>45119</v>
      </c>
      <c r="E201" s="29">
        <v>1.8</v>
      </c>
      <c r="F201" t="s">
        <v>4</v>
      </c>
      <c r="G201" t="str">
        <f t="shared" si="3"/>
        <v>2023-07</v>
      </c>
    </row>
    <row r="202" spans="1:7" x14ac:dyDescent="0.3">
      <c r="A202">
        <v>4045</v>
      </c>
      <c r="B202" t="s">
        <v>44</v>
      </c>
      <c r="C202" s="7">
        <v>178</v>
      </c>
      <c r="D202" s="1">
        <v>44955</v>
      </c>
      <c r="E202" s="29">
        <v>2.7</v>
      </c>
      <c r="F202" t="s">
        <v>1</v>
      </c>
      <c r="G202" t="str">
        <f t="shared" si="3"/>
        <v>2023-01</v>
      </c>
    </row>
    <row r="203" spans="1:7" x14ac:dyDescent="0.3">
      <c r="A203">
        <v>3970</v>
      </c>
      <c r="B203" t="s">
        <v>47</v>
      </c>
      <c r="C203" s="7">
        <v>106.297872340425</v>
      </c>
      <c r="D203" s="1">
        <v>44852</v>
      </c>
      <c r="E203" s="29">
        <v>2.5</v>
      </c>
      <c r="F203" t="s">
        <v>4</v>
      </c>
      <c r="G203" t="str">
        <f t="shared" si="3"/>
        <v>2022-10</v>
      </c>
    </row>
    <row r="204" spans="1:7" x14ac:dyDescent="0.3">
      <c r="A204">
        <v>4121</v>
      </c>
      <c r="B204" t="s">
        <v>34</v>
      </c>
      <c r="C204" s="7">
        <v>27</v>
      </c>
      <c r="D204" s="1">
        <v>45027</v>
      </c>
      <c r="E204" s="29">
        <v>3.6</v>
      </c>
      <c r="F204" t="s">
        <v>1</v>
      </c>
      <c r="G204" t="str">
        <f t="shared" si="3"/>
        <v>2023-04</v>
      </c>
    </row>
    <row r="205" spans="1:7" x14ac:dyDescent="0.3">
      <c r="A205">
        <v>4024</v>
      </c>
      <c r="B205" t="s">
        <v>33</v>
      </c>
      <c r="C205" s="7">
        <v>81</v>
      </c>
      <c r="D205" s="1">
        <v>44925</v>
      </c>
      <c r="E205" s="29">
        <v>3.6</v>
      </c>
      <c r="F205" t="s">
        <v>1</v>
      </c>
      <c r="G205" t="str">
        <f t="shared" si="3"/>
        <v>2022-12</v>
      </c>
    </row>
    <row r="206" spans="1:7" x14ac:dyDescent="0.3">
      <c r="A206">
        <v>3986</v>
      </c>
      <c r="B206" t="s">
        <v>14</v>
      </c>
      <c r="C206" s="7">
        <v>140</v>
      </c>
      <c r="D206" s="1">
        <v>44889</v>
      </c>
      <c r="E206" s="29">
        <v>2.2000000000000002</v>
      </c>
      <c r="F206" t="s">
        <v>4</v>
      </c>
      <c r="G206" t="str">
        <f t="shared" si="3"/>
        <v>2022-11</v>
      </c>
    </row>
    <row r="207" spans="1:7" x14ac:dyDescent="0.3">
      <c r="A207">
        <v>3970</v>
      </c>
      <c r="B207" t="s">
        <v>31</v>
      </c>
      <c r="C207" s="7">
        <v>147</v>
      </c>
      <c r="D207" s="1">
        <v>45053</v>
      </c>
      <c r="E207" s="29">
        <v>2.2000000000000002</v>
      </c>
      <c r="F207" t="s">
        <v>1</v>
      </c>
      <c r="G207" t="str">
        <f t="shared" si="3"/>
        <v>2023-05</v>
      </c>
    </row>
    <row r="208" spans="1:7" x14ac:dyDescent="0.3">
      <c r="A208">
        <v>3999</v>
      </c>
      <c r="B208" t="s">
        <v>37</v>
      </c>
      <c r="C208" s="7">
        <v>17</v>
      </c>
      <c r="D208" s="1">
        <v>45132</v>
      </c>
      <c r="E208" s="29">
        <v>4.2</v>
      </c>
      <c r="F208" t="s">
        <v>1</v>
      </c>
      <c r="G208" t="str">
        <f t="shared" si="3"/>
        <v>2023-07</v>
      </c>
    </row>
    <row r="209" spans="1:7" x14ac:dyDescent="0.3">
      <c r="A209">
        <v>4075</v>
      </c>
      <c r="B209" t="s">
        <v>40</v>
      </c>
      <c r="C209" s="7">
        <v>106.80769230769199</v>
      </c>
      <c r="D209" s="1">
        <v>44840</v>
      </c>
      <c r="E209" s="29">
        <v>2.4</v>
      </c>
      <c r="F209" t="s">
        <v>4</v>
      </c>
      <c r="G209" t="str">
        <f t="shared" si="3"/>
        <v>2022-10</v>
      </c>
    </row>
    <row r="210" spans="1:7" x14ac:dyDescent="0.3">
      <c r="A210">
        <v>4059</v>
      </c>
      <c r="B210" t="s">
        <v>37</v>
      </c>
      <c r="C210" s="7">
        <v>55</v>
      </c>
      <c r="D210" s="1">
        <v>44942</v>
      </c>
      <c r="E210" s="29">
        <v>1.4</v>
      </c>
      <c r="F210" t="s">
        <v>4</v>
      </c>
      <c r="G210" t="str">
        <f t="shared" si="3"/>
        <v>2023-01</v>
      </c>
    </row>
    <row r="211" spans="1:7" x14ac:dyDescent="0.3">
      <c r="A211">
        <v>4078</v>
      </c>
      <c r="B211" t="s">
        <v>46</v>
      </c>
      <c r="C211" s="7">
        <v>77</v>
      </c>
      <c r="D211" s="1">
        <v>45135</v>
      </c>
      <c r="E211" s="29">
        <v>4.5</v>
      </c>
      <c r="F211" t="s">
        <v>4</v>
      </c>
      <c r="G211" t="str">
        <f t="shared" si="3"/>
        <v>2023-07</v>
      </c>
    </row>
    <row r="212" spans="1:7" x14ac:dyDescent="0.3">
      <c r="A212">
        <v>4034</v>
      </c>
      <c r="B212" t="s">
        <v>24</v>
      </c>
      <c r="C212" s="7">
        <v>95.292307692307702</v>
      </c>
      <c r="D212" s="1">
        <v>44927</v>
      </c>
      <c r="E212" s="29">
        <v>2.1</v>
      </c>
      <c r="F212" t="s">
        <v>4</v>
      </c>
      <c r="G212" t="str">
        <f t="shared" si="3"/>
        <v>2023-01</v>
      </c>
    </row>
    <row r="213" spans="1:7" x14ac:dyDescent="0.3">
      <c r="A213">
        <v>4078</v>
      </c>
      <c r="B213" t="s">
        <v>39</v>
      </c>
      <c r="C213" s="7">
        <v>98</v>
      </c>
      <c r="D213" s="1">
        <v>44931</v>
      </c>
      <c r="E213" s="29">
        <v>2.2999999999999998</v>
      </c>
      <c r="F213" t="s">
        <v>1</v>
      </c>
      <c r="G213" t="str">
        <f t="shared" si="3"/>
        <v>2023-01</v>
      </c>
    </row>
    <row r="214" spans="1:7" x14ac:dyDescent="0.3">
      <c r="A214">
        <v>4093</v>
      </c>
      <c r="B214" t="s">
        <v>36</v>
      </c>
      <c r="C214" s="7">
        <v>90</v>
      </c>
      <c r="D214" s="1">
        <v>44851</v>
      </c>
      <c r="E214" s="29">
        <v>1.5</v>
      </c>
      <c r="F214" t="s">
        <v>4</v>
      </c>
      <c r="G214" t="str">
        <f t="shared" si="3"/>
        <v>2022-10</v>
      </c>
    </row>
    <row r="215" spans="1:7" x14ac:dyDescent="0.3">
      <c r="A215">
        <v>4016</v>
      </c>
      <c r="B215" t="s">
        <v>20</v>
      </c>
      <c r="C215" s="7">
        <v>140</v>
      </c>
      <c r="D215" s="1">
        <v>44928</v>
      </c>
      <c r="E215" s="29">
        <v>2.2999999999999998</v>
      </c>
      <c r="F215" t="s">
        <v>4</v>
      </c>
      <c r="G215" t="str">
        <f t="shared" si="3"/>
        <v>2023-01</v>
      </c>
    </row>
    <row r="216" spans="1:7" x14ac:dyDescent="0.3">
      <c r="A216">
        <v>4054</v>
      </c>
      <c r="B216" t="s">
        <v>22</v>
      </c>
      <c r="C216" s="7">
        <v>107.949152542372</v>
      </c>
      <c r="D216" s="1">
        <v>45047</v>
      </c>
      <c r="E216" s="29">
        <v>3.8</v>
      </c>
      <c r="F216" t="s">
        <v>4</v>
      </c>
      <c r="G216" t="str">
        <f t="shared" si="3"/>
        <v>2023-05</v>
      </c>
    </row>
    <row r="217" spans="1:7" x14ac:dyDescent="0.3">
      <c r="A217">
        <v>4056</v>
      </c>
      <c r="B217" t="s">
        <v>25</v>
      </c>
      <c r="C217" s="7">
        <v>58</v>
      </c>
      <c r="D217" s="1">
        <v>45127</v>
      </c>
      <c r="E217" s="29">
        <v>4.0999999999999996</v>
      </c>
      <c r="F217" t="s">
        <v>4</v>
      </c>
      <c r="G217" t="str">
        <f t="shared" si="3"/>
        <v>2023-07</v>
      </c>
    </row>
    <row r="218" spans="1:7" x14ac:dyDescent="0.3">
      <c r="A218">
        <v>4078</v>
      </c>
      <c r="B218" t="s">
        <v>34</v>
      </c>
      <c r="C218" s="7">
        <v>191</v>
      </c>
      <c r="D218" s="1">
        <v>45117</v>
      </c>
      <c r="E218" s="29">
        <v>4.2</v>
      </c>
      <c r="F218" t="s">
        <v>1</v>
      </c>
      <c r="G218" t="str">
        <f t="shared" si="3"/>
        <v>2023-07</v>
      </c>
    </row>
    <row r="219" spans="1:7" x14ac:dyDescent="0.3">
      <c r="A219">
        <v>4024</v>
      </c>
      <c r="B219" t="s">
        <v>39</v>
      </c>
      <c r="C219" s="7">
        <v>143</v>
      </c>
      <c r="D219" s="1">
        <v>44843</v>
      </c>
      <c r="E219" s="29">
        <v>2.6</v>
      </c>
      <c r="F219" t="s">
        <v>1</v>
      </c>
      <c r="G219" t="str">
        <f t="shared" si="3"/>
        <v>2022-10</v>
      </c>
    </row>
    <row r="220" spans="1:7" x14ac:dyDescent="0.3">
      <c r="A220">
        <v>3994</v>
      </c>
      <c r="B220" t="s">
        <v>5</v>
      </c>
      <c r="C220" s="7">
        <v>147</v>
      </c>
      <c r="D220" s="1">
        <v>44884</v>
      </c>
      <c r="E220" s="29">
        <v>2.2000000000000002</v>
      </c>
      <c r="F220" t="s">
        <v>4</v>
      </c>
      <c r="G220" t="str">
        <f t="shared" si="3"/>
        <v>2022-11</v>
      </c>
    </row>
    <row r="221" spans="1:7" x14ac:dyDescent="0.3">
      <c r="A221">
        <v>4092</v>
      </c>
      <c r="B221" t="s">
        <v>15</v>
      </c>
      <c r="C221" s="7">
        <v>199</v>
      </c>
      <c r="D221" s="1">
        <v>44972</v>
      </c>
      <c r="E221" s="29">
        <v>4.5999999999999996</v>
      </c>
      <c r="F221" t="s">
        <v>4</v>
      </c>
      <c r="G221" t="str">
        <f t="shared" si="3"/>
        <v>2023-02</v>
      </c>
    </row>
    <row r="222" spans="1:7" x14ac:dyDescent="0.3">
      <c r="A222">
        <v>4068</v>
      </c>
      <c r="B222" t="s">
        <v>13</v>
      </c>
      <c r="C222" s="7">
        <v>60</v>
      </c>
      <c r="D222" s="1">
        <v>44930</v>
      </c>
      <c r="E222" s="29">
        <v>1.2</v>
      </c>
      <c r="F222" t="s">
        <v>4</v>
      </c>
      <c r="G222" t="str">
        <f t="shared" si="3"/>
        <v>2023-01</v>
      </c>
    </row>
    <row r="223" spans="1:7" x14ac:dyDescent="0.3">
      <c r="A223">
        <v>3960</v>
      </c>
      <c r="B223" t="s">
        <v>5</v>
      </c>
      <c r="C223" s="7">
        <v>27</v>
      </c>
      <c r="D223" s="1">
        <v>45183</v>
      </c>
      <c r="E223" s="29">
        <v>2</v>
      </c>
      <c r="F223" t="s">
        <v>1</v>
      </c>
      <c r="G223" t="str">
        <f t="shared" si="3"/>
        <v>2023-09</v>
      </c>
    </row>
    <row r="224" spans="1:7" x14ac:dyDescent="0.3">
      <c r="A224">
        <v>4030</v>
      </c>
      <c r="B224" t="s">
        <v>33</v>
      </c>
      <c r="C224" s="7">
        <v>94</v>
      </c>
      <c r="D224" s="1">
        <v>45039</v>
      </c>
      <c r="E224" s="29">
        <v>2.6</v>
      </c>
      <c r="F224" t="s">
        <v>1</v>
      </c>
      <c r="G224" t="str">
        <f t="shared" si="3"/>
        <v>2023-04</v>
      </c>
    </row>
    <row r="225" spans="1:7" x14ac:dyDescent="0.3">
      <c r="A225">
        <v>4071</v>
      </c>
      <c r="B225" t="s">
        <v>51</v>
      </c>
      <c r="C225" s="7">
        <v>179</v>
      </c>
      <c r="D225" s="1">
        <v>44973</v>
      </c>
      <c r="E225" s="29">
        <v>2.6</v>
      </c>
      <c r="F225" t="s">
        <v>1</v>
      </c>
      <c r="G225" t="str">
        <f t="shared" si="3"/>
        <v>2023-02</v>
      </c>
    </row>
    <row r="226" spans="1:7" x14ac:dyDescent="0.3">
      <c r="A226">
        <v>4054</v>
      </c>
      <c r="B226" t="s">
        <v>27</v>
      </c>
      <c r="C226" s="7">
        <v>194</v>
      </c>
      <c r="D226" s="1">
        <v>45089</v>
      </c>
      <c r="E226" s="29">
        <v>2.1</v>
      </c>
      <c r="F226" t="s">
        <v>1</v>
      </c>
      <c r="G226" t="str">
        <f t="shared" si="3"/>
        <v>2023-06</v>
      </c>
    </row>
    <row r="227" spans="1:7" x14ac:dyDescent="0.3">
      <c r="A227">
        <v>4037</v>
      </c>
      <c r="B227" t="s">
        <v>41</v>
      </c>
      <c r="C227" s="7">
        <v>139</v>
      </c>
      <c r="D227" s="1">
        <v>44875</v>
      </c>
      <c r="E227" s="29">
        <v>2.4</v>
      </c>
      <c r="F227" t="s">
        <v>4</v>
      </c>
      <c r="G227" t="str">
        <f t="shared" si="3"/>
        <v>2022-11</v>
      </c>
    </row>
    <row r="228" spans="1:7" x14ac:dyDescent="0.3">
      <c r="A228">
        <v>4092</v>
      </c>
      <c r="B228" t="s">
        <v>49</v>
      </c>
      <c r="C228" s="7">
        <v>114</v>
      </c>
      <c r="D228" s="1">
        <v>44867</v>
      </c>
      <c r="E228" s="29">
        <v>2.2000000000000002</v>
      </c>
      <c r="F228" t="s">
        <v>1</v>
      </c>
      <c r="G228" t="str">
        <f t="shared" si="3"/>
        <v>2022-11</v>
      </c>
    </row>
    <row r="229" spans="1:7" x14ac:dyDescent="0.3">
      <c r="A229">
        <v>3967</v>
      </c>
      <c r="B229" t="s">
        <v>50</v>
      </c>
      <c r="C229" s="7">
        <v>188</v>
      </c>
      <c r="D229" s="1">
        <v>45052</v>
      </c>
      <c r="E229" s="29">
        <v>3.3</v>
      </c>
      <c r="F229" t="s">
        <v>4</v>
      </c>
      <c r="G229" t="str">
        <f t="shared" si="3"/>
        <v>2023-05</v>
      </c>
    </row>
    <row r="230" spans="1:7" x14ac:dyDescent="0.3">
      <c r="A230">
        <v>3981</v>
      </c>
      <c r="B230" t="s">
        <v>32</v>
      </c>
      <c r="C230" s="7">
        <v>42</v>
      </c>
      <c r="D230" s="1">
        <v>45115</v>
      </c>
      <c r="E230" s="29">
        <v>1.8</v>
      </c>
      <c r="F230" t="s">
        <v>1</v>
      </c>
      <c r="G230" t="str">
        <f t="shared" si="3"/>
        <v>2023-07</v>
      </c>
    </row>
    <row r="231" spans="1:7" x14ac:dyDescent="0.3">
      <c r="A231">
        <v>4093</v>
      </c>
      <c r="B231" t="s">
        <v>11</v>
      </c>
      <c r="C231" s="7">
        <v>109.08474576271099</v>
      </c>
      <c r="D231" s="1">
        <v>44848</v>
      </c>
      <c r="E231" s="29">
        <v>4.8</v>
      </c>
      <c r="F231" t="s">
        <v>4</v>
      </c>
      <c r="G231" t="str">
        <f t="shared" si="3"/>
        <v>2022-10</v>
      </c>
    </row>
    <row r="232" spans="1:7" x14ac:dyDescent="0.3">
      <c r="A232">
        <v>4120</v>
      </c>
      <c r="B232" t="s">
        <v>8</v>
      </c>
      <c r="C232" s="7">
        <v>107</v>
      </c>
      <c r="D232" s="1">
        <v>44872</v>
      </c>
      <c r="E232" s="29">
        <v>2.2999999999999998</v>
      </c>
      <c r="F232" t="s">
        <v>4</v>
      </c>
      <c r="G232" t="str">
        <f t="shared" si="3"/>
        <v>2022-11</v>
      </c>
    </row>
    <row r="233" spans="1:7" x14ac:dyDescent="0.3">
      <c r="A233">
        <v>4047</v>
      </c>
      <c r="B233" t="s">
        <v>19</v>
      </c>
      <c r="C233" s="7">
        <v>54</v>
      </c>
      <c r="D233" s="1">
        <v>45066</v>
      </c>
      <c r="E233" s="29">
        <v>1.1000000000000001</v>
      </c>
      <c r="F233" t="s">
        <v>1</v>
      </c>
      <c r="G233" t="str">
        <f t="shared" si="3"/>
        <v>2023-05</v>
      </c>
    </row>
    <row r="234" spans="1:7" x14ac:dyDescent="0.3">
      <c r="A234">
        <v>4067</v>
      </c>
      <c r="B234" t="s">
        <v>8</v>
      </c>
      <c r="C234" s="7">
        <v>87</v>
      </c>
      <c r="D234" s="1">
        <v>45073</v>
      </c>
      <c r="E234" s="29">
        <v>4.2</v>
      </c>
      <c r="F234" t="s">
        <v>1</v>
      </c>
      <c r="G234" t="str">
        <f t="shared" si="3"/>
        <v>2023-05</v>
      </c>
    </row>
    <row r="235" spans="1:7" x14ac:dyDescent="0.3">
      <c r="A235">
        <v>4113</v>
      </c>
      <c r="B235" t="s">
        <v>44</v>
      </c>
      <c r="C235" s="7">
        <v>10</v>
      </c>
      <c r="D235" s="1">
        <v>44845</v>
      </c>
      <c r="E235" s="29">
        <v>2.92063492063492</v>
      </c>
      <c r="F235" t="s">
        <v>1</v>
      </c>
      <c r="G235" t="str">
        <f t="shared" si="3"/>
        <v>2022-10</v>
      </c>
    </row>
    <row r="236" spans="1:7" x14ac:dyDescent="0.3">
      <c r="A236">
        <v>4026</v>
      </c>
      <c r="B236" t="s">
        <v>24</v>
      </c>
      <c r="C236" s="7">
        <v>63</v>
      </c>
      <c r="D236" s="1">
        <v>44946</v>
      </c>
      <c r="E236" s="29">
        <v>4.5999999999999996</v>
      </c>
      <c r="F236" t="s">
        <v>4</v>
      </c>
      <c r="G236" t="str">
        <f t="shared" si="3"/>
        <v>2023-01</v>
      </c>
    </row>
    <row r="237" spans="1:7" x14ac:dyDescent="0.3">
      <c r="A237">
        <v>4042</v>
      </c>
      <c r="B237" t="s">
        <v>39</v>
      </c>
      <c r="C237" s="7">
        <v>158</v>
      </c>
      <c r="D237" s="1">
        <v>44877</v>
      </c>
      <c r="E237" s="29">
        <v>3.2</v>
      </c>
      <c r="F237" t="s">
        <v>4</v>
      </c>
      <c r="G237" t="str">
        <f t="shared" si="3"/>
        <v>2022-11</v>
      </c>
    </row>
    <row r="238" spans="1:7" x14ac:dyDescent="0.3">
      <c r="A238">
        <v>4026</v>
      </c>
      <c r="B238" t="s">
        <v>28</v>
      </c>
      <c r="C238" s="7">
        <v>92</v>
      </c>
      <c r="D238" s="1">
        <v>45040</v>
      </c>
      <c r="E238" s="29">
        <v>3.1</v>
      </c>
      <c r="F238" t="s">
        <v>1</v>
      </c>
      <c r="G238" t="str">
        <f t="shared" si="3"/>
        <v>2023-04</v>
      </c>
    </row>
    <row r="239" spans="1:7" x14ac:dyDescent="0.3">
      <c r="A239">
        <v>4025</v>
      </c>
      <c r="B239" t="s">
        <v>40</v>
      </c>
      <c r="C239" s="7">
        <v>123</v>
      </c>
      <c r="D239" s="1">
        <v>44935</v>
      </c>
      <c r="E239" s="29">
        <v>1.8</v>
      </c>
      <c r="F239" t="s">
        <v>4</v>
      </c>
      <c r="G239" t="str">
        <f t="shared" si="3"/>
        <v>2023-01</v>
      </c>
    </row>
    <row r="240" spans="1:7" x14ac:dyDescent="0.3">
      <c r="A240">
        <v>3982</v>
      </c>
      <c r="B240" t="s">
        <v>30</v>
      </c>
      <c r="C240" s="7">
        <v>140</v>
      </c>
      <c r="D240" s="1">
        <v>45064</v>
      </c>
      <c r="E240" s="29">
        <v>3.1</v>
      </c>
      <c r="F240" t="s">
        <v>1</v>
      </c>
      <c r="G240" t="str">
        <f t="shared" si="3"/>
        <v>2023-05</v>
      </c>
    </row>
    <row r="241" spans="1:7" x14ac:dyDescent="0.3">
      <c r="A241">
        <v>4022</v>
      </c>
      <c r="B241" t="s">
        <v>28</v>
      </c>
      <c r="C241" s="7">
        <v>198</v>
      </c>
      <c r="D241" s="1">
        <v>44856</v>
      </c>
      <c r="E241" s="29">
        <v>1.9</v>
      </c>
      <c r="F241" t="s">
        <v>4</v>
      </c>
      <c r="G241" t="str">
        <f t="shared" si="3"/>
        <v>2022-10</v>
      </c>
    </row>
    <row r="242" spans="1:7" x14ac:dyDescent="0.3">
      <c r="A242">
        <v>4106</v>
      </c>
      <c r="B242" t="s">
        <v>51</v>
      </c>
      <c r="C242" s="7">
        <v>105.1</v>
      </c>
      <c r="D242" s="1">
        <v>45011</v>
      </c>
      <c r="E242" s="29">
        <v>4.5999999999999996</v>
      </c>
      <c r="F242" t="s">
        <v>4</v>
      </c>
      <c r="G242" t="str">
        <f t="shared" si="3"/>
        <v>2023-03</v>
      </c>
    </row>
    <row r="243" spans="1:7" x14ac:dyDescent="0.3">
      <c r="A243">
        <v>4057</v>
      </c>
      <c r="B243" t="s">
        <v>29</v>
      </c>
      <c r="C243" s="7">
        <v>108.734693877551</v>
      </c>
      <c r="D243" s="1">
        <v>45186</v>
      </c>
      <c r="E243" s="29">
        <v>1.9</v>
      </c>
      <c r="F243" t="s">
        <v>4</v>
      </c>
      <c r="G243" t="str">
        <f t="shared" si="3"/>
        <v>2023-09</v>
      </c>
    </row>
    <row r="244" spans="1:7" x14ac:dyDescent="0.3">
      <c r="A244">
        <v>4075</v>
      </c>
      <c r="B244" t="s">
        <v>49</v>
      </c>
      <c r="C244" s="7">
        <v>172</v>
      </c>
      <c r="D244" s="1">
        <v>44841</v>
      </c>
      <c r="E244" s="29">
        <v>4.8</v>
      </c>
      <c r="F244" t="s">
        <v>1</v>
      </c>
      <c r="G244" t="str">
        <f t="shared" si="3"/>
        <v>2022-10</v>
      </c>
    </row>
    <row r="245" spans="1:7" x14ac:dyDescent="0.3">
      <c r="A245">
        <v>4018</v>
      </c>
      <c r="B245" t="s">
        <v>24</v>
      </c>
      <c r="C245" s="7">
        <v>33</v>
      </c>
      <c r="D245" s="1">
        <v>44852</v>
      </c>
      <c r="E245" s="29">
        <v>3.1712328767123199</v>
      </c>
      <c r="F245" t="s">
        <v>1</v>
      </c>
      <c r="G245" t="str">
        <f t="shared" si="3"/>
        <v>2022-10</v>
      </c>
    </row>
    <row r="246" spans="1:7" x14ac:dyDescent="0.3">
      <c r="A246">
        <v>4107</v>
      </c>
      <c r="B246" t="s">
        <v>15</v>
      </c>
      <c r="C246" s="7">
        <v>70</v>
      </c>
      <c r="D246" s="1">
        <v>44985</v>
      </c>
      <c r="E246" s="29">
        <v>3.04897959183673</v>
      </c>
      <c r="F246" t="s">
        <v>4</v>
      </c>
      <c r="G246" t="str">
        <f t="shared" si="3"/>
        <v>2023-02</v>
      </c>
    </row>
    <row r="247" spans="1:7" x14ac:dyDescent="0.3">
      <c r="A247">
        <v>4006</v>
      </c>
      <c r="B247" t="s">
        <v>14</v>
      </c>
      <c r="C247" s="7">
        <v>67</v>
      </c>
      <c r="D247" s="1">
        <v>45134</v>
      </c>
      <c r="E247" s="29">
        <v>1.4</v>
      </c>
      <c r="F247" t="s">
        <v>4</v>
      </c>
      <c r="G247" t="str">
        <f t="shared" si="3"/>
        <v>2023-07</v>
      </c>
    </row>
    <row r="248" spans="1:7" x14ac:dyDescent="0.3">
      <c r="A248">
        <v>4090</v>
      </c>
      <c r="B248" t="s">
        <v>15</v>
      </c>
      <c r="C248" s="7">
        <v>47</v>
      </c>
      <c r="D248" s="1">
        <v>44937</v>
      </c>
      <c r="E248" s="29">
        <v>2.9</v>
      </c>
      <c r="F248" t="s">
        <v>4</v>
      </c>
      <c r="G248" t="str">
        <f t="shared" si="3"/>
        <v>2023-01</v>
      </c>
    </row>
    <row r="249" spans="1:7" x14ac:dyDescent="0.3">
      <c r="A249">
        <v>4043</v>
      </c>
      <c r="B249" t="s">
        <v>0</v>
      </c>
      <c r="C249" s="7">
        <v>112.145454545454</v>
      </c>
      <c r="D249" s="1">
        <v>44942</v>
      </c>
      <c r="E249" s="29">
        <v>2.2000000000000002</v>
      </c>
      <c r="F249" t="s">
        <v>4</v>
      </c>
      <c r="G249" t="str">
        <f t="shared" si="3"/>
        <v>2023-01</v>
      </c>
    </row>
    <row r="250" spans="1:7" x14ac:dyDescent="0.3">
      <c r="A250">
        <v>4003</v>
      </c>
      <c r="B250" t="s">
        <v>16</v>
      </c>
      <c r="C250" s="7">
        <v>131</v>
      </c>
      <c r="D250" s="1">
        <v>44930</v>
      </c>
      <c r="E250" s="29">
        <v>4.0999999999999996</v>
      </c>
      <c r="F250" t="s">
        <v>1</v>
      </c>
      <c r="G250" t="str">
        <f t="shared" si="3"/>
        <v>2023-01</v>
      </c>
    </row>
    <row r="251" spans="1:7" x14ac:dyDescent="0.3">
      <c r="A251">
        <v>4037</v>
      </c>
      <c r="B251" t="s">
        <v>5</v>
      </c>
      <c r="C251" s="7">
        <v>28</v>
      </c>
      <c r="D251" s="1">
        <v>45047</v>
      </c>
      <c r="E251" s="29">
        <v>2.1</v>
      </c>
      <c r="F251" t="s">
        <v>4</v>
      </c>
      <c r="G251" t="str">
        <f t="shared" si="3"/>
        <v>2023-05</v>
      </c>
    </row>
    <row r="252" spans="1:7" x14ac:dyDescent="0.3">
      <c r="A252">
        <v>4097</v>
      </c>
      <c r="B252" t="s">
        <v>37</v>
      </c>
      <c r="C252" s="7">
        <v>171</v>
      </c>
      <c r="D252" s="1">
        <v>45070</v>
      </c>
      <c r="E252" s="29">
        <v>4.0999999999999996</v>
      </c>
      <c r="F252" t="s">
        <v>4</v>
      </c>
      <c r="G252" t="str">
        <f t="shared" si="3"/>
        <v>2023-05</v>
      </c>
    </row>
    <row r="253" spans="1:7" x14ac:dyDescent="0.3">
      <c r="A253">
        <v>3959</v>
      </c>
      <c r="B253" t="s">
        <v>40</v>
      </c>
      <c r="C253" s="7">
        <v>193</v>
      </c>
      <c r="D253" s="1">
        <v>44929</v>
      </c>
      <c r="E253" s="29">
        <v>1.5</v>
      </c>
      <c r="F253" t="s">
        <v>1</v>
      </c>
      <c r="G253" t="str">
        <f t="shared" si="3"/>
        <v>2023-01</v>
      </c>
    </row>
    <row r="254" spans="1:7" x14ac:dyDescent="0.3">
      <c r="A254">
        <v>3959</v>
      </c>
      <c r="B254" t="s">
        <v>26</v>
      </c>
      <c r="C254" s="7">
        <v>136</v>
      </c>
      <c r="D254" s="1">
        <v>44965</v>
      </c>
      <c r="E254" s="29">
        <v>2.1</v>
      </c>
      <c r="F254" t="s">
        <v>1</v>
      </c>
      <c r="G254" t="str">
        <f t="shared" si="3"/>
        <v>2023-02</v>
      </c>
    </row>
    <row r="255" spans="1:7" x14ac:dyDescent="0.3">
      <c r="A255">
        <v>3974</v>
      </c>
      <c r="B255" t="s">
        <v>43</v>
      </c>
      <c r="C255" s="7">
        <v>47</v>
      </c>
      <c r="D255" s="1">
        <v>44979</v>
      </c>
      <c r="E255" s="29">
        <v>3.07213114754098</v>
      </c>
      <c r="F255" t="s">
        <v>1</v>
      </c>
      <c r="G255" t="str">
        <f t="shared" si="3"/>
        <v>2023-02</v>
      </c>
    </row>
    <row r="256" spans="1:7" x14ac:dyDescent="0.3">
      <c r="A256">
        <v>3960</v>
      </c>
      <c r="B256" t="s">
        <v>26</v>
      </c>
      <c r="C256" s="7">
        <v>11</v>
      </c>
      <c r="D256" s="1">
        <v>45028</v>
      </c>
      <c r="E256" s="29">
        <v>2.88305084745762</v>
      </c>
      <c r="F256" t="s">
        <v>1</v>
      </c>
      <c r="G256" t="str">
        <f t="shared" si="3"/>
        <v>2023-04</v>
      </c>
    </row>
    <row r="257" spans="1:7" x14ac:dyDescent="0.3">
      <c r="A257">
        <v>4062</v>
      </c>
      <c r="B257" t="s">
        <v>47</v>
      </c>
      <c r="C257" s="7">
        <v>37</v>
      </c>
      <c r="D257" s="1">
        <v>45131</v>
      </c>
      <c r="E257" s="29">
        <v>4</v>
      </c>
      <c r="F257" t="s">
        <v>4</v>
      </c>
      <c r="G257" t="str">
        <f t="shared" si="3"/>
        <v>2023-07</v>
      </c>
    </row>
    <row r="258" spans="1:7" x14ac:dyDescent="0.3">
      <c r="A258">
        <v>3982</v>
      </c>
      <c r="B258" t="s">
        <v>10</v>
      </c>
      <c r="C258" s="7">
        <v>66</v>
      </c>
      <c r="D258" s="1">
        <v>44950</v>
      </c>
      <c r="E258" s="29">
        <v>1.1000000000000001</v>
      </c>
      <c r="F258" t="s">
        <v>4</v>
      </c>
      <c r="G258" t="str">
        <f t="shared" si="3"/>
        <v>2023-01</v>
      </c>
    </row>
    <row r="259" spans="1:7" x14ac:dyDescent="0.3">
      <c r="A259">
        <v>4091</v>
      </c>
      <c r="B259" t="s">
        <v>31</v>
      </c>
      <c r="C259" s="7">
        <v>88.827586206896498</v>
      </c>
      <c r="D259" s="1">
        <v>44893</v>
      </c>
      <c r="E259" s="29">
        <v>3.4</v>
      </c>
      <c r="F259" t="s">
        <v>1</v>
      </c>
      <c r="G259" t="str">
        <f t="shared" ref="G259:G322" si="4">TEXT(D259,"ГГГГ-ММ")</f>
        <v>2022-11</v>
      </c>
    </row>
    <row r="260" spans="1:7" x14ac:dyDescent="0.3">
      <c r="A260">
        <v>3983</v>
      </c>
      <c r="B260" t="s">
        <v>30</v>
      </c>
      <c r="C260" s="7">
        <v>142</v>
      </c>
      <c r="D260" s="1">
        <v>45061</v>
      </c>
      <c r="E260" s="29">
        <v>3.9</v>
      </c>
      <c r="F260" t="s">
        <v>1</v>
      </c>
      <c r="G260" t="str">
        <f t="shared" si="4"/>
        <v>2023-05</v>
      </c>
    </row>
    <row r="261" spans="1:7" x14ac:dyDescent="0.3">
      <c r="A261">
        <v>4071</v>
      </c>
      <c r="B261" t="s">
        <v>26</v>
      </c>
      <c r="C261" s="7">
        <v>152</v>
      </c>
      <c r="D261" s="1">
        <v>44917</v>
      </c>
      <c r="E261" s="29">
        <v>1.8</v>
      </c>
      <c r="F261" t="s">
        <v>1</v>
      </c>
      <c r="G261" t="str">
        <f t="shared" si="4"/>
        <v>2022-12</v>
      </c>
    </row>
    <row r="262" spans="1:7" x14ac:dyDescent="0.3">
      <c r="A262">
        <v>4046</v>
      </c>
      <c r="B262" t="s">
        <v>36</v>
      </c>
      <c r="C262" s="7">
        <v>41</v>
      </c>
      <c r="D262" s="1">
        <v>45124</v>
      </c>
      <c r="E262" s="29">
        <v>2.2000000000000002</v>
      </c>
      <c r="F262" t="s">
        <v>1</v>
      </c>
      <c r="G262" t="str">
        <f t="shared" si="4"/>
        <v>2023-07</v>
      </c>
    </row>
    <row r="263" spans="1:7" x14ac:dyDescent="0.3">
      <c r="A263">
        <v>4013</v>
      </c>
      <c r="B263" t="s">
        <v>48</v>
      </c>
      <c r="C263" s="7">
        <v>128</v>
      </c>
      <c r="D263" s="1">
        <v>44978</v>
      </c>
      <c r="E263" s="29">
        <v>3</v>
      </c>
      <c r="F263" t="s">
        <v>4</v>
      </c>
      <c r="G263" t="str">
        <f t="shared" si="4"/>
        <v>2023-02</v>
      </c>
    </row>
    <row r="264" spans="1:7" x14ac:dyDescent="0.3">
      <c r="A264">
        <v>4029</v>
      </c>
      <c r="B264" t="s">
        <v>7</v>
      </c>
      <c r="C264" s="7">
        <v>153</v>
      </c>
      <c r="D264" s="1">
        <v>45063</v>
      </c>
      <c r="E264" s="29">
        <v>2.8953488372092999</v>
      </c>
      <c r="F264" t="s">
        <v>1</v>
      </c>
      <c r="G264" t="str">
        <f t="shared" si="4"/>
        <v>2023-05</v>
      </c>
    </row>
    <row r="265" spans="1:7" x14ac:dyDescent="0.3">
      <c r="A265">
        <v>4021</v>
      </c>
      <c r="B265" t="s">
        <v>41</v>
      </c>
      <c r="C265" s="7">
        <v>123</v>
      </c>
      <c r="D265" s="1">
        <v>45057</v>
      </c>
      <c r="E265" s="29">
        <v>1.8</v>
      </c>
      <c r="F265" t="s">
        <v>4</v>
      </c>
      <c r="G265" t="str">
        <f t="shared" si="4"/>
        <v>2023-05</v>
      </c>
    </row>
    <row r="266" spans="1:7" x14ac:dyDescent="0.3">
      <c r="A266">
        <v>4006</v>
      </c>
      <c r="B266" t="s">
        <v>19</v>
      </c>
      <c r="C266" s="7">
        <v>194</v>
      </c>
      <c r="D266" s="1">
        <v>44959</v>
      </c>
      <c r="E266" s="29">
        <v>3.6</v>
      </c>
      <c r="F266" t="s">
        <v>4</v>
      </c>
      <c r="G266" t="str">
        <f t="shared" si="4"/>
        <v>2023-02</v>
      </c>
    </row>
    <row r="267" spans="1:7" x14ac:dyDescent="0.3">
      <c r="A267">
        <v>3965</v>
      </c>
      <c r="B267" t="s">
        <v>26</v>
      </c>
      <c r="C267" s="7">
        <v>119</v>
      </c>
      <c r="D267" s="1">
        <v>45120</v>
      </c>
      <c r="E267" s="29">
        <v>2.2000000000000002</v>
      </c>
      <c r="F267" t="s">
        <v>4</v>
      </c>
      <c r="G267" t="str">
        <f t="shared" si="4"/>
        <v>2023-07</v>
      </c>
    </row>
    <row r="268" spans="1:7" x14ac:dyDescent="0.3">
      <c r="A268">
        <v>3963</v>
      </c>
      <c r="B268" t="s">
        <v>31</v>
      </c>
      <c r="C268" s="7">
        <v>150</v>
      </c>
      <c r="D268" s="1">
        <v>44838</v>
      </c>
      <c r="E268" s="29">
        <v>2.6590163934426201</v>
      </c>
      <c r="F268" t="s">
        <v>1</v>
      </c>
      <c r="G268" t="str">
        <f t="shared" si="4"/>
        <v>2022-10</v>
      </c>
    </row>
    <row r="269" spans="1:7" x14ac:dyDescent="0.3">
      <c r="A269">
        <v>4115</v>
      </c>
      <c r="B269" t="s">
        <v>21</v>
      </c>
      <c r="C269" s="7">
        <v>50</v>
      </c>
      <c r="D269" s="1">
        <v>45112</v>
      </c>
      <c r="E269" s="29">
        <v>3.2</v>
      </c>
      <c r="F269" t="s">
        <v>4</v>
      </c>
      <c r="G269" t="str">
        <f t="shared" si="4"/>
        <v>2023-07</v>
      </c>
    </row>
    <row r="270" spans="1:7" x14ac:dyDescent="0.3">
      <c r="A270">
        <v>3980</v>
      </c>
      <c r="B270" t="s">
        <v>8</v>
      </c>
      <c r="C270" s="7">
        <v>131</v>
      </c>
      <c r="D270" s="1">
        <v>44949</v>
      </c>
      <c r="E270" s="29">
        <v>4.5999999999999996</v>
      </c>
      <c r="F270" t="s">
        <v>1</v>
      </c>
      <c r="G270" t="str">
        <f t="shared" si="4"/>
        <v>2023-01</v>
      </c>
    </row>
    <row r="271" spans="1:7" x14ac:dyDescent="0.3">
      <c r="A271">
        <v>3971</v>
      </c>
      <c r="B271" t="s">
        <v>26</v>
      </c>
      <c r="C271" s="7">
        <v>73</v>
      </c>
      <c r="D271" s="1">
        <v>45124</v>
      </c>
      <c r="E271" s="29">
        <v>2</v>
      </c>
      <c r="F271" t="s">
        <v>1</v>
      </c>
      <c r="G271" t="str">
        <f t="shared" si="4"/>
        <v>2023-07</v>
      </c>
    </row>
    <row r="272" spans="1:7" x14ac:dyDescent="0.3">
      <c r="A272">
        <v>4109</v>
      </c>
      <c r="B272" t="s">
        <v>13</v>
      </c>
      <c r="C272" s="7">
        <v>80</v>
      </c>
      <c r="D272" s="1">
        <v>44852</v>
      </c>
      <c r="E272" s="29">
        <v>2.45818181818181</v>
      </c>
      <c r="F272" t="s">
        <v>1</v>
      </c>
      <c r="G272" t="str">
        <f t="shared" si="4"/>
        <v>2022-10</v>
      </c>
    </row>
    <row r="273" spans="1:7" x14ac:dyDescent="0.3">
      <c r="A273">
        <v>4012</v>
      </c>
      <c r="B273" t="s">
        <v>31</v>
      </c>
      <c r="C273" s="7">
        <v>143</v>
      </c>
      <c r="D273" s="1">
        <v>45039</v>
      </c>
      <c r="E273" s="29">
        <v>2.6</v>
      </c>
      <c r="F273" t="s">
        <v>4</v>
      </c>
      <c r="G273" t="str">
        <f t="shared" si="4"/>
        <v>2023-04</v>
      </c>
    </row>
    <row r="274" spans="1:7" x14ac:dyDescent="0.3">
      <c r="A274">
        <v>4110</v>
      </c>
      <c r="B274" t="s">
        <v>46</v>
      </c>
      <c r="C274" s="7">
        <v>71</v>
      </c>
      <c r="D274" s="1">
        <v>45002</v>
      </c>
      <c r="E274" s="29">
        <v>3.2</v>
      </c>
      <c r="F274" t="s">
        <v>4</v>
      </c>
      <c r="G274" t="str">
        <f t="shared" si="4"/>
        <v>2023-03</v>
      </c>
    </row>
    <row r="275" spans="1:7" x14ac:dyDescent="0.3">
      <c r="A275">
        <v>4120</v>
      </c>
      <c r="B275" t="s">
        <v>15</v>
      </c>
      <c r="C275" s="7">
        <v>29</v>
      </c>
      <c r="D275" s="1">
        <v>44969</v>
      </c>
      <c r="E275" s="29">
        <v>1.9</v>
      </c>
      <c r="F275" t="s">
        <v>1</v>
      </c>
      <c r="G275" t="str">
        <f t="shared" si="4"/>
        <v>2023-02</v>
      </c>
    </row>
    <row r="276" spans="1:7" x14ac:dyDescent="0.3">
      <c r="A276">
        <v>3988</v>
      </c>
      <c r="B276" t="s">
        <v>7</v>
      </c>
      <c r="C276" s="7">
        <v>70</v>
      </c>
      <c r="D276" s="1">
        <v>44867</v>
      </c>
      <c r="E276" s="29">
        <v>2.6</v>
      </c>
      <c r="F276" t="s">
        <v>1</v>
      </c>
      <c r="G276" t="str">
        <f t="shared" si="4"/>
        <v>2022-11</v>
      </c>
    </row>
    <row r="277" spans="1:7" x14ac:dyDescent="0.3">
      <c r="A277">
        <v>3987</v>
      </c>
      <c r="B277" t="s">
        <v>27</v>
      </c>
      <c r="C277" s="7">
        <v>91</v>
      </c>
      <c r="D277" s="1">
        <v>44916</v>
      </c>
      <c r="E277" s="29">
        <v>2.5</v>
      </c>
      <c r="F277" t="s">
        <v>4</v>
      </c>
      <c r="G277" t="str">
        <f t="shared" si="4"/>
        <v>2022-12</v>
      </c>
    </row>
    <row r="278" spans="1:7" x14ac:dyDescent="0.3">
      <c r="A278">
        <v>3979</v>
      </c>
      <c r="B278" t="s">
        <v>45</v>
      </c>
      <c r="C278" s="7">
        <v>30</v>
      </c>
      <c r="D278" s="1">
        <v>45015</v>
      </c>
      <c r="E278" s="29">
        <v>3.6</v>
      </c>
      <c r="F278" t="s">
        <v>4</v>
      </c>
      <c r="G278" t="str">
        <f t="shared" si="4"/>
        <v>2023-03</v>
      </c>
    </row>
    <row r="279" spans="1:7" x14ac:dyDescent="0.3">
      <c r="A279">
        <v>4111</v>
      </c>
      <c r="B279" t="s">
        <v>51</v>
      </c>
      <c r="C279" s="7">
        <v>105.1</v>
      </c>
      <c r="D279" s="1">
        <v>45151</v>
      </c>
      <c r="E279" s="29">
        <v>4.2</v>
      </c>
      <c r="F279" t="s">
        <v>1</v>
      </c>
      <c r="G279" t="str">
        <f t="shared" si="4"/>
        <v>2023-08</v>
      </c>
    </row>
    <row r="280" spans="1:7" x14ac:dyDescent="0.3">
      <c r="A280">
        <v>3990</v>
      </c>
      <c r="B280" t="s">
        <v>27</v>
      </c>
      <c r="C280" s="7">
        <v>187</v>
      </c>
      <c r="D280" s="1">
        <v>45149</v>
      </c>
      <c r="E280" s="29">
        <v>1.4</v>
      </c>
      <c r="F280" t="s">
        <v>1</v>
      </c>
      <c r="G280" t="str">
        <f t="shared" si="4"/>
        <v>2023-08</v>
      </c>
    </row>
    <row r="281" spans="1:7" x14ac:dyDescent="0.3">
      <c r="A281">
        <v>4053</v>
      </c>
      <c r="B281" t="s">
        <v>40</v>
      </c>
      <c r="C281" s="7">
        <v>106.80769230769199</v>
      </c>
      <c r="D281" s="1">
        <v>45117</v>
      </c>
      <c r="E281" s="29">
        <v>4.5</v>
      </c>
      <c r="F281" t="s">
        <v>1</v>
      </c>
      <c r="G281" t="str">
        <f t="shared" si="4"/>
        <v>2023-07</v>
      </c>
    </row>
    <row r="282" spans="1:7" x14ac:dyDescent="0.3">
      <c r="A282">
        <v>4122</v>
      </c>
      <c r="B282" t="s">
        <v>33</v>
      </c>
      <c r="C282" s="7">
        <v>116</v>
      </c>
      <c r="D282" s="1">
        <v>45002</v>
      </c>
      <c r="E282" s="29">
        <v>2</v>
      </c>
      <c r="F282" t="s">
        <v>4</v>
      </c>
      <c r="G282" t="str">
        <f t="shared" si="4"/>
        <v>2023-03</v>
      </c>
    </row>
    <row r="283" spans="1:7" x14ac:dyDescent="0.3">
      <c r="A283">
        <v>4101</v>
      </c>
      <c r="B283" t="s">
        <v>16</v>
      </c>
      <c r="C283" s="7">
        <v>148</v>
      </c>
      <c r="D283" s="1">
        <v>44891</v>
      </c>
      <c r="E283" s="29">
        <v>3.5</v>
      </c>
      <c r="F283" t="s">
        <v>1</v>
      </c>
      <c r="G283" t="str">
        <f t="shared" si="4"/>
        <v>2022-11</v>
      </c>
    </row>
    <row r="284" spans="1:7" x14ac:dyDescent="0.3">
      <c r="A284">
        <v>4004</v>
      </c>
      <c r="B284" t="s">
        <v>33</v>
      </c>
      <c r="C284" s="7">
        <v>25</v>
      </c>
      <c r="D284" s="1">
        <v>45193</v>
      </c>
      <c r="E284" s="29">
        <v>3.9</v>
      </c>
      <c r="F284" t="s">
        <v>1</v>
      </c>
      <c r="G284" t="str">
        <f t="shared" si="4"/>
        <v>2023-09</v>
      </c>
    </row>
    <row r="285" spans="1:7" x14ac:dyDescent="0.3">
      <c r="A285">
        <v>3985</v>
      </c>
      <c r="B285" t="s">
        <v>25</v>
      </c>
      <c r="C285" s="7">
        <v>117</v>
      </c>
      <c r="D285" s="1">
        <v>45145</v>
      </c>
      <c r="E285" s="29">
        <v>1.9</v>
      </c>
      <c r="F285" t="s">
        <v>4</v>
      </c>
      <c r="G285" t="str">
        <f t="shared" si="4"/>
        <v>2023-08</v>
      </c>
    </row>
    <row r="286" spans="1:7" x14ac:dyDescent="0.3">
      <c r="A286">
        <v>4004</v>
      </c>
      <c r="B286" t="s">
        <v>48</v>
      </c>
      <c r="C286" s="7">
        <v>159</v>
      </c>
      <c r="D286" s="1">
        <v>44948</v>
      </c>
      <c r="E286" s="29">
        <v>2</v>
      </c>
      <c r="F286" t="s">
        <v>4</v>
      </c>
      <c r="G286" t="str">
        <f t="shared" si="4"/>
        <v>2023-01</v>
      </c>
    </row>
    <row r="287" spans="1:7" x14ac:dyDescent="0.3">
      <c r="A287">
        <v>4021</v>
      </c>
      <c r="B287" t="s">
        <v>11</v>
      </c>
      <c r="C287" s="7">
        <v>15</v>
      </c>
      <c r="D287" s="1">
        <v>45145</v>
      </c>
      <c r="E287" s="29">
        <v>2.4</v>
      </c>
      <c r="F287" t="s">
        <v>1</v>
      </c>
      <c r="G287" t="str">
        <f t="shared" si="4"/>
        <v>2023-08</v>
      </c>
    </row>
    <row r="288" spans="1:7" x14ac:dyDescent="0.3">
      <c r="A288">
        <v>4032</v>
      </c>
      <c r="B288" t="s">
        <v>29</v>
      </c>
      <c r="C288" s="7">
        <v>157</v>
      </c>
      <c r="D288" s="1">
        <v>44951</v>
      </c>
      <c r="E288" s="29">
        <v>2.2999999999999998</v>
      </c>
      <c r="F288" t="s">
        <v>1</v>
      </c>
      <c r="G288" t="str">
        <f t="shared" si="4"/>
        <v>2023-01</v>
      </c>
    </row>
    <row r="289" spans="1:7" x14ac:dyDescent="0.3">
      <c r="A289">
        <v>4076</v>
      </c>
      <c r="B289" t="s">
        <v>9</v>
      </c>
      <c r="C289" s="7">
        <v>11</v>
      </c>
      <c r="D289" s="1">
        <v>44901</v>
      </c>
      <c r="E289" s="29">
        <v>2.6</v>
      </c>
      <c r="F289" t="s">
        <v>1</v>
      </c>
      <c r="G289" t="str">
        <f t="shared" si="4"/>
        <v>2022-12</v>
      </c>
    </row>
    <row r="290" spans="1:7" x14ac:dyDescent="0.3">
      <c r="A290">
        <v>3976</v>
      </c>
      <c r="B290" t="s">
        <v>17</v>
      </c>
      <c r="C290" s="7">
        <v>86</v>
      </c>
      <c r="D290" s="1">
        <v>45072</v>
      </c>
      <c r="E290" s="29">
        <v>3.2240000000000002</v>
      </c>
      <c r="F290" t="s">
        <v>4</v>
      </c>
      <c r="G290" t="str">
        <f t="shared" si="4"/>
        <v>2023-05</v>
      </c>
    </row>
    <row r="291" spans="1:7" x14ac:dyDescent="0.3">
      <c r="A291">
        <v>4120</v>
      </c>
      <c r="B291" t="s">
        <v>34</v>
      </c>
      <c r="C291" s="7">
        <v>117</v>
      </c>
      <c r="D291" s="1">
        <v>45194</v>
      </c>
      <c r="E291" s="29">
        <v>4</v>
      </c>
      <c r="F291" t="s">
        <v>1</v>
      </c>
      <c r="G291" t="str">
        <f t="shared" si="4"/>
        <v>2023-09</v>
      </c>
    </row>
    <row r="292" spans="1:7" x14ac:dyDescent="0.3">
      <c r="A292">
        <v>4073</v>
      </c>
      <c r="B292" t="s">
        <v>3</v>
      </c>
      <c r="C292" s="7">
        <v>198</v>
      </c>
      <c r="D292" s="1">
        <v>44916</v>
      </c>
      <c r="E292" s="29">
        <v>3.2</v>
      </c>
      <c r="F292" t="s">
        <v>4</v>
      </c>
      <c r="G292" t="str">
        <f t="shared" si="4"/>
        <v>2022-12</v>
      </c>
    </row>
    <row r="293" spans="1:7" x14ac:dyDescent="0.3">
      <c r="A293">
        <v>4027</v>
      </c>
      <c r="B293" t="s">
        <v>42</v>
      </c>
      <c r="C293" s="7">
        <v>164</v>
      </c>
      <c r="D293" s="1">
        <v>45088</v>
      </c>
      <c r="E293" s="29">
        <v>3.6</v>
      </c>
      <c r="F293" t="s">
        <v>4</v>
      </c>
      <c r="G293" t="str">
        <f t="shared" si="4"/>
        <v>2023-06</v>
      </c>
    </row>
    <row r="294" spans="1:7" x14ac:dyDescent="0.3">
      <c r="A294">
        <v>4066</v>
      </c>
      <c r="B294" t="s">
        <v>30</v>
      </c>
      <c r="C294" s="7">
        <v>134</v>
      </c>
      <c r="D294" s="1">
        <v>44928</v>
      </c>
      <c r="E294" s="29">
        <v>3.8</v>
      </c>
      <c r="F294" t="s">
        <v>1</v>
      </c>
      <c r="G294" t="str">
        <f t="shared" si="4"/>
        <v>2023-01</v>
      </c>
    </row>
    <row r="295" spans="1:7" x14ac:dyDescent="0.3">
      <c r="A295">
        <v>4039</v>
      </c>
      <c r="B295" t="s">
        <v>23</v>
      </c>
      <c r="C295" s="7">
        <v>121</v>
      </c>
      <c r="D295" s="1">
        <v>45112</v>
      </c>
      <c r="E295" s="29">
        <v>4.4000000000000004</v>
      </c>
      <c r="F295" t="s">
        <v>4</v>
      </c>
      <c r="G295" t="str">
        <f t="shared" si="4"/>
        <v>2023-07</v>
      </c>
    </row>
    <row r="296" spans="1:7" x14ac:dyDescent="0.3">
      <c r="A296">
        <v>4022</v>
      </c>
      <c r="B296" t="s">
        <v>13</v>
      </c>
      <c r="C296" s="7">
        <v>109</v>
      </c>
      <c r="D296" s="1">
        <v>44880</v>
      </c>
      <c r="E296" s="29">
        <v>1.3</v>
      </c>
      <c r="F296" t="s">
        <v>1</v>
      </c>
      <c r="G296" t="str">
        <f t="shared" si="4"/>
        <v>2022-11</v>
      </c>
    </row>
    <row r="297" spans="1:7" x14ac:dyDescent="0.3">
      <c r="A297">
        <v>3998</v>
      </c>
      <c r="B297" t="s">
        <v>51</v>
      </c>
      <c r="C297" s="7">
        <v>183</v>
      </c>
      <c r="D297" s="1">
        <v>44917</v>
      </c>
      <c r="E297" s="29">
        <v>3.8</v>
      </c>
      <c r="F297" t="s">
        <v>1</v>
      </c>
      <c r="G297" t="str">
        <f t="shared" si="4"/>
        <v>2022-12</v>
      </c>
    </row>
    <row r="298" spans="1:7" x14ac:dyDescent="0.3">
      <c r="A298">
        <v>3975</v>
      </c>
      <c r="B298" t="s">
        <v>28</v>
      </c>
      <c r="C298" s="7">
        <v>195</v>
      </c>
      <c r="D298" s="1">
        <v>45129</v>
      </c>
      <c r="E298" s="29">
        <v>4</v>
      </c>
      <c r="F298" t="s">
        <v>4</v>
      </c>
      <c r="G298" t="str">
        <f t="shared" si="4"/>
        <v>2023-07</v>
      </c>
    </row>
    <row r="299" spans="1:7" x14ac:dyDescent="0.3">
      <c r="A299">
        <v>4027</v>
      </c>
      <c r="B299" t="s">
        <v>21</v>
      </c>
      <c r="C299" s="7">
        <v>120.22</v>
      </c>
      <c r="D299" s="1">
        <v>44896</v>
      </c>
      <c r="E299" s="29">
        <v>4</v>
      </c>
      <c r="F299" t="s">
        <v>1</v>
      </c>
      <c r="G299" t="str">
        <f t="shared" si="4"/>
        <v>2022-12</v>
      </c>
    </row>
    <row r="300" spans="1:7" x14ac:dyDescent="0.3">
      <c r="A300">
        <v>3972</v>
      </c>
      <c r="B300" t="s">
        <v>11</v>
      </c>
      <c r="C300" s="7">
        <v>42</v>
      </c>
      <c r="D300" s="1">
        <v>45034</v>
      </c>
      <c r="E300" s="29">
        <v>2.8</v>
      </c>
      <c r="F300" t="s">
        <v>1</v>
      </c>
      <c r="G300" t="str">
        <f t="shared" si="4"/>
        <v>2023-04</v>
      </c>
    </row>
    <row r="301" spans="1:7" x14ac:dyDescent="0.3">
      <c r="A301">
        <v>4054</v>
      </c>
      <c r="B301" t="s">
        <v>13</v>
      </c>
      <c r="C301" s="7">
        <v>146</v>
      </c>
      <c r="D301" s="1">
        <v>44949</v>
      </c>
      <c r="E301" s="29">
        <v>1.2</v>
      </c>
      <c r="F301" t="s">
        <v>1</v>
      </c>
      <c r="G301" t="str">
        <f t="shared" si="4"/>
        <v>2023-01</v>
      </c>
    </row>
    <row r="302" spans="1:7" x14ac:dyDescent="0.3">
      <c r="A302">
        <v>4056</v>
      </c>
      <c r="B302" t="s">
        <v>28</v>
      </c>
      <c r="C302" s="7">
        <v>111.854838709677</v>
      </c>
      <c r="D302" s="1">
        <v>45014</v>
      </c>
      <c r="E302" s="29">
        <v>1.7</v>
      </c>
      <c r="F302" t="s">
        <v>4</v>
      </c>
      <c r="G302" t="str">
        <f t="shared" si="4"/>
        <v>2023-03</v>
      </c>
    </row>
    <row r="303" spans="1:7" x14ac:dyDescent="0.3">
      <c r="A303">
        <v>4042</v>
      </c>
      <c r="B303" t="s">
        <v>22</v>
      </c>
      <c r="C303" s="7">
        <v>154</v>
      </c>
      <c r="D303" s="1">
        <v>45169</v>
      </c>
      <c r="E303" s="29">
        <v>2.9</v>
      </c>
      <c r="F303" t="s">
        <v>1</v>
      </c>
      <c r="G303" t="str">
        <f t="shared" si="4"/>
        <v>2023-08</v>
      </c>
    </row>
    <row r="304" spans="1:7" x14ac:dyDescent="0.3">
      <c r="A304">
        <v>3972</v>
      </c>
      <c r="B304" t="s">
        <v>34</v>
      </c>
      <c r="C304" s="7">
        <v>31</v>
      </c>
      <c r="D304" s="1">
        <v>44860</v>
      </c>
      <c r="E304" s="29">
        <v>3.2</v>
      </c>
      <c r="F304" t="s">
        <v>1</v>
      </c>
      <c r="G304" t="str">
        <f t="shared" si="4"/>
        <v>2022-10</v>
      </c>
    </row>
    <row r="305" spans="1:7" x14ac:dyDescent="0.3">
      <c r="A305">
        <v>4023</v>
      </c>
      <c r="B305" t="s">
        <v>2</v>
      </c>
      <c r="C305" s="7">
        <v>44</v>
      </c>
      <c r="D305" s="1">
        <v>44988</v>
      </c>
      <c r="E305" s="29">
        <v>2.2000000000000002</v>
      </c>
      <c r="F305" t="s">
        <v>4</v>
      </c>
      <c r="G305" t="str">
        <f t="shared" si="4"/>
        <v>2023-03</v>
      </c>
    </row>
    <row r="306" spans="1:7" x14ac:dyDescent="0.3">
      <c r="A306">
        <v>4024</v>
      </c>
      <c r="B306" t="s">
        <v>51</v>
      </c>
      <c r="C306" s="7">
        <v>56</v>
      </c>
      <c r="D306" s="1">
        <v>45124</v>
      </c>
      <c r="E306" s="29">
        <v>2.2000000000000002</v>
      </c>
      <c r="F306" t="s">
        <v>1</v>
      </c>
      <c r="G306" t="str">
        <f t="shared" si="4"/>
        <v>2023-07</v>
      </c>
    </row>
    <row r="307" spans="1:7" x14ac:dyDescent="0.3">
      <c r="A307">
        <v>4002</v>
      </c>
      <c r="B307" t="s">
        <v>19</v>
      </c>
      <c r="C307" s="7">
        <v>117.172413793103</v>
      </c>
      <c r="D307" s="1">
        <v>45055</v>
      </c>
      <c r="E307" s="29">
        <v>3.7</v>
      </c>
      <c r="F307" t="s">
        <v>1</v>
      </c>
      <c r="G307" t="str">
        <f t="shared" si="4"/>
        <v>2023-05</v>
      </c>
    </row>
    <row r="308" spans="1:7" x14ac:dyDescent="0.3">
      <c r="A308">
        <v>4069</v>
      </c>
      <c r="B308" t="s">
        <v>14</v>
      </c>
      <c r="C308" s="7">
        <v>64</v>
      </c>
      <c r="D308" s="1">
        <v>44866</v>
      </c>
      <c r="E308" s="29">
        <v>3.5</v>
      </c>
      <c r="F308" t="s">
        <v>4</v>
      </c>
      <c r="G308" t="str">
        <f t="shared" si="4"/>
        <v>2022-11</v>
      </c>
    </row>
    <row r="309" spans="1:7" x14ac:dyDescent="0.3">
      <c r="A309">
        <v>3974</v>
      </c>
      <c r="B309" t="s">
        <v>28</v>
      </c>
      <c r="C309" s="7">
        <v>96</v>
      </c>
      <c r="D309" s="1">
        <v>44900</v>
      </c>
      <c r="E309" s="29">
        <v>3.6</v>
      </c>
      <c r="F309" t="s">
        <v>1</v>
      </c>
      <c r="G309" t="str">
        <f t="shared" si="4"/>
        <v>2022-12</v>
      </c>
    </row>
    <row r="310" spans="1:7" x14ac:dyDescent="0.3">
      <c r="A310">
        <v>4082</v>
      </c>
      <c r="B310" t="s">
        <v>25</v>
      </c>
      <c r="C310" s="7">
        <v>107</v>
      </c>
      <c r="D310" s="1">
        <v>45056</v>
      </c>
      <c r="E310" s="29">
        <v>3.1</v>
      </c>
      <c r="F310" t="s">
        <v>4</v>
      </c>
      <c r="G310" t="str">
        <f t="shared" si="4"/>
        <v>2023-05</v>
      </c>
    </row>
    <row r="311" spans="1:7" x14ac:dyDescent="0.3">
      <c r="A311">
        <v>4008</v>
      </c>
      <c r="B311" t="s">
        <v>6</v>
      </c>
      <c r="C311" s="7">
        <v>117</v>
      </c>
      <c r="D311" s="1">
        <v>45050</v>
      </c>
      <c r="E311" s="29">
        <v>3.5</v>
      </c>
      <c r="F311" t="s">
        <v>1</v>
      </c>
      <c r="G311" t="str">
        <f t="shared" si="4"/>
        <v>2023-05</v>
      </c>
    </row>
    <row r="312" spans="1:7" x14ac:dyDescent="0.3">
      <c r="A312">
        <v>4113</v>
      </c>
      <c r="B312" t="s">
        <v>14</v>
      </c>
      <c r="C312" s="7">
        <v>30</v>
      </c>
      <c r="D312" s="1">
        <v>45067</v>
      </c>
      <c r="E312" s="29">
        <v>3.1</v>
      </c>
      <c r="F312" t="s">
        <v>1</v>
      </c>
      <c r="G312" t="str">
        <f t="shared" si="4"/>
        <v>2023-05</v>
      </c>
    </row>
    <row r="313" spans="1:7" x14ac:dyDescent="0.3">
      <c r="A313">
        <v>4057</v>
      </c>
      <c r="B313" t="s">
        <v>13</v>
      </c>
      <c r="C313" s="7">
        <v>148</v>
      </c>
      <c r="D313" s="1">
        <v>45038</v>
      </c>
      <c r="E313" s="29">
        <v>2.9</v>
      </c>
      <c r="F313" t="s">
        <v>4</v>
      </c>
      <c r="G313" t="str">
        <f t="shared" si="4"/>
        <v>2023-04</v>
      </c>
    </row>
    <row r="314" spans="1:7" x14ac:dyDescent="0.3">
      <c r="A314">
        <v>4002</v>
      </c>
      <c r="B314" t="s">
        <v>11</v>
      </c>
      <c r="C314" s="7">
        <v>109.08474576271099</v>
      </c>
      <c r="D314" s="1">
        <v>45166</v>
      </c>
      <c r="E314" s="29">
        <v>4.7</v>
      </c>
      <c r="F314" t="s">
        <v>1</v>
      </c>
      <c r="G314" t="str">
        <f t="shared" si="4"/>
        <v>2023-08</v>
      </c>
    </row>
    <row r="315" spans="1:7" x14ac:dyDescent="0.3">
      <c r="A315">
        <v>4122</v>
      </c>
      <c r="B315" t="s">
        <v>30</v>
      </c>
      <c r="C315" s="7">
        <v>67</v>
      </c>
      <c r="D315" s="1">
        <v>45005</v>
      </c>
      <c r="E315" s="29">
        <v>4.4000000000000004</v>
      </c>
      <c r="F315" t="s">
        <v>4</v>
      </c>
      <c r="G315" t="str">
        <f t="shared" si="4"/>
        <v>2023-03</v>
      </c>
    </row>
    <row r="316" spans="1:7" x14ac:dyDescent="0.3">
      <c r="A316">
        <v>4082</v>
      </c>
      <c r="B316" t="s">
        <v>42</v>
      </c>
      <c r="C316" s="7">
        <v>176</v>
      </c>
      <c r="D316" s="1">
        <v>44923</v>
      </c>
      <c r="E316" s="29">
        <v>3.1</v>
      </c>
      <c r="F316" t="s">
        <v>1</v>
      </c>
      <c r="G316" t="str">
        <f t="shared" si="4"/>
        <v>2022-12</v>
      </c>
    </row>
    <row r="317" spans="1:7" x14ac:dyDescent="0.3">
      <c r="A317">
        <v>3984</v>
      </c>
      <c r="B317" t="s">
        <v>13</v>
      </c>
      <c r="C317" s="7">
        <v>112.64705882352899</v>
      </c>
      <c r="D317" s="1">
        <v>45068</v>
      </c>
      <c r="E317" s="29">
        <v>1</v>
      </c>
      <c r="F317" t="s">
        <v>1</v>
      </c>
      <c r="G317" t="str">
        <f t="shared" si="4"/>
        <v>2023-05</v>
      </c>
    </row>
    <row r="318" spans="1:7" x14ac:dyDescent="0.3">
      <c r="A318">
        <v>3993</v>
      </c>
      <c r="B318" t="s">
        <v>9</v>
      </c>
      <c r="C318" s="7">
        <v>103.564102564102</v>
      </c>
      <c r="D318" s="1">
        <v>44921</v>
      </c>
      <c r="E318" s="29">
        <v>1.6</v>
      </c>
      <c r="F318" t="s">
        <v>1</v>
      </c>
      <c r="G318" t="str">
        <f t="shared" si="4"/>
        <v>2022-12</v>
      </c>
    </row>
    <row r="319" spans="1:7" x14ac:dyDescent="0.3">
      <c r="A319">
        <v>4095</v>
      </c>
      <c r="B319" t="s">
        <v>6</v>
      </c>
      <c r="C319" s="7">
        <v>15</v>
      </c>
      <c r="D319" s="1">
        <v>45119</v>
      </c>
      <c r="E319" s="29">
        <v>2.8333333333333299</v>
      </c>
      <c r="F319" t="s">
        <v>1</v>
      </c>
      <c r="G319" t="str">
        <f t="shared" si="4"/>
        <v>2023-07</v>
      </c>
    </row>
    <row r="320" spans="1:7" x14ac:dyDescent="0.3">
      <c r="A320">
        <v>4067</v>
      </c>
      <c r="B320" t="s">
        <v>37</v>
      </c>
      <c r="C320" s="7">
        <v>71</v>
      </c>
      <c r="D320" s="1">
        <v>45165</v>
      </c>
      <c r="E320" s="29">
        <v>2.2000000000000002</v>
      </c>
      <c r="F320" t="s">
        <v>1</v>
      </c>
      <c r="G320" t="str">
        <f t="shared" si="4"/>
        <v>2023-08</v>
      </c>
    </row>
    <row r="321" spans="1:7" x14ac:dyDescent="0.3">
      <c r="A321">
        <v>4012</v>
      </c>
      <c r="B321" t="s">
        <v>9</v>
      </c>
      <c r="C321" s="7">
        <v>103.564102564102</v>
      </c>
      <c r="D321" s="1">
        <v>44991</v>
      </c>
      <c r="E321" s="29">
        <v>3.8</v>
      </c>
      <c r="F321" t="s">
        <v>4</v>
      </c>
      <c r="G321" t="str">
        <f t="shared" si="4"/>
        <v>2023-03</v>
      </c>
    </row>
    <row r="322" spans="1:7" x14ac:dyDescent="0.3">
      <c r="A322">
        <v>4114</v>
      </c>
      <c r="B322" t="s">
        <v>43</v>
      </c>
      <c r="C322" s="7">
        <v>154</v>
      </c>
      <c r="D322" s="1">
        <v>45018</v>
      </c>
      <c r="E322" s="29">
        <v>2.2999999999999998</v>
      </c>
      <c r="F322" t="s">
        <v>1</v>
      </c>
      <c r="G322" t="str">
        <f t="shared" si="4"/>
        <v>2023-04</v>
      </c>
    </row>
    <row r="323" spans="1:7" x14ac:dyDescent="0.3">
      <c r="A323">
        <v>4121</v>
      </c>
      <c r="B323" t="s">
        <v>23</v>
      </c>
      <c r="C323" s="7">
        <v>129</v>
      </c>
      <c r="D323" s="1">
        <v>44941</v>
      </c>
      <c r="E323" s="29">
        <v>3.1303030303030299</v>
      </c>
      <c r="F323" t="s">
        <v>4</v>
      </c>
      <c r="G323" t="str">
        <f t="shared" ref="G323:G386" si="5">TEXT(D323,"ГГГГ-ММ")</f>
        <v>2023-01</v>
      </c>
    </row>
    <row r="324" spans="1:7" x14ac:dyDescent="0.3">
      <c r="A324">
        <v>3984</v>
      </c>
      <c r="B324" t="s">
        <v>9</v>
      </c>
      <c r="C324" s="7">
        <v>104</v>
      </c>
      <c r="D324" s="1">
        <v>45137</v>
      </c>
      <c r="E324" s="29">
        <v>1.6</v>
      </c>
      <c r="F324" t="s">
        <v>4</v>
      </c>
      <c r="G324" t="str">
        <f t="shared" si="5"/>
        <v>2023-07</v>
      </c>
    </row>
    <row r="325" spans="1:7" x14ac:dyDescent="0.3">
      <c r="A325">
        <v>4070</v>
      </c>
      <c r="B325" t="s">
        <v>12</v>
      </c>
      <c r="C325" s="7">
        <v>103.354166666666</v>
      </c>
      <c r="D325" s="1">
        <v>45086</v>
      </c>
      <c r="E325" s="29">
        <v>3.2</v>
      </c>
      <c r="F325" t="s">
        <v>1</v>
      </c>
      <c r="G325" t="str">
        <f t="shared" si="5"/>
        <v>2023-06</v>
      </c>
    </row>
    <row r="326" spans="1:7" x14ac:dyDescent="0.3">
      <c r="A326">
        <v>4023</v>
      </c>
      <c r="B326" t="s">
        <v>3</v>
      </c>
      <c r="C326" s="7">
        <v>193</v>
      </c>
      <c r="D326" s="1">
        <v>44971</v>
      </c>
      <c r="E326" s="29">
        <v>3.5</v>
      </c>
      <c r="F326" t="s">
        <v>1</v>
      </c>
      <c r="G326" t="str">
        <f t="shared" si="5"/>
        <v>2023-02</v>
      </c>
    </row>
    <row r="327" spans="1:7" x14ac:dyDescent="0.3">
      <c r="A327">
        <v>3983</v>
      </c>
      <c r="B327" t="s">
        <v>43</v>
      </c>
      <c r="C327" s="7">
        <v>117.354166666666</v>
      </c>
      <c r="D327" s="1">
        <v>45155</v>
      </c>
      <c r="E327" s="29">
        <v>2.1</v>
      </c>
      <c r="F327" t="s">
        <v>4</v>
      </c>
      <c r="G327" t="str">
        <f t="shared" si="5"/>
        <v>2023-08</v>
      </c>
    </row>
    <row r="328" spans="1:7" x14ac:dyDescent="0.3">
      <c r="A328">
        <v>3965</v>
      </c>
      <c r="B328" t="s">
        <v>22</v>
      </c>
      <c r="C328" s="7">
        <v>89</v>
      </c>
      <c r="D328" s="1">
        <v>45156</v>
      </c>
      <c r="E328" s="29">
        <v>4.5</v>
      </c>
      <c r="F328" t="s">
        <v>4</v>
      </c>
      <c r="G328" t="str">
        <f t="shared" si="5"/>
        <v>2023-08</v>
      </c>
    </row>
    <row r="329" spans="1:7" x14ac:dyDescent="0.3">
      <c r="A329">
        <v>3975</v>
      </c>
      <c r="B329" t="s">
        <v>44</v>
      </c>
      <c r="C329" s="7">
        <v>106.72413793103399</v>
      </c>
      <c r="D329" s="1">
        <v>45136</v>
      </c>
      <c r="E329" s="29">
        <v>2.2000000000000002</v>
      </c>
      <c r="F329" t="s">
        <v>1</v>
      </c>
      <c r="G329" t="str">
        <f t="shared" si="5"/>
        <v>2023-07</v>
      </c>
    </row>
    <row r="330" spans="1:7" x14ac:dyDescent="0.3">
      <c r="A330">
        <v>3975</v>
      </c>
      <c r="B330" t="s">
        <v>25</v>
      </c>
      <c r="C330" s="7">
        <v>112.745762711864</v>
      </c>
      <c r="D330" s="1">
        <v>45027</v>
      </c>
      <c r="E330" s="29">
        <v>2.6</v>
      </c>
      <c r="F330" t="s">
        <v>4</v>
      </c>
      <c r="G330" t="str">
        <f t="shared" si="5"/>
        <v>2023-04</v>
      </c>
    </row>
    <row r="331" spans="1:7" x14ac:dyDescent="0.3">
      <c r="A331">
        <v>4103</v>
      </c>
      <c r="B331" t="s">
        <v>45</v>
      </c>
      <c r="C331" s="7">
        <v>183</v>
      </c>
      <c r="D331" s="1">
        <v>44847</v>
      </c>
      <c r="E331" s="29">
        <v>3.2</v>
      </c>
      <c r="F331" t="s">
        <v>4</v>
      </c>
      <c r="G331" t="str">
        <f t="shared" si="5"/>
        <v>2022-10</v>
      </c>
    </row>
    <row r="332" spans="1:7" x14ac:dyDescent="0.3">
      <c r="A332">
        <v>4021</v>
      </c>
      <c r="B332" t="s">
        <v>21</v>
      </c>
      <c r="C332" s="7">
        <v>106</v>
      </c>
      <c r="D332" s="1">
        <v>45067</v>
      </c>
      <c r="E332" s="29">
        <v>1.3</v>
      </c>
      <c r="F332" t="s">
        <v>4</v>
      </c>
      <c r="G332" t="str">
        <f t="shared" si="5"/>
        <v>2023-05</v>
      </c>
    </row>
    <row r="333" spans="1:7" x14ac:dyDescent="0.3">
      <c r="A333">
        <v>4071</v>
      </c>
      <c r="B333" t="s">
        <v>50</v>
      </c>
      <c r="C333" s="7">
        <v>193</v>
      </c>
      <c r="D333" s="1">
        <v>44836</v>
      </c>
      <c r="E333" s="29">
        <v>3.9</v>
      </c>
      <c r="F333" t="s">
        <v>1</v>
      </c>
      <c r="G333" t="str">
        <f t="shared" si="5"/>
        <v>2022-10</v>
      </c>
    </row>
    <row r="334" spans="1:7" x14ac:dyDescent="0.3">
      <c r="A334">
        <v>3961</v>
      </c>
      <c r="B334" t="s">
        <v>9</v>
      </c>
      <c r="C334" s="7">
        <v>103.564102564102</v>
      </c>
      <c r="D334" s="1">
        <v>45094</v>
      </c>
      <c r="E334" s="29">
        <v>2.1</v>
      </c>
      <c r="F334" t="s">
        <v>1</v>
      </c>
      <c r="G334" t="str">
        <f t="shared" si="5"/>
        <v>2023-06</v>
      </c>
    </row>
    <row r="335" spans="1:7" x14ac:dyDescent="0.3">
      <c r="A335">
        <v>4084</v>
      </c>
      <c r="B335" t="s">
        <v>51</v>
      </c>
      <c r="C335" s="7">
        <v>170</v>
      </c>
      <c r="D335" s="1">
        <v>45115</v>
      </c>
      <c r="E335" s="29">
        <v>4.2</v>
      </c>
      <c r="F335" t="s">
        <v>4</v>
      </c>
      <c r="G335" t="str">
        <f t="shared" si="5"/>
        <v>2023-07</v>
      </c>
    </row>
    <row r="336" spans="1:7" x14ac:dyDescent="0.3">
      <c r="A336">
        <v>3995</v>
      </c>
      <c r="B336" t="s">
        <v>28</v>
      </c>
      <c r="C336" s="7">
        <v>188</v>
      </c>
      <c r="D336" s="1">
        <v>45058</v>
      </c>
      <c r="E336" s="29">
        <v>4.0999999999999996</v>
      </c>
      <c r="F336" t="s">
        <v>4</v>
      </c>
      <c r="G336" t="str">
        <f t="shared" si="5"/>
        <v>2023-05</v>
      </c>
    </row>
    <row r="337" spans="1:7" x14ac:dyDescent="0.3">
      <c r="A337">
        <v>4120</v>
      </c>
      <c r="B337" t="s">
        <v>38</v>
      </c>
      <c r="C337" s="7">
        <v>185</v>
      </c>
      <c r="D337" s="1">
        <v>44990</v>
      </c>
      <c r="E337" s="29">
        <v>4.0999999999999996</v>
      </c>
      <c r="F337" t="s">
        <v>1</v>
      </c>
      <c r="G337" t="str">
        <f t="shared" si="5"/>
        <v>2023-03</v>
      </c>
    </row>
    <row r="338" spans="1:7" x14ac:dyDescent="0.3">
      <c r="A338">
        <v>3957</v>
      </c>
      <c r="B338" t="s">
        <v>24</v>
      </c>
      <c r="C338" s="7">
        <v>40</v>
      </c>
      <c r="D338" s="1">
        <v>44837</v>
      </c>
      <c r="E338" s="29">
        <v>2.1</v>
      </c>
      <c r="F338" t="s">
        <v>4</v>
      </c>
      <c r="G338" t="str">
        <f t="shared" si="5"/>
        <v>2022-10</v>
      </c>
    </row>
    <row r="339" spans="1:7" x14ac:dyDescent="0.3">
      <c r="A339">
        <v>3966</v>
      </c>
      <c r="B339" t="s">
        <v>44</v>
      </c>
      <c r="C339" s="7">
        <v>154</v>
      </c>
      <c r="D339" s="1">
        <v>45050</v>
      </c>
      <c r="E339" s="29">
        <v>4.5</v>
      </c>
      <c r="F339" t="s">
        <v>4</v>
      </c>
      <c r="G339" t="str">
        <f t="shared" si="5"/>
        <v>2023-05</v>
      </c>
    </row>
    <row r="340" spans="1:7" x14ac:dyDescent="0.3">
      <c r="A340">
        <v>4056</v>
      </c>
      <c r="B340" t="s">
        <v>5</v>
      </c>
      <c r="C340" s="7">
        <v>98</v>
      </c>
      <c r="D340" s="1">
        <v>45089</v>
      </c>
      <c r="E340" s="29">
        <v>2.9</v>
      </c>
      <c r="F340" t="s">
        <v>1</v>
      </c>
      <c r="G340" t="str">
        <f t="shared" si="5"/>
        <v>2023-06</v>
      </c>
    </row>
    <row r="341" spans="1:7" x14ac:dyDescent="0.3">
      <c r="A341">
        <v>4025</v>
      </c>
      <c r="B341" t="s">
        <v>10</v>
      </c>
      <c r="C341" s="7">
        <v>179</v>
      </c>
      <c r="D341" s="1">
        <v>45022</v>
      </c>
      <c r="E341" s="29">
        <v>4.0999999999999996</v>
      </c>
      <c r="F341" t="s">
        <v>4</v>
      </c>
      <c r="G341" t="str">
        <f t="shared" si="5"/>
        <v>2023-04</v>
      </c>
    </row>
    <row r="342" spans="1:7" x14ac:dyDescent="0.3">
      <c r="A342">
        <v>3995</v>
      </c>
      <c r="B342" t="s">
        <v>17</v>
      </c>
      <c r="C342" s="7">
        <v>139</v>
      </c>
      <c r="D342" s="1">
        <v>45047</v>
      </c>
      <c r="E342" s="29">
        <v>1.4</v>
      </c>
      <c r="F342" t="s">
        <v>4</v>
      </c>
      <c r="G342" t="str">
        <f t="shared" si="5"/>
        <v>2023-05</v>
      </c>
    </row>
    <row r="343" spans="1:7" x14ac:dyDescent="0.3">
      <c r="A343">
        <v>4041</v>
      </c>
      <c r="B343" t="s">
        <v>6</v>
      </c>
      <c r="C343" s="7">
        <v>13</v>
      </c>
      <c r="D343" s="1">
        <v>44847</v>
      </c>
      <c r="E343" s="29">
        <v>1.6</v>
      </c>
      <c r="F343" t="s">
        <v>4</v>
      </c>
      <c r="G343" t="str">
        <f t="shared" si="5"/>
        <v>2022-10</v>
      </c>
    </row>
    <row r="344" spans="1:7" x14ac:dyDescent="0.3">
      <c r="A344">
        <v>4057</v>
      </c>
      <c r="B344" t="s">
        <v>48</v>
      </c>
      <c r="C344" s="7">
        <v>135</v>
      </c>
      <c r="D344" s="1">
        <v>44922</v>
      </c>
      <c r="E344" s="29">
        <v>4.5</v>
      </c>
      <c r="F344" t="s">
        <v>1</v>
      </c>
      <c r="G344" t="str">
        <f t="shared" si="5"/>
        <v>2022-12</v>
      </c>
    </row>
    <row r="345" spans="1:7" x14ac:dyDescent="0.3">
      <c r="A345">
        <v>4104</v>
      </c>
      <c r="B345" t="s">
        <v>14</v>
      </c>
      <c r="C345" s="7">
        <v>102.377358490566</v>
      </c>
      <c r="D345" s="1">
        <v>44858</v>
      </c>
      <c r="E345" s="29">
        <v>4.5999999999999996</v>
      </c>
      <c r="F345" t="s">
        <v>4</v>
      </c>
      <c r="G345" t="str">
        <f t="shared" si="5"/>
        <v>2022-10</v>
      </c>
    </row>
    <row r="346" spans="1:7" x14ac:dyDescent="0.3">
      <c r="A346">
        <v>3957</v>
      </c>
      <c r="B346" t="s">
        <v>11</v>
      </c>
      <c r="C346" s="7">
        <v>172</v>
      </c>
      <c r="D346" s="1">
        <v>45115</v>
      </c>
      <c r="E346" s="29">
        <v>3.0693548387096699</v>
      </c>
      <c r="F346" t="s">
        <v>1</v>
      </c>
      <c r="G346" t="str">
        <f t="shared" si="5"/>
        <v>2023-07</v>
      </c>
    </row>
    <row r="347" spans="1:7" x14ac:dyDescent="0.3">
      <c r="A347">
        <v>4088</v>
      </c>
      <c r="B347" t="s">
        <v>24</v>
      </c>
      <c r="C347" s="7">
        <v>127</v>
      </c>
      <c r="D347" s="1">
        <v>44841</v>
      </c>
      <c r="E347" s="29">
        <v>2.8</v>
      </c>
      <c r="F347" t="s">
        <v>1</v>
      </c>
      <c r="G347" t="str">
        <f t="shared" si="5"/>
        <v>2022-10</v>
      </c>
    </row>
    <row r="348" spans="1:7" x14ac:dyDescent="0.3">
      <c r="A348">
        <v>4082</v>
      </c>
      <c r="B348" t="s">
        <v>13</v>
      </c>
      <c r="C348" s="7">
        <v>121</v>
      </c>
      <c r="D348" s="1">
        <v>45176</v>
      </c>
      <c r="E348" s="29">
        <v>2.2999999999999998</v>
      </c>
      <c r="F348" t="s">
        <v>4</v>
      </c>
      <c r="G348" t="str">
        <f t="shared" si="5"/>
        <v>2023-09</v>
      </c>
    </row>
    <row r="349" spans="1:7" x14ac:dyDescent="0.3">
      <c r="A349">
        <v>4079</v>
      </c>
      <c r="B349" t="s">
        <v>3</v>
      </c>
      <c r="C349" s="7">
        <v>100.68</v>
      </c>
      <c r="D349" s="1">
        <v>44888</v>
      </c>
      <c r="E349" s="29">
        <v>1.5</v>
      </c>
      <c r="F349" t="s">
        <v>1</v>
      </c>
      <c r="G349" t="str">
        <f t="shared" si="5"/>
        <v>2022-11</v>
      </c>
    </row>
    <row r="350" spans="1:7" x14ac:dyDescent="0.3">
      <c r="A350">
        <v>4068</v>
      </c>
      <c r="B350" t="s">
        <v>43</v>
      </c>
      <c r="C350" s="7">
        <v>176</v>
      </c>
      <c r="D350" s="1">
        <v>45125</v>
      </c>
      <c r="E350" s="29">
        <v>2.5</v>
      </c>
      <c r="F350" t="s">
        <v>4</v>
      </c>
      <c r="G350" t="str">
        <f t="shared" si="5"/>
        <v>2023-07</v>
      </c>
    </row>
    <row r="351" spans="1:7" x14ac:dyDescent="0.3">
      <c r="A351">
        <v>4060</v>
      </c>
      <c r="B351" t="s">
        <v>7</v>
      </c>
      <c r="C351" s="7">
        <v>147</v>
      </c>
      <c r="D351" s="1">
        <v>44923</v>
      </c>
      <c r="E351" s="29">
        <v>2.9</v>
      </c>
      <c r="F351" t="s">
        <v>1</v>
      </c>
      <c r="G351" t="str">
        <f t="shared" si="5"/>
        <v>2022-12</v>
      </c>
    </row>
    <row r="352" spans="1:7" x14ac:dyDescent="0.3">
      <c r="A352">
        <v>3974</v>
      </c>
      <c r="B352" t="s">
        <v>45</v>
      </c>
      <c r="C352" s="7">
        <v>129</v>
      </c>
      <c r="D352" s="1">
        <v>45140</v>
      </c>
      <c r="E352" s="29">
        <v>3.1</v>
      </c>
      <c r="F352" t="s">
        <v>1</v>
      </c>
      <c r="G352" t="str">
        <f t="shared" si="5"/>
        <v>2023-08</v>
      </c>
    </row>
    <row r="353" spans="1:7" x14ac:dyDescent="0.3">
      <c r="A353">
        <v>4095</v>
      </c>
      <c r="B353" t="s">
        <v>23</v>
      </c>
      <c r="C353" s="7">
        <v>197</v>
      </c>
      <c r="D353" s="1">
        <v>44859</v>
      </c>
      <c r="E353" s="29">
        <v>4.5</v>
      </c>
      <c r="F353" t="s">
        <v>1</v>
      </c>
      <c r="G353" t="str">
        <f t="shared" si="5"/>
        <v>2022-10</v>
      </c>
    </row>
    <row r="354" spans="1:7" x14ac:dyDescent="0.3">
      <c r="A354">
        <v>4014</v>
      </c>
      <c r="B354" t="s">
        <v>22</v>
      </c>
      <c r="C354" s="7">
        <v>92</v>
      </c>
      <c r="D354" s="1">
        <v>44920</v>
      </c>
      <c r="E354" s="29">
        <v>4.8</v>
      </c>
      <c r="F354" t="s">
        <v>1</v>
      </c>
      <c r="G354" t="str">
        <f t="shared" si="5"/>
        <v>2022-12</v>
      </c>
    </row>
    <row r="355" spans="1:7" x14ac:dyDescent="0.3">
      <c r="A355">
        <v>3957</v>
      </c>
      <c r="B355" t="s">
        <v>42</v>
      </c>
      <c r="C355" s="7">
        <v>32</v>
      </c>
      <c r="D355" s="1">
        <v>44931</v>
      </c>
      <c r="E355" s="29">
        <v>4.3</v>
      </c>
      <c r="F355" t="s">
        <v>4</v>
      </c>
      <c r="G355" t="str">
        <f t="shared" si="5"/>
        <v>2023-01</v>
      </c>
    </row>
    <row r="356" spans="1:7" x14ac:dyDescent="0.3">
      <c r="A356">
        <v>4055</v>
      </c>
      <c r="B356" t="s">
        <v>36</v>
      </c>
      <c r="C356" s="7">
        <v>125</v>
      </c>
      <c r="D356" s="1">
        <v>44875</v>
      </c>
      <c r="E356" s="29">
        <v>4.4000000000000004</v>
      </c>
      <c r="F356" t="s">
        <v>4</v>
      </c>
      <c r="G356" t="str">
        <f t="shared" si="5"/>
        <v>2022-11</v>
      </c>
    </row>
    <row r="357" spans="1:7" x14ac:dyDescent="0.3">
      <c r="A357">
        <v>4080</v>
      </c>
      <c r="B357" t="s">
        <v>15</v>
      </c>
      <c r="C357" s="7">
        <v>128</v>
      </c>
      <c r="D357" s="1">
        <v>45026</v>
      </c>
      <c r="E357" s="29">
        <v>3</v>
      </c>
      <c r="F357" t="s">
        <v>1</v>
      </c>
      <c r="G357" t="str">
        <f t="shared" si="5"/>
        <v>2023-04</v>
      </c>
    </row>
    <row r="358" spans="1:7" x14ac:dyDescent="0.3">
      <c r="A358">
        <v>3988</v>
      </c>
      <c r="B358" t="s">
        <v>22</v>
      </c>
      <c r="C358" s="7">
        <v>181</v>
      </c>
      <c r="D358" s="1">
        <v>44989</v>
      </c>
      <c r="E358" s="29">
        <v>3.7</v>
      </c>
      <c r="F358" t="s">
        <v>1</v>
      </c>
      <c r="G358" t="str">
        <f t="shared" si="5"/>
        <v>2023-03</v>
      </c>
    </row>
    <row r="359" spans="1:7" x14ac:dyDescent="0.3">
      <c r="A359">
        <v>4102</v>
      </c>
      <c r="B359" t="s">
        <v>31</v>
      </c>
      <c r="C359" s="7">
        <v>17</v>
      </c>
      <c r="D359" s="1">
        <v>44957</v>
      </c>
      <c r="E359" s="29">
        <v>2.7</v>
      </c>
      <c r="F359" t="s">
        <v>4</v>
      </c>
      <c r="G359" t="str">
        <f t="shared" si="5"/>
        <v>2023-01</v>
      </c>
    </row>
    <row r="360" spans="1:7" x14ac:dyDescent="0.3">
      <c r="A360">
        <v>4094</v>
      </c>
      <c r="B360" t="s">
        <v>28</v>
      </c>
      <c r="C360" s="7">
        <v>93</v>
      </c>
      <c r="D360" s="1">
        <v>45153</v>
      </c>
      <c r="E360" s="29">
        <v>1.1000000000000001</v>
      </c>
      <c r="F360" t="s">
        <v>4</v>
      </c>
      <c r="G360" t="str">
        <f t="shared" si="5"/>
        <v>2023-08</v>
      </c>
    </row>
    <row r="361" spans="1:7" x14ac:dyDescent="0.3">
      <c r="A361">
        <v>4048</v>
      </c>
      <c r="B361" t="s">
        <v>27</v>
      </c>
      <c r="C361" s="7">
        <v>103.98245614035</v>
      </c>
      <c r="D361" s="1">
        <v>44852</v>
      </c>
      <c r="E361" s="29">
        <v>2.9</v>
      </c>
      <c r="F361" t="s">
        <v>1</v>
      </c>
      <c r="G361" t="str">
        <f t="shared" si="5"/>
        <v>2022-10</v>
      </c>
    </row>
    <row r="362" spans="1:7" x14ac:dyDescent="0.3">
      <c r="A362">
        <v>4042</v>
      </c>
      <c r="B362" t="s">
        <v>12</v>
      </c>
      <c r="C362" s="7">
        <v>76</v>
      </c>
      <c r="D362" s="1">
        <v>44979</v>
      </c>
      <c r="E362" s="29">
        <v>3.9</v>
      </c>
      <c r="F362" t="s">
        <v>1</v>
      </c>
      <c r="G362" t="str">
        <f t="shared" si="5"/>
        <v>2023-02</v>
      </c>
    </row>
    <row r="363" spans="1:7" x14ac:dyDescent="0.3">
      <c r="A363">
        <v>4034</v>
      </c>
      <c r="B363" t="s">
        <v>17</v>
      </c>
      <c r="C363" s="7">
        <v>162</v>
      </c>
      <c r="D363" s="1">
        <v>44968</v>
      </c>
      <c r="E363" s="29">
        <v>3.2</v>
      </c>
      <c r="F363" t="s">
        <v>1</v>
      </c>
      <c r="G363" t="str">
        <f t="shared" si="5"/>
        <v>2023-02</v>
      </c>
    </row>
    <row r="364" spans="1:7" x14ac:dyDescent="0.3">
      <c r="A364">
        <v>4059</v>
      </c>
      <c r="B364" t="s">
        <v>27</v>
      </c>
      <c r="C364" s="7">
        <v>80</v>
      </c>
      <c r="D364" s="1">
        <v>45113</v>
      </c>
      <c r="E364" s="29">
        <v>4.8</v>
      </c>
      <c r="F364" t="s">
        <v>4</v>
      </c>
      <c r="G364" t="str">
        <f t="shared" si="5"/>
        <v>2023-07</v>
      </c>
    </row>
    <row r="365" spans="1:7" x14ac:dyDescent="0.3">
      <c r="A365">
        <v>3971</v>
      </c>
      <c r="B365" t="s">
        <v>43</v>
      </c>
      <c r="C365" s="7">
        <v>142</v>
      </c>
      <c r="D365" s="1">
        <v>45129</v>
      </c>
      <c r="E365" s="29">
        <v>1.7</v>
      </c>
      <c r="F365" t="s">
        <v>4</v>
      </c>
      <c r="G365" t="str">
        <f t="shared" si="5"/>
        <v>2023-07</v>
      </c>
    </row>
    <row r="366" spans="1:7" x14ac:dyDescent="0.3">
      <c r="A366">
        <v>4118</v>
      </c>
      <c r="B366" t="s">
        <v>2</v>
      </c>
      <c r="C366" s="7">
        <v>31</v>
      </c>
      <c r="D366" s="1">
        <v>44853</v>
      </c>
      <c r="E366" s="29">
        <v>1</v>
      </c>
      <c r="F366" t="s">
        <v>1</v>
      </c>
      <c r="G366" t="str">
        <f t="shared" si="5"/>
        <v>2022-10</v>
      </c>
    </row>
    <row r="367" spans="1:7" x14ac:dyDescent="0.3">
      <c r="A367">
        <v>4122</v>
      </c>
      <c r="B367" t="s">
        <v>8</v>
      </c>
      <c r="C367" s="7">
        <v>114</v>
      </c>
      <c r="D367" s="1">
        <v>45135</v>
      </c>
      <c r="E367" s="29">
        <v>3.1</v>
      </c>
      <c r="F367" t="s">
        <v>4</v>
      </c>
      <c r="G367" t="str">
        <f t="shared" si="5"/>
        <v>2023-07</v>
      </c>
    </row>
    <row r="368" spans="1:7" x14ac:dyDescent="0.3">
      <c r="A368">
        <v>3980</v>
      </c>
      <c r="B368" t="s">
        <v>12</v>
      </c>
      <c r="C368" s="7">
        <v>71</v>
      </c>
      <c r="D368" s="1">
        <v>44951</v>
      </c>
      <c r="E368" s="29">
        <v>2.7471698113207501</v>
      </c>
      <c r="F368" t="s">
        <v>4</v>
      </c>
      <c r="G368" t="str">
        <f t="shared" si="5"/>
        <v>2023-01</v>
      </c>
    </row>
    <row r="369" spans="1:7" x14ac:dyDescent="0.3">
      <c r="A369">
        <v>4050</v>
      </c>
      <c r="B369" t="s">
        <v>23</v>
      </c>
      <c r="C369" s="7">
        <v>175</v>
      </c>
      <c r="D369" s="1">
        <v>44924</v>
      </c>
      <c r="E369" s="29">
        <v>1.4</v>
      </c>
      <c r="F369" t="s">
        <v>4</v>
      </c>
      <c r="G369" t="str">
        <f t="shared" si="5"/>
        <v>2022-12</v>
      </c>
    </row>
    <row r="370" spans="1:7" x14ac:dyDescent="0.3">
      <c r="A370">
        <v>4093</v>
      </c>
      <c r="B370" t="s">
        <v>7</v>
      </c>
      <c r="C370" s="7">
        <v>124</v>
      </c>
      <c r="D370" s="1">
        <v>44916</v>
      </c>
      <c r="E370" s="29">
        <v>2</v>
      </c>
      <c r="F370" t="s">
        <v>1</v>
      </c>
      <c r="G370" t="str">
        <f t="shared" si="5"/>
        <v>2022-12</v>
      </c>
    </row>
    <row r="371" spans="1:7" x14ac:dyDescent="0.3">
      <c r="A371">
        <v>4044</v>
      </c>
      <c r="B371" t="s">
        <v>18</v>
      </c>
      <c r="C371" s="7">
        <v>33</v>
      </c>
      <c r="D371" s="1">
        <v>45014</v>
      </c>
      <c r="E371" s="29">
        <v>3.4</v>
      </c>
      <c r="F371" t="s">
        <v>4</v>
      </c>
      <c r="G371" t="str">
        <f t="shared" si="5"/>
        <v>2023-03</v>
      </c>
    </row>
    <row r="372" spans="1:7" x14ac:dyDescent="0.3">
      <c r="A372">
        <v>3977</v>
      </c>
      <c r="B372" t="s">
        <v>6</v>
      </c>
      <c r="C372" s="7">
        <v>113</v>
      </c>
      <c r="D372" s="1">
        <v>44934</v>
      </c>
      <c r="E372" s="29">
        <v>2.8333333333333299</v>
      </c>
      <c r="F372" t="s">
        <v>1</v>
      </c>
      <c r="G372" t="str">
        <f t="shared" si="5"/>
        <v>2023-01</v>
      </c>
    </row>
    <row r="373" spans="1:7" x14ac:dyDescent="0.3">
      <c r="A373">
        <v>4074</v>
      </c>
      <c r="B373" t="s">
        <v>30</v>
      </c>
      <c r="C373" s="7">
        <v>88</v>
      </c>
      <c r="D373" s="1">
        <v>44962</v>
      </c>
      <c r="E373" s="29">
        <v>2.9</v>
      </c>
      <c r="F373" t="s">
        <v>4</v>
      </c>
      <c r="G373" t="str">
        <f t="shared" si="5"/>
        <v>2023-02</v>
      </c>
    </row>
    <row r="374" spans="1:7" x14ac:dyDescent="0.3">
      <c r="A374">
        <v>4031</v>
      </c>
      <c r="B374" t="s">
        <v>44</v>
      </c>
      <c r="C374" s="7">
        <v>104</v>
      </c>
      <c r="D374" s="1">
        <v>44941</v>
      </c>
      <c r="E374" s="29">
        <v>2.92063492063492</v>
      </c>
      <c r="F374" t="s">
        <v>1</v>
      </c>
      <c r="G374" t="str">
        <f t="shared" si="5"/>
        <v>2023-01</v>
      </c>
    </row>
    <row r="375" spans="1:7" x14ac:dyDescent="0.3">
      <c r="A375">
        <v>4122</v>
      </c>
      <c r="B375" t="s">
        <v>8</v>
      </c>
      <c r="C375" s="7">
        <v>145</v>
      </c>
      <c r="D375" s="1">
        <v>44924</v>
      </c>
      <c r="E375" s="29">
        <v>2</v>
      </c>
      <c r="F375" t="s">
        <v>4</v>
      </c>
      <c r="G375" t="str">
        <f t="shared" si="5"/>
        <v>2022-12</v>
      </c>
    </row>
    <row r="376" spans="1:7" x14ac:dyDescent="0.3">
      <c r="A376">
        <v>4008</v>
      </c>
      <c r="B376" t="s">
        <v>45</v>
      </c>
      <c r="C376" s="7">
        <v>200</v>
      </c>
      <c r="D376" s="1">
        <v>44839</v>
      </c>
      <c r="E376" s="29">
        <v>4.9000000000000004</v>
      </c>
      <c r="F376" t="s">
        <v>4</v>
      </c>
      <c r="G376" t="str">
        <f t="shared" si="5"/>
        <v>2022-10</v>
      </c>
    </row>
    <row r="377" spans="1:7" x14ac:dyDescent="0.3">
      <c r="A377">
        <v>4002</v>
      </c>
      <c r="B377" t="s">
        <v>33</v>
      </c>
      <c r="C377" s="7">
        <v>100</v>
      </c>
      <c r="D377" s="1">
        <v>44921</v>
      </c>
      <c r="E377" s="29">
        <v>4.5</v>
      </c>
      <c r="F377" t="s">
        <v>4</v>
      </c>
      <c r="G377" t="str">
        <f t="shared" si="5"/>
        <v>2022-12</v>
      </c>
    </row>
    <row r="378" spans="1:7" x14ac:dyDescent="0.3">
      <c r="A378">
        <v>4098</v>
      </c>
      <c r="B378" t="s">
        <v>50</v>
      </c>
      <c r="C378" s="7">
        <v>79</v>
      </c>
      <c r="D378" s="1">
        <v>44961</v>
      </c>
      <c r="E378" s="29">
        <v>5</v>
      </c>
      <c r="F378" t="s">
        <v>1</v>
      </c>
      <c r="G378" t="str">
        <f t="shared" si="5"/>
        <v>2023-02</v>
      </c>
    </row>
    <row r="379" spans="1:7" x14ac:dyDescent="0.3">
      <c r="A379">
        <v>3967</v>
      </c>
      <c r="B379" t="s">
        <v>37</v>
      </c>
      <c r="C379" s="7">
        <v>69</v>
      </c>
      <c r="D379" s="1">
        <v>45019</v>
      </c>
      <c r="E379" s="29">
        <v>3</v>
      </c>
      <c r="F379" t="s">
        <v>4</v>
      </c>
      <c r="G379" t="str">
        <f t="shared" si="5"/>
        <v>2023-04</v>
      </c>
    </row>
    <row r="380" spans="1:7" x14ac:dyDescent="0.3">
      <c r="A380">
        <v>4055</v>
      </c>
      <c r="B380" t="s">
        <v>42</v>
      </c>
      <c r="C380" s="7">
        <v>114.396551724137</v>
      </c>
      <c r="D380" s="1">
        <v>44870</v>
      </c>
      <c r="E380" s="29">
        <v>4.5</v>
      </c>
      <c r="F380" t="s">
        <v>4</v>
      </c>
      <c r="G380" t="str">
        <f t="shared" si="5"/>
        <v>2022-11</v>
      </c>
    </row>
    <row r="381" spans="1:7" x14ac:dyDescent="0.3">
      <c r="A381">
        <v>4005</v>
      </c>
      <c r="B381" t="s">
        <v>22</v>
      </c>
      <c r="C381" s="7">
        <v>107.949152542372</v>
      </c>
      <c r="D381" s="1">
        <v>44856</v>
      </c>
      <c r="E381" s="29">
        <v>4.2</v>
      </c>
      <c r="F381" t="s">
        <v>1</v>
      </c>
      <c r="G381" t="str">
        <f t="shared" si="5"/>
        <v>2022-10</v>
      </c>
    </row>
    <row r="382" spans="1:7" x14ac:dyDescent="0.3">
      <c r="A382">
        <v>4033</v>
      </c>
      <c r="B382" t="s">
        <v>24</v>
      </c>
      <c r="C382" s="7">
        <v>95.292307692307602</v>
      </c>
      <c r="D382" s="1">
        <v>44914</v>
      </c>
      <c r="E382" s="29">
        <v>3.1712328767123199</v>
      </c>
      <c r="F382" t="s">
        <v>1</v>
      </c>
      <c r="G382" t="str">
        <f t="shared" si="5"/>
        <v>2022-12</v>
      </c>
    </row>
    <row r="383" spans="1:7" x14ac:dyDescent="0.3">
      <c r="A383">
        <v>4056</v>
      </c>
      <c r="B383" t="s">
        <v>51</v>
      </c>
      <c r="C383" s="7">
        <v>186</v>
      </c>
      <c r="D383" s="1">
        <v>45027</v>
      </c>
      <c r="E383" s="29">
        <v>3.19629629629629</v>
      </c>
      <c r="F383" t="s">
        <v>4</v>
      </c>
      <c r="G383" t="str">
        <f t="shared" si="5"/>
        <v>2023-04</v>
      </c>
    </row>
    <row r="384" spans="1:7" x14ac:dyDescent="0.3">
      <c r="A384">
        <v>3984</v>
      </c>
      <c r="B384" t="s">
        <v>5</v>
      </c>
      <c r="C384" s="7">
        <v>98.967741935483801</v>
      </c>
      <c r="D384" s="1">
        <v>45169</v>
      </c>
      <c r="E384" s="29">
        <v>1.6</v>
      </c>
      <c r="F384" t="s">
        <v>4</v>
      </c>
      <c r="G384" t="str">
        <f t="shared" si="5"/>
        <v>2023-08</v>
      </c>
    </row>
    <row r="385" spans="1:7" x14ac:dyDescent="0.3">
      <c r="A385">
        <v>4118</v>
      </c>
      <c r="B385" t="s">
        <v>25</v>
      </c>
      <c r="C385" s="7">
        <v>133</v>
      </c>
      <c r="D385" s="1">
        <v>45005</v>
      </c>
      <c r="E385" s="29">
        <v>4.5</v>
      </c>
      <c r="F385" t="s">
        <v>1</v>
      </c>
      <c r="G385" t="str">
        <f t="shared" si="5"/>
        <v>2023-03</v>
      </c>
    </row>
    <row r="386" spans="1:7" x14ac:dyDescent="0.3">
      <c r="A386">
        <v>4048</v>
      </c>
      <c r="B386" t="s">
        <v>16</v>
      </c>
      <c r="C386" s="7">
        <v>160</v>
      </c>
      <c r="D386" s="1">
        <v>45012</v>
      </c>
      <c r="E386" s="29">
        <v>2.7</v>
      </c>
      <c r="F386" t="s">
        <v>4</v>
      </c>
      <c r="G386" t="str">
        <f t="shared" si="5"/>
        <v>2023-03</v>
      </c>
    </row>
    <row r="387" spans="1:7" x14ac:dyDescent="0.3">
      <c r="A387">
        <v>4081</v>
      </c>
      <c r="B387" t="s">
        <v>6</v>
      </c>
      <c r="C387" s="7">
        <v>144</v>
      </c>
      <c r="D387" s="1">
        <v>44866</v>
      </c>
      <c r="E387" s="29">
        <v>1.2</v>
      </c>
      <c r="F387" t="s">
        <v>1</v>
      </c>
      <c r="G387" t="str">
        <f t="shared" ref="G387:G450" si="6">TEXT(D387,"ГГГГ-ММ")</f>
        <v>2022-11</v>
      </c>
    </row>
    <row r="388" spans="1:7" x14ac:dyDescent="0.3">
      <c r="A388">
        <v>3978</v>
      </c>
      <c r="B388" t="s">
        <v>31</v>
      </c>
      <c r="C388" s="7">
        <v>35</v>
      </c>
      <c r="D388" s="1">
        <v>44894</v>
      </c>
      <c r="E388" s="29">
        <v>1.2</v>
      </c>
      <c r="F388" t="s">
        <v>4</v>
      </c>
      <c r="G388" t="str">
        <f t="shared" si="6"/>
        <v>2022-11</v>
      </c>
    </row>
    <row r="389" spans="1:7" x14ac:dyDescent="0.3">
      <c r="A389">
        <v>4118</v>
      </c>
      <c r="B389" t="s">
        <v>47</v>
      </c>
      <c r="C389" s="7">
        <v>85</v>
      </c>
      <c r="D389" s="1">
        <v>45152</v>
      </c>
      <c r="E389" s="29">
        <v>3.1235294117647001</v>
      </c>
      <c r="F389" t="s">
        <v>1</v>
      </c>
      <c r="G389" t="str">
        <f t="shared" si="6"/>
        <v>2023-08</v>
      </c>
    </row>
    <row r="390" spans="1:7" x14ac:dyDescent="0.3">
      <c r="A390">
        <v>4069</v>
      </c>
      <c r="B390" t="s">
        <v>32</v>
      </c>
      <c r="C390" s="7">
        <v>55</v>
      </c>
      <c r="D390" s="1">
        <v>44951</v>
      </c>
      <c r="E390" s="29">
        <v>4.9000000000000004</v>
      </c>
      <c r="F390" t="s">
        <v>4</v>
      </c>
      <c r="G390" t="str">
        <f t="shared" si="6"/>
        <v>2023-01</v>
      </c>
    </row>
    <row r="391" spans="1:7" x14ac:dyDescent="0.3">
      <c r="A391">
        <v>4005</v>
      </c>
      <c r="B391" t="s">
        <v>14</v>
      </c>
      <c r="C391" s="7">
        <v>191</v>
      </c>
      <c r="D391" s="1">
        <v>45008</v>
      </c>
      <c r="E391" s="29">
        <v>3.5</v>
      </c>
      <c r="F391" t="s">
        <v>4</v>
      </c>
      <c r="G391" t="str">
        <f t="shared" si="6"/>
        <v>2023-03</v>
      </c>
    </row>
    <row r="392" spans="1:7" x14ac:dyDescent="0.3">
      <c r="A392">
        <v>3992</v>
      </c>
      <c r="B392" t="s">
        <v>41</v>
      </c>
      <c r="C392" s="7">
        <v>80</v>
      </c>
      <c r="D392" s="1">
        <v>44981</v>
      </c>
      <c r="E392" s="29">
        <v>2.70806451612903</v>
      </c>
      <c r="F392" t="s">
        <v>4</v>
      </c>
      <c r="G392" t="str">
        <f t="shared" si="6"/>
        <v>2023-02</v>
      </c>
    </row>
    <row r="393" spans="1:7" x14ac:dyDescent="0.3">
      <c r="A393">
        <v>3966</v>
      </c>
      <c r="B393" t="s">
        <v>47</v>
      </c>
      <c r="C393" s="7">
        <v>106.297872340425</v>
      </c>
      <c r="D393" s="1">
        <v>45004</v>
      </c>
      <c r="E393" s="29">
        <v>4.4000000000000004</v>
      </c>
      <c r="F393" t="s">
        <v>1</v>
      </c>
      <c r="G393" t="str">
        <f t="shared" si="6"/>
        <v>2023-03</v>
      </c>
    </row>
    <row r="394" spans="1:7" x14ac:dyDescent="0.3">
      <c r="A394">
        <v>4006</v>
      </c>
      <c r="B394" t="s">
        <v>36</v>
      </c>
      <c r="C394" s="7">
        <v>90.925925925925895</v>
      </c>
      <c r="D394" s="1">
        <v>45185</v>
      </c>
      <c r="E394" s="29">
        <v>3.8</v>
      </c>
      <c r="F394" t="s">
        <v>1</v>
      </c>
      <c r="G394" t="str">
        <f t="shared" si="6"/>
        <v>2023-09</v>
      </c>
    </row>
    <row r="395" spans="1:7" x14ac:dyDescent="0.3">
      <c r="A395">
        <v>3963</v>
      </c>
      <c r="B395" t="s">
        <v>2</v>
      </c>
      <c r="C395" s="7">
        <v>42</v>
      </c>
      <c r="D395" s="1">
        <v>44853</v>
      </c>
      <c r="E395" s="29">
        <v>3.3</v>
      </c>
      <c r="F395" t="s">
        <v>4</v>
      </c>
      <c r="G395" t="str">
        <f t="shared" si="6"/>
        <v>2022-10</v>
      </c>
    </row>
    <row r="396" spans="1:7" x14ac:dyDescent="0.3">
      <c r="A396">
        <v>4108</v>
      </c>
      <c r="B396" t="s">
        <v>10</v>
      </c>
      <c r="C396" s="7">
        <v>135</v>
      </c>
      <c r="D396" s="1">
        <v>44951</v>
      </c>
      <c r="E396" s="29">
        <v>3.1</v>
      </c>
      <c r="F396" t="s">
        <v>4</v>
      </c>
      <c r="G396" t="str">
        <f t="shared" si="6"/>
        <v>2023-01</v>
      </c>
    </row>
    <row r="397" spans="1:7" x14ac:dyDescent="0.3">
      <c r="A397">
        <v>4018</v>
      </c>
      <c r="B397" t="s">
        <v>30</v>
      </c>
      <c r="C397" s="7">
        <v>99.866666666666603</v>
      </c>
      <c r="D397" s="1">
        <v>45043</v>
      </c>
      <c r="E397" s="29">
        <v>2.6</v>
      </c>
      <c r="F397" t="s">
        <v>1</v>
      </c>
      <c r="G397" t="str">
        <f t="shared" si="6"/>
        <v>2023-04</v>
      </c>
    </row>
    <row r="398" spans="1:7" x14ac:dyDescent="0.3">
      <c r="A398">
        <v>4082</v>
      </c>
      <c r="B398" t="s">
        <v>33</v>
      </c>
      <c r="C398" s="7">
        <v>113.54098360655701</v>
      </c>
      <c r="D398" s="1">
        <v>45133</v>
      </c>
      <c r="E398" s="29">
        <v>3.7</v>
      </c>
      <c r="F398" t="s">
        <v>4</v>
      </c>
      <c r="G398" t="str">
        <f t="shared" si="6"/>
        <v>2023-07</v>
      </c>
    </row>
    <row r="399" spans="1:7" x14ac:dyDescent="0.3">
      <c r="A399">
        <v>4056</v>
      </c>
      <c r="B399" t="s">
        <v>39</v>
      </c>
      <c r="C399" s="7">
        <v>132</v>
      </c>
      <c r="D399" s="1">
        <v>45094</v>
      </c>
      <c r="E399" s="29">
        <v>3.0546875</v>
      </c>
      <c r="F399" t="s">
        <v>4</v>
      </c>
      <c r="G399" t="str">
        <f t="shared" si="6"/>
        <v>2023-06</v>
      </c>
    </row>
    <row r="400" spans="1:7" x14ac:dyDescent="0.3">
      <c r="A400">
        <v>3973</v>
      </c>
      <c r="B400" t="s">
        <v>23</v>
      </c>
      <c r="C400" s="7">
        <v>57</v>
      </c>
      <c r="D400" s="1">
        <v>45119</v>
      </c>
      <c r="E400" s="29">
        <v>3</v>
      </c>
      <c r="F400" t="s">
        <v>4</v>
      </c>
      <c r="G400" t="str">
        <f t="shared" si="6"/>
        <v>2023-07</v>
      </c>
    </row>
    <row r="401" spans="1:7" x14ac:dyDescent="0.3">
      <c r="A401">
        <v>4095</v>
      </c>
      <c r="B401" t="s">
        <v>35</v>
      </c>
      <c r="C401" s="7">
        <v>74</v>
      </c>
      <c r="D401" s="1">
        <v>45122</v>
      </c>
      <c r="E401" s="29">
        <v>1.3</v>
      </c>
      <c r="F401" t="s">
        <v>1</v>
      </c>
      <c r="G401" t="str">
        <f t="shared" si="6"/>
        <v>2023-07</v>
      </c>
    </row>
    <row r="402" spans="1:7" x14ac:dyDescent="0.3">
      <c r="A402">
        <v>4121</v>
      </c>
      <c r="B402" t="s">
        <v>38</v>
      </c>
      <c r="C402" s="7">
        <v>132</v>
      </c>
      <c r="D402" s="1">
        <v>44981</v>
      </c>
      <c r="E402" s="29">
        <v>2.1</v>
      </c>
      <c r="F402" t="s">
        <v>4</v>
      </c>
      <c r="G402" t="str">
        <f t="shared" si="6"/>
        <v>2023-02</v>
      </c>
    </row>
    <row r="403" spans="1:7" x14ac:dyDescent="0.3">
      <c r="A403">
        <v>4035</v>
      </c>
      <c r="B403" t="s">
        <v>40</v>
      </c>
      <c r="C403" s="7">
        <v>106.80769230769199</v>
      </c>
      <c r="D403" s="1">
        <v>45191</v>
      </c>
      <c r="E403" s="29">
        <v>3</v>
      </c>
      <c r="F403" t="s">
        <v>4</v>
      </c>
      <c r="G403" t="str">
        <f t="shared" si="6"/>
        <v>2023-09</v>
      </c>
    </row>
    <row r="404" spans="1:7" x14ac:dyDescent="0.3">
      <c r="A404">
        <v>4084</v>
      </c>
      <c r="B404" t="s">
        <v>7</v>
      </c>
      <c r="C404" s="7">
        <v>99.697674418604606</v>
      </c>
      <c r="D404" s="1">
        <v>44942</v>
      </c>
      <c r="E404" s="29">
        <v>4</v>
      </c>
      <c r="F404" t="s">
        <v>4</v>
      </c>
      <c r="G404" t="str">
        <f t="shared" si="6"/>
        <v>2023-01</v>
      </c>
    </row>
    <row r="405" spans="1:7" x14ac:dyDescent="0.3">
      <c r="A405">
        <v>4093</v>
      </c>
      <c r="B405" t="s">
        <v>48</v>
      </c>
      <c r="C405" s="7">
        <v>157</v>
      </c>
      <c r="D405" s="1">
        <v>45155</v>
      </c>
      <c r="E405" s="29">
        <v>1</v>
      </c>
      <c r="F405" t="s">
        <v>4</v>
      </c>
      <c r="G405" t="str">
        <f t="shared" si="6"/>
        <v>2023-08</v>
      </c>
    </row>
    <row r="406" spans="1:7" x14ac:dyDescent="0.3">
      <c r="A406">
        <v>4072</v>
      </c>
      <c r="B406" t="s">
        <v>42</v>
      </c>
      <c r="C406" s="7">
        <v>23</v>
      </c>
      <c r="D406" s="1">
        <v>44935</v>
      </c>
      <c r="E406" s="29">
        <v>2.4</v>
      </c>
      <c r="F406" t="s">
        <v>4</v>
      </c>
      <c r="G406" t="str">
        <f t="shared" si="6"/>
        <v>2023-01</v>
      </c>
    </row>
    <row r="407" spans="1:7" x14ac:dyDescent="0.3">
      <c r="A407">
        <v>3961</v>
      </c>
      <c r="B407" t="s">
        <v>22</v>
      </c>
      <c r="C407" s="7">
        <v>107.949152542372</v>
      </c>
      <c r="D407" s="1">
        <v>44961</v>
      </c>
      <c r="E407" s="29">
        <v>3.3</v>
      </c>
      <c r="F407" t="s">
        <v>1</v>
      </c>
      <c r="G407" t="str">
        <f t="shared" si="6"/>
        <v>2023-02</v>
      </c>
    </row>
    <row r="408" spans="1:7" x14ac:dyDescent="0.3">
      <c r="A408">
        <v>3966</v>
      </c>
      <c r="B408" t="s">
        <v>20</v>
      </c>
      <c r="C408" s="7">
        <v>87</v>
      </c>
      <c r="D408" s="1">
        <v>44934</v>
      </c>
      <c r="E408" s="29">
        <v>3.3</v>
      </c>
      <c r="F408" t="s">
        <v>4</v>
      </c>
      <c r="G408" t="str">
        <f t="shared" si="6"/>
        <v>2023-01</v>
      </c>
    </row>
    <row r="409" spans="1:7" x14ac:dyDescent="0.3">
      <c r="A409">
        <v>4043</v>
      </c>
      <c r="B409" t="s">
        <v>3</v>
      </c>
      <c r="C409" s="7">
        <v>100.679999999999</v>
      </c>
      <c r="D409" s="1">
        <v>44919</v>
      </c>
      <c r="E409" s="29">
        <v>1.5</v>
      </c>
      <c r="F409" t="s">
        <v>4</v>
      </c>
      <c r="G409" t="str">
        <f t="shared" si="6"/>
        <v>2022-12</v>
      </c>
    </row>
    <row r="410" spans="1:7" x14ac:dyDescent="0.3">
      <c r="A410">
        <v>3971</v>
      </c>
      <c r="B410" t="s">
        <v>3</v>
      </c>
      <c r="C410" s="7">
        <v>152</v>
      </c>
      <c r="D410" s="1">
        <v>44986</v>
      </c>
      <c r="E410" s="29">
        <v>3.2285714285714202</v>
      </c>
      <c r="F410" t="s">
        <v>1</v>
      </c>
      <c r="G410" t="str">
        <f t="shared" si="6"/>
        <v>2023-03</v>
      </c>
    </row>
    <row r="411" spans="1:7" x14ac:dyDescent="0.3">
      <c r="A411">
        <v>4043</v>
      </c>
      <c r="B411" t="s">
        <v>19</v>
      </c>
      <c r="C411" s="7">
        <v>165</v>
      </c>
      <c r="D411" s="1">
        <v>44962</v>
      </c>
      <c r="E411" s="29">
        <v>1.7</v>
      </c>
      <c r="F411" t="s">
        <v>1</v>
      </c>
      <c r="G411" t="str">
        <f t="shared" si="6"/>
        <v>2023-02</v>
      </c>
    </row>
    <row r="412" spans="1:7" x14ac:dyDescent="0.3">
      <c r="A412">
        <v>3967</v>
      </c>
      <c r="B412" t="s">
        <v>40</v>
      </c>
      <c r="C412" s="7">
        <v>168</v>
      </c>
      <c r="D412" s="1">
        <v>45037</v>
      </c>
      <c r="E412" s="29">
        <v>4.9000000000000004</v>
      </c>
      <c r="F412" t="s">
        <v>1</v>
      </c>
      <c r="G412" t="str">
        <f t="shared" si="6"/>
        <v>2023-04</v>
      </c>
    </row>
    <row r="413" spans="1:7" x14ac:dyDescent="0.3">
      <c r="A413">
        <v>4060</v>
      </c>
      <c r="B413" t="s">
        <v>13</v>
      </c>
      <c r="C413" s="7">
        <v>143</v>
      </c>
      <c r="D413" s="1">
        <v>44919</v>
      </c>
      <c r="E413" s="29">
        <v>4.2</v>
      </c>
      <c r="F413" t="s">
        <v>1</v>
      </c>
      <c r="G413" t="str">
        <f t="shared" si="6"/>
        <v>2022-12</v>
      </c>
    </row>
    <row r="414" spans="1:7" x14ac:dyDescent="0.3">
      <c r="A414">
        <v>3987</v>
      </c>
      <c r="B414" t="s">
        <v>22</v>
      </c>
      <c r="C414" s="7">
        <v>123</v>
      </c>
      <c r="D414" s="1">
        <v>45139</v>
      </c>
      <c r="E414" s="29">
        <v>2.5</v>
      </c>
      <c r="F414" t="s">
        <v>1</v>
      </c>
      <c r="G414" t="str">
        <f t="shared" si="6"/>
        <v>2023-08</v>
      </c>
    </row>
    <row r="415" spans="1:7" x14ac:dyDescent="0.3">
      <c r="A415">
        <v>4011</v>
      </c>
      <c r="B415" t="s">
        <v>24</v>
      </c>
      <c r="C415" s="7">
        <v>160</v>
      </c>
      <c r="D415" s="1">
        <v>45054</v>
      </c>
      <c r="E415" s="29">
        <v>3.1712328767123199</v>
      </c>
      <c r="F415" t="s">
        <v>4</v>
      </c>
      <c r="G415" t="str">
        <f t="shared" si="6"/>
        <v>2023-05</v>
      </c>
    </row>
    <row r="416" spans="1:7" x14ac:dyDescent="0.3">
      <c r="A416">
        <v>4090</v>
      </c>
      <c r="B416" t="s">
        <v>33</v>
      </c>
      <c r="C416" s="7">
        <v>88</v>
      </c>
      <c r="D416" s="1">
        <v>44903</v>
      </c>
      <c r="E416" s="29">
        <v>2</v>
      </c>
      <c r="F416" t="s">
        <v>4</v>
      </c>
      <c r="G416" t="str">
        <f t="shared" si="6"/>
        <v>2022-12</v>
      </c>
    </row>
    <row r="417" spans="1:7" x14ac:dyDescent="0.3">
      <c r="A417">
        <v>4074</v>
      </c>
      <c r="B417" t="s">
        <v>51</v>
      </c>
      <c r="C417" s="7">
        <v>25</v>
      </c>
      <c r="D417" s="1">
        <v>44839</v>
      </c>
      <c r="E417" s="29">
        <v>3.6</v>
      </c>
      <c r="F417" t="s">
        <v>1</v>
      </c>
      <c r="G417" t="str">
        <f t="shared" si="6"/>
        <v>2022-10</v>
      </c>
    </row>
    <row r="418" spans="1:7" x14ac:dyDescent="0.3">
      <c r="A418">
        <v>4094</v>
      </c>
      <c r="B418" t="s">
        <v>37</v>
      </c>
      <c r="C418" s="7">
        <v>199</v>
      </c>
      <c r="D418" s="1">
        <v>45111</v>
      </c>
      <c r="E418" s="29">
        <v>1.8</v>
      </c>
      <c r="F418" t="s">
        <v>1</v>
      </c>
      <c r="G418" t="str">
        <f t="shared" si="6"/>
        <v>2023-07</v>
      </c>
    </row>
    <row r="419" spans="1:7" x14ac:dyDescent="0.3">
      <c r="A419">
        <v>3995</v>
      </c>
      <c r="B419" t="s">
        <v>47</v>
      </c>
      <c r="C419" s="7">
        <v>106.297872340425</v>
      </c>
      <c r="D419" s="1">
        <v>44849</v>
      </c>
      <c r="E419" s="29">
        <v>1.5</v>
      </c>
      <c r="F419" t="s">
        <v>4</v>
      </c>
      <c r="G419" t="str">
        <f t="shared" si="6"/>
        <v>2022-10</v>
      </c>
    </row>
    <row r="420" spans="1:7" x14ac:dyDescent="0.3">
      <c r="A420">
        <v>4105</v>
      </c>
      <c r="B420" t="s">
        <v>17</v>
      </c>
      <c r="C420" s="7">
        <v>170</v>
      </c>
      <c r="D420" s="1">
        <v>45013</v>
      </c>
      <c r="E420" s="29">
        <v>3.22399999999999</v>
      </c>
      <c r="F420" t="s">
        <v>4</v>
      </c>
      <c r="G420" t="str">
        <f t="shared" si="6"/>
        <v>2023-03</v>
      </c>
    </row>
    <row r="421" spans="1:7" x14ac:dyDescent="0.3">
      <c r="A421">
        <v>4016</v>
      </c>
      <c r="B421" t="s">
        <v>40</v>
      </c>
      <c r="C421" s="7">
        <v>179</v>
      </c>
      <c r="D421" s="1">
        <v>45124</v>
      </c>
      <c r="E421" s="29">
        <v>1.7</v>
      </c>
      <c r="F421" t="s">
        <v>1</v>
      </c>
      <c r="G421" t="str">
        <f t="shared" si="6"/>
        <v>2023-07</v>
      </c>
    </row>
    <row r="422" spans="1:7" x14ac:dyDescent="0.3">
      <c r="A422">
        <v>3975</v>
      </c>
      <c r="B422" t="s">
        <v>12</v>
      </c>
      <c r="C422" s="7">
        <v>103.354166666666</v>
      </c>
      <c r="D422" s="1">
        <v>45111</v>
      </c>
      <c r="E422" s="29">
        <v>2.2999999999999998</v>
      </c>
      <c r="F422" t="s">
        <v>1</v>
      </c>
      <c r="G422" t="str">
        <f t="shared" si="6"/>
        <v>2023-07</v>
      </c>
    </row>
    <row r="423" spans="1:7" x14ac:dyDescent="0.3">
      <c r="A423">
        <v>3966</v>
      </c>
      <c r="B423" t="s">
        <v>25</v>
      </c>
      <c r="C423" s="7">
        <v>151</v>
      </c>
      <c r="D423" s="1">
        <v>45166</v>
      </c>
      <c r="E423" s="29">
        <v>1.8</v>
      </c>
      <c r="F423" t="s">
        <v>1</v>
      </c>
      <c r="G423" t="str">
        <f t="shared" si="6"/>
        <v>2023-08</v>
      </c>
    </row>
    <row r="424" spans="1:7" x14ac:dyDescent="0.3">
      <c r="A424">
        <v>3993</v>
      </c>
      <c r="B424" t="s">
        <v>49</v>
      </c>
      <c r="C424" s="7">
        <v>114.217391304347</v>
      </c>
      <c r="D424" s="1">
        <v>44954</v>
      </c>
      <c r="E424" s="29">
        <v>1.7</v>
      </c>
      <c r="F424" t="s">
        <v>1</v>
      </c>
      <c r="G424" t="str">
        <f t="shared" si="6"/>
        <v>2023-01</v>
      </c>
    </row>
    <row r="425" spans="1:7" x14ac:dyDescent="0.3">
      <c r="A425">
        <v>4082</v>
      </c>
      <c r="B425" t="s">
        <v>11</v>
      </c>
      <c r="C425" s="7">
        <v>109.08474576271099</v>
      </c>
      <c r="D425" s="1">
        <v>44898</v>
      </c>
      <c r="E425" s="29">
        <v>3.8</v>
      </c>
      <c r="F425" t="s">
        <v>1</v>
      </c>
      <c r="G425" t="str">
        <f t="shared" si="6"/>
        <v>2022-12</v>
      </c>
    </row>
    <row r="426" spans="1:7" x14ac:dyDescent="0.3">
      <c r="A426">
        <v>3961</v>
      </c>
      <c r="B426" t="s">
        <v>18</v>
      </c>
      <c r="C426" s="7">
        <v>162</v>
      </c>
      <c r="D426" s="1">
        <v>44900</v>
      </c>
      <c r="E426" s="29">
        <v>3</v>
      </c>
      <c r="F426" t="s">
        <v>1</v>
      </c>
      <c r="G426" t="str">
        <f t="shared" si="6"/>
        <v>2022-12</v>
      </c>
    </row>
    <row r="427" spans="1:7" x14ac:dyDescent="0.3">
      <c r="A427">
        <v>4077</v>
      </c>
      <c r="B427" t="s">
        <v>5</v>
      </c>
      <c r="C427" s="7">
        <v>18</v>
      </c>
      <c r="D427" s="1">
        <v>44973</v>
      </c>
      <c r="E427" s="29">
        <v>2.4</v>
      </c>
      <c r="F427" t="s">
        <v>4</v>
      </c>
      <c r="G427" t="str">
        <f t="shared" si="6"/>
        <v>2023-02</v>
      </c>
    </row>
    <row r="428" spans="1:7" x14ac:dyDescent="0.3">
      <c r="A428">
        <v>4115</v>
      </c>
      <c r="B428" t="s">
        <v>46</v>
      </c>
      <c r="C428" s="7">
        <v>190</v>
      </c>
      <c r="D428" s="1">
        <v>44974</v>
      </c>
      <c r="E428" s="29">
        <v>2.8</v>
      </c>
      <c r="F428" t="s">
        <v>4</v>
      </c>
      <c r="G428" t="str">
        <f t="shared" si="6"/>
        <v>2023-02</v>
      </c>
    </row>
    <row r="429" spans="1:7" x14ac:dyDescent="0.3">
      <c r="A429">
        <v>3968</v>
      </c>
      <c r="B429" t="s">
        <v>22</v>
      </c>
      <c r="C429" s="7">
        <v>126</v>
      </c>
      <c r="D429" s="1">
        <v>44882</v>
      </c>
      <c r="E429" s="29">
        <v>4.3</v>
      </c>
      <c r="F429" t="s">
        <v>1</v>
      </c>
      <c r="G429" t="str">
        <f t="shared" si="6"/>
        <v>2022-11</v>
      </c>
    </row>
    <row r="430" spans="1:7" x14ac:dyDescent="0.3">
      <c r="A430">
        <v>4019</v>
      </c>
      <c r="B430" t="s">
        <v>42</v>
      </c>
      <c r="C430" s="7">
        <v>114.396551724137</v>
      </c>
      <c r="D430" s="1">
        <v>44918</v>
      </c>
      <c r="E430" s="29">
        <v>2.9761904761904701</v>
      </c>
      <c r="F430" t="s">
        <v>1</v>
      </c>
      <c r="G430" t="str">
        <f t="shared" si="6"/>
        <v>2022-12</v>
      </c>
    </row>
    <row r="431" spans="1:7" x14ac:dyDescent="0.3">
      <c r="A431">
        <v>3990</v>
      </c>
      <c r="B431" t="s">
        <v>22</v>
      </c>
      <c r="C431" s="7">
        <v>77</v>
      </c>
      <c r="D431" s="1">
        <v>45132</v>
      </c>
      <c r="E431" s="29">
        <v>2.5</v>
      </c>
      <c r="F431" t="s">
        <v>1</v>
      </c>
      <c r="G431" t="str">
        <f t="shared" si="6"/>
        <v>2023-07</v>
      </c>
    </row>
    <row r="432" spans="1:7" x14ac:dyDescent="0.3">
      <c r="A432">
        <v>3960</v>
      </c>
      <c r="B432" t="s">
        <v>48</v>
      </c>
      <c r="C432" s="7">
        <v>170</v>
      </c>
      <c r="D432" s="1">
        <v>44865</v>
      </c>
      <c r="E432" s="29">
        <v>1.8</v>
      </c>
      <c r="F432" t="s">
        <v>4</v>
      </c>
      <c r="G432" t="str">
        <f t="shared" si="6"/>
        <v>2022-10</v>
      </c>
    </row>
    <row r="433" spans="1:7" x14ac:dyDescent="0.3">
      <c r="A433">
        <v>4001</v>
      </c>
      <c r="B433" t="s">
        <v>22</v>
      </c>
      <c r="C433" s="7">
        <v>60</v>
      </c>
      <c r="D433" s="1">
        <v>45063</v>
      </c>
      <c r="E433" s="29">
        <v>2.4</v>
      </c>
      <c r="F433" t="s">
        <v>4</v>
      </c>
      <c r="G433" t="str">
        <f t="shared" si="6"/>
        <v>2023-05</v>
      </c>
    </row>
    <row r="434" spans="1:7" x14ac:dyDescent="0.3">
      <c r="A434">
        <v>4118</v>
      </c>
      <c r="B434" t="s">
        <v>10</v>
      </c>
      <c r="C434" s="7">
        <v>149</v>
      </c>
      <c r="D434" s="1">
        <v>45006</v>
      </c>
      <c r="E434" s="29">
        <v>4.2</v>
      </c>
      <c r="F434" t="s">
        <v>4</v>
      </c>
      <c r="G434" t="str">
        <f t="shared" si="6"/>
        <v>2023-03</v>
      </c>
    </row>
    <row r="435" spans="1:7" x14ac:dyDescent="0.3">
      <c r="A435">
        <v>3969</v>
      </c>
      <c r="B435" t="s">
        <v>20</v>
      </c>
      <c r="C435" s="7">
        <v>48</v>
      </c>
      <c r="D435" s="1">
        <v>45142</v>
      </c>
      <c r="E435" s="29">
        <v>3.8</v>
      </c>
      <c r="F435" t="s">
        <v>4</v>
      </c>
      <c r="G435" t="str">
        <f t="shared" si="6"/>
        <v>2023-08</v>
      </c>
    </row>
    <row r="436" spans="1:7" x14ac:dyDescent="0.3">
      <c r="A436">
        <v>4035</v>
      </c>
      <c r="B436" t="s">
        <v>27</v>
      </c>
      <c r="C436" s="7">
        <v>46</v>
      </c>
      <c r="D436" s="1">
        <v>45037</v>
      </c>
      <c r="E436" s="29">
        <v>4.3</v>
      </c>
      <c r="F436" t="s">
        <v>1</v>
      </c>
      <c r="G436" t="str">
        <f t="shared" si="6"/>
        <v>2023-04</v>
      </c>
    </row>
    <row r="437" spans="1:7" x14ac:dyDescent="0.3">
      <c r="A437">
        <v>3981</v>
      </c>
      <c r="B437" t="s">
        <v>5</v>
      </c>
      <c r="C437" s="7">
        <v>98.967741935483801</v>
      </c>
      <c r="D437" s="1">
        <v>44996</v>
      </c>
      <c r="E437" s="29">
        <v>1.4</v>
      </c>
      <c r="F437" t="s">
        <v>1</v>
      </c>
      <c r="G437" t="str">
        <f t="shared" si="6"/>
        <v>2023-03</v>
      </c>
    </row>
    <row r="438" spans="1:7" x14ac:dyDescent="0.3">
      <c r="A438">
        <v>4073</v>
      </c>
      <c r="B438" t="s">
        <v>30</v>
      </c>
      <c r="C438" s="7">
        <v>99.866666666666603</v>
      </c>
      <c r="D438" s="1">
        <v>45149</v>
      </c>
      <c r="E438" s="29">
        <v>2</v>
      </c>
      <c r="F438" t="s">
        <v>1</v>
      </c>
      <c r="G438" t="str">
        <f t="shared" si="6"/>
        <v>2023-08</v>
      </c>
    </row>
    <row r="439" spans="1:7" x14ac:dyDescent="0.3">
      <c r="A439">
        <v>4113</v>
      </c>
      <c r="B439" t="s">
        <v>33</v>
      </c>
      <c r="C439" s="7">
        <v>155</v>
      </c>
      <c r="D439" s="1">
        <v>45143</v>
      </c>
      <c r="E439" s="29">
        <v>1.1000000000000001</v>
      </c>
      <c r="F439" t="s">
        <v>1</v>
      </c>
      <c r="G439" t="str">
        <f t="shared" si="6"/>
        <v>2023-08</v>
      </c>
    </row>
    <row r="440" spans="1:7" x14ac:dyDescent="0.3">
      <c r="A440">
        <v>4000</v>
      </c>
      <c r="B440" t="s">
        <v>24</v>
      </c>
      <c r="C440" s="7">
        <v>122</v>
      </c>
      <c r="D440" s="1">
        <v>45150</v>
      </c>
      <c r="E440" s="29">
        <v>3.6</v>
      </c>
      <c r="F440" t="s">
        <v>4</v>
      </c>
      <c r="G440" t="str">
        <f t="shared" si="6"/>
        <v>2023-08</v>
      </c>
    </row>
    <row r="441" spans="1:7" x14ac:dyDescent="0.3">
      <c r="A441">
        <v>4108</v>
      </c>
      <c r="B441" t="s">
        <v>9</v>
      </c>
      <c r="C441" s="7">
        <v>103.564102564102</v>
      </c>
      <c r="D441" s="1">
        <v>44904</v>
      </c>
      <c r="E441" s="29">
        <v>1.6</v>
      </c>
      <c r="F441" t="s">
        <v>4</v>
      </c>
      <c r="G441" t="str">
        <f t="shared" si="6"/>
        <v>2022-12</v>
      </c>
    </row>
    <row r="442" spans="1:7" x14ac:dyDescent="0.3">
      <c r="A442">
        <v>3973</v>
      </c>
      <c r="B442" t="s">
        <v>18</v>
      </c>
      <c r="C442" s="7">
        <v>189</v>
      </c>
      <c r="D442" s="1">
        <v>44864</v>
      </c>
      <c r="E442" s="29">
        <v>2.5</v>
      </c>
      <c r="F442" t="s">
        <v>1</v>
      </c>
      <c r="G442" t="str">
        <f t="shared" si="6"/>
        <v>2022-10</v>
      </c>
    </row>
    <row r="443" spans="1:7" x14ac:dyDescent="0.3">
      <c r="A443">
        <v>3984</v>
      </c>
      <c r="B443" t="s">
        <v>41</v>
      </c>
      <c r="C443" s="7">
        <v>79</v>
      </c>
      <c r="D443" s="1">
        <v>44896</v>
      </c>
      <c r="E443" s="29">
        <v>3.4</v>
      </c>
      <c r="F443" t="s">
        <v>4</v>
      </c>
      <c r="G443" t="str">
        <f t="shared" si="6"/>
        <v>2022-12</v>
      </c>
    </row>
    <row r="444" spans="1:7" x14ac:dyDescent="0.3">
      <c r="A444">
        <v>3986</v>
      </c>
      <c r="B444" t="s">
        <v>49</v>
      </c>
      <c r="C444" s="7">
        <v>136</v>
      </c>
      <c r="D444" s="1">
        <v>44909</v>
      </c>
      <c r="E444" s="29">
        <v>3.2020408163265301</v>
      </c>
      <c r="F444" t="s">
        <v>4</v>
      </c>
      <c r="G444" t="str">
        <f t="shared" si="6"/>
        <v>2022-12</v>
      </c>
    </row>
    <row r="445" spans="1:7" x14ac:dyDescent="0.3">
      <c r="A445">
        <v>4084</v>
      </c>
      <c r="B445" t="s">
        <v>6</v>
      </c>
      <c r="C445" s="7">
        <v>163</v>
      </c>
      <c r="D445" s="1">
        <v>44960</v>
      </c>
      <c r="E445" s="29">
        <v>3.5</v>
      </c>
      <c r="F445" t="s">
        <v>1</v>
      </c>
      <c r="G445" t="str">
        <f t="shared" si="6"/>
        <v>2023-02</v>
      </c>
    </row>
    <row r="446" spans="1:7" x14ac:dyDescent="0.3">
      <c r="A446">
        <v>4109</v>
      </c>
      <c r="B446" t="s">
        <v>29</v>
      </c>
      <c r="C446" s="7">
        <v>108.734693877551</v>
      </c>
      <c r="D446" s="1">
        <v>45090</v>
      </c>
      <c r="E446" s="29">
        <v>1</v>
      </c>
      <c r="F446" t="s">
        <v>1</v>
      </c>
      <c r="G446" t="str">
        <f t="shared" si="6"/>
        <v>2023-06</v>
      </c>
    </row>
    <row r="447" spans="1:7" x14ac:dyDescent="0.3">
      <c r="A447">
        <v>4114</v>
      </c>
      <c r="B447" t="s">
        <v>0</v>
      </c>
      <c r="C447" s="7">
        <v>92</v>
      </c>
      <c r="D447" s="1">
        <v>45041</v>
      </c>
      <c r="E447" s="29">
        <v>2.2999999999999998</v>
      </c>
      <c r="F447" t="s">
        <v>1</v>
      </c>
      <c r="G447" t="str">
        <f t="shared" si="6"/>
        <v>2023-04</v>
      </c>
    </row>
    <row r="448" spans="1:7" x14ac:dyDescent="0.3">
      <c r="A448">
        <v>4013</v>
      </c>
      <c r="B448" t="s">
        <v>9</v>
      </c>
      <c r="C448" s="7">
        <v>16</v>
      </c>
      <c r="D448" s="1">
        <v>44937</v>
      </c>
      <c r="E448" s="29">
        <v>1.4</v>
      </c>
      <c r="F448" t="s">
        <v>1</v>
      </c>
      <c r="G448" t="str">
        <f t="shared" si="6"/>
        <v>2023-01</v>
      </c>
    </row>
    <row r="449" spans="1:7" x14ac:dyDescent="0.3">
      <c r="A449">
        <v>3973</v>
      </c>
      <c r="B449" t="s">
        <v>25</v>
      </c>
      <c r="C449" s="7">
        <v>112.745762711864</v>
      </c>
      <c r="D449" s="1">
        <v>44874</v>
      </c>
      <c r="E449" s="29">
        <v>2.2000000000000002</v>
      </c>
      <c r="F449" t="s">
        <v>1</v>
      </c>
      <c r="G449" t="str">
        <f t="shared" si="6"/>
        <v>2022-11</v>
      </c>
    </row>
    <row r="450" spans="1:7" x14ac:dyDescent="0.3">
      <c r="A450">
        <v>4008</v>
      </c>
      <c r="B450" t="s">
        <v>47</v>
      </c>
      <c r="C450" s="7">
        <v>157</v>
      </c>
      <c r="D450" s="1">
        <v>45082</v>
      </c>
      <c r="E450" s="29">
        <v>1.7</v>
      </c>
      <c r="F450" t="s">
        <v>1</v>
      </c>
      <c r="G450" t="str">
        <f t="shared" si="6"/>
        <v>2023-06</v>
      </c>
    </row>
    <row r="451" spans="1:7" x14ac:dyDescent="0.3">
      <c r="A451">
        <v>4066</v>
      </c>
      <c r="B451" t="s">
        <v>8</v>
      </c>
      <c r="C451" s="7">
        <v>15</v>
      </c>
      <c r="D451" s="1">
        <v>45071</v>
      </c>
      <c r="E451" s="29">
        <v>2.9230769230769198</v>
      </c>
      <c r="F451" t="s">
        <v>4</v>
      </c>
      <c r="G451" t="str">
        <f t="shared" ref="G451:G514" si="7">TEXT(D451,"ГГГГ-ММ")</f>
        <v>2023-05</v>
      </c>
    </row>
    <row r="452" spans="1:7" x14ac:dyDescent="0.3">
      <c r="A452">
        <v>4043</v>
      </c>
      <c r="B452" t="s">
        <v>8</v>
      </c>
      <c r="C452" s="7">
        <v>182</v>
      </c>
      <c r="D452" s="1">
        <v>44994</v>
      </c>
      <c r="E452" s="29">
        <v>2.8</v>
      </c>
      <c r="F452" t="s">
        <v>4</v>
      </c>
      <c r="G452" t="str">
        <f t="shared" si="7"/>
        <v>2023-03</v>
      </c>
    </row>
    <row r="453" spans="1:7" x14ac:dyDescent="0.3">
      <c r="A453">
        <v>4059</v>
      </c>
      <c r="B453" t="s">
        <v>5</v>
      </c>
      <c r="C453" s="7">
        <v>157</v>
      </c>
      <c r="D453" s="1">
        <v>45137</v>
      </c>
      <c r="E453" s="29">
        <v>2.7</v>
      </c>
      <c r="F453" t="s">
        <v>4</v>
      </c>
      <c r="G453" t="str">
        <f t="shared" si="7"/>
        <v>2023-07</v>
      </c>
    </row>
    <row r="454" spans="1:7" x14ac:dyDescent="0.3">
      <c r="A454">
        <v>4040</v>
      </c>
      <c r="B454" t="s">
        <v>25</v>
      </c>
      <c r="C454" s="7">
        <v>112.745762711864</v>
      </c>
      <c r="D454" s="1">
        <v>45026</v>
      </c>
      <c r="E454" s="29">
        <v>4.3</v>
      </c>
      <c r="F454" t="s">
        <v>1</v>
      </c>
      <c r="G454" t="str">
        <f t="shared" si="7"/>
        <v>2023-04</v>
      </c>
    </row>
    <row r="455" spans="1:7" x14ac:dyDescent="0.3">
      <c r="A455">
        <v>3987</v>
      </c>
      <c r="B455" t="s">
        <v>0</v>
      </c>
      <c r="C455" s="7">
        <v>130</v>
      </c>
      <c r="D455" s="1">
        <v>44978</v>
      </c>
      <c r="E455" s="29">
        <v>2.5</v>
      </c>
      <c r="F455" t="s">
        <v>1</v>
      </c>
      <c r="G455" t="str">
        <f t="shared" si="7"/>
        <v>2023-02</v>
      </c>
    </row>
    <row r="456" spans="1:7" x14ac:dyDescent="0.3">
      <c r="A456">
        <v>4104</v>
      </c>
      <c r="B456" t="s">
        <v>0</v>
      </c>
      <c r="C456" s="7">
        <v>123</v>
      </c>
      <c r="D456" s="1">
        <v>44917</v>
      </c>
      <c r="E456" s="29">
        <v>3.7</v>
      </c>
      <c r="F456" t="s">
        <v>1</v>
      </c>
      <c r="G456" t="str">
        <f t="shared" si="7"/>
        <v>2022-12</v>
      </c>
    </row>
    <row r="457" spans="1:7" x14ac:dyDescent="0.3">
      <c r="A457">
        <v>4096</v>
      </c>
      <c r="B457" t="s">
        <v>35</v>
      </c>
      <c r="C457" s="7">
        <v>56</v>
      </c>
      <c r="D457" s="1">
        <v>44869</v>
      </c>
      <c r="E457" s="29">
        <v>4.9000000000000004</v>
      </c>
      <c r="F457" t="s">
        <v>4</v>
      </c>
      <c r="G457" t="str">
        <f t="shared" si="7"/>
        <v>2022-11</v>
      </c>
    </row>
    <row r="458" spans="1:7" x14ac:dyDescent="0.3">
      <c r="A458">
        <v>3992</v>
      </c>
      <c r="B458" t="s">
        <v>37</v>
      </c>
      <c r="C458" s="7">
        <v>121</v>
      </c>
      <c r="D458" s="1">
        <v>44843</v>
      </c>
      <c r="E458" s="29">
        <v>4.0999999999999996</v>
      </c>
      <c r="F458" t="s">
        <v>1</v>
      </c>
      <c r="G458" t="str">
        <f t="shared" si="7"/>
        <v>2022-10</v>
      </c>
    </row>
    <row r="459" spans="1:7" x14ac:dyDescent="0.3">
      <c r="A459">
        <v>4039</v>
      </c>
      <c r="B459" t="s">
        <v>18</v>
      </c>
      <c r="C459" s="7">
        <v>135</v>
      </c>
      <c r="D459" s="1">
        <v>45032</v>
      </c>
      <c r="E459" s="29">
        <v>3</v>
      </c>
      <c r="F459" t="s">
        <v>1</v>
      </c>
      <c r="G459" t="str">
        <f t="shared" si="7"/>
        <v>2023-04</v>
      </c>
    </row>
    <row r="460" spans="1:7" x14ac:dyDescent="0.3">
      <c r="A460">
        <v>4011</v>
      </c>
      <c r="B460" t="s">
        <v>18</v>
      </c>
      <c r="C460" s="7">
        <v>130</v>
      </c>
      <c r="D460" s="1">
        <v>44929</v>
      </c>
      <c r="E460" s="29">
        <v>4.0999999999999996</v>
      </c>
      <c r="F460" t="s">
        <v>4</v>
      </c>
      <c r="G460" t="str">
        <f t="shared" si="7"/>
        <v>2023-01</v>
      </c>
    </row>
    <row r="461" spans="1:7" x14ac:dyDescent="0.3">
      <c r="A461">
        <v>3968</v>
      </c>
      <c r="B461" t="s">
        <v>46</v>
      </c>
      <c r="C461" s="7">
        <v>95</v>
      </c>
      <c r="D461" s="1">
        <v>45140</v>
      </c>
      <c r="E461" s="29">
        <v>2.6</v>
      </c>
      <c r="F461" t="s">
        <v>1</v>
      </c>
      <c r="G461" t="str">
        <f t="shared" si="7"/>
        <v>2023-08</v>
      </c>
    </row>
    <row r="462" spans="1:7" x14ac:dyDescent="0.3">
      <c r="A462">
        <v>4108</v>
      </c>
      <c r="B462" t="s">
        <v>48</v>
      </c>
      <c r="C462" s="7">
        <v>36</v>
      </c>
      <c r="D462" s="1">
        <v>44973</v>
      </c>
      <c r="E462" s="29">
        <v>2.9</v>
      </c>
      <c r="F462" t="s">
        <v>4</v>
      </c>
      <c r="G462" t="str">
        <f t="shared" si="7"/>
        <v>2023-02</v>
      </c>
    </row>
    <row r="463" spans="1:7" x14ac:dyDescent="0.3">
      <c r="A463">
        <v>4001</v>
      </c>
      <c r="B463" t="s">
        <v>16</v>
      </c>
      <c r="C463" s="7">
        <v>94</v>
      </c>
      <c r="D463" s="1">
        <v>45164</v>
      </c>
      <c r="E463" s="29">
        <v>4.7</v>
      </c>
      <c r="F463" t="s">
        <v>1</v>
      </c>
      <c r="G463" t="str">
        <f t="shared" si="7"/>
        <v>2023-08</v>
      </c>
    </row>
    <row r="464" spans="1:7" x14ac:dyDescent="0.3">
      <c r="A464">
        <v>4042</v>
      </c>
      <c r="B464" t="s">
        <v>33</v>
      </c>
      <c r="C464" s="7">
        <v>136</v>
      </c>
      <c r="D464" s="1">
        <v>44883</v>
      </c>
      <c r="E464" s="29">
        <v>4.9000000000000004</v>
      </c>
      <c r="F464" t="s">
        <v>1</v>
      </c>
      <c r="G464" t="str">
        <f t="shared" si="7"/>
        <v>2022-11</v>
      </c>
    </row>
    <row r="465" spans="1:7" x14ac:dyDescent="0.3">
      <c r="A465">
        <v>3973</v>
      </c>
      <c r="B465" t="s">
        <v>48</v>
      </c>
      <c r="C465" s="7">
        <v>112</v>
      </c>
      <c r="D465" s="1">
        <v>45125</v>
      </c>
      <c r="E465" s="29">
        <v>1.8</v>
      </c>
      <c r="F465" t="s">
        <v>4</v>
      </c>
      <c r="G465" t="str">
        <f t="shared" si="7"/>
        <v>2023-07</v>
      </c>
    </row>
    <row r="466" spans="1:7" x14ac:dyDescent="0.3">
      <c r="A466">
        <v>3987</v>
      </c>
      <c r="B466" t="s">
        <v>33</v>
      </c>
      <c r="C466" s="7">
        <v>150</v>
      </c>
      <c r="D466" s="1">
        <v>44940</v>
      </c>
      <c r="E466" s="29">
        <v>4</v>
      </c>
      <c r="F466" t="s">
        <v>4</v>
      </c>
      <c r="G466" t="str">
        <f t="shared" si="7"/>
        <v>2023-01</v>
      </c>
    </row>
    <row r="467" spans="1:7" x14ac:dyDescent="0.3">
      <c r="A467">
        <v>4027</v>
      </c>
      <c r="B467" t="s">
        <v>9</v>
      </c>
      <c r="C467" s="7">
        <v>103.564102564102</v>
      </c>
      <c r="D467" s="1">
        <v>45065</v>
      </c>
      <c r="E467" s="29">
        <v>2.2999999999999998</v>
      </c>
      <c r="F467" t="s">
        <v>4</v>
      </c>
      <c r="G467" t="str">
        <f t="shared" si="7"/>
        <v>2023-05</v>
      </c>
    </row>
    <row r="468" spans="1:7" x14ac:dyDescent="0.3">
      <c r="A468">
        <v>3993</v>
      </c>
      <c r="B468" t="s">
        <v>8</v>
      </c>
      <c r="C468" s="7">
        <v>105.81034482758599</v>
      </c>
      <c r="D468" s="1">
        <v>45011</v>
      </c>
      <c r="E468" s="29">
        <v>4.9000000000000004</v>
      </c>
      <c r="F468" t="s">
        <v>4</v>
      </c>
      <c r="G468" t="str">
        <f t="shared" si="7"/>
        <v>2023-03</v>
      </c>
    </row>
    <row r="469" spans="1:7" x14ac:dyDescent="0.3">
      <c r="A469">
        <v>4063</v>
      </c>
      <c r="B469" t="s">
        <v>34</v>
      </c>
      <c r="C469" s="7">
        <v>39</v>
      </c>
      <c r="D469" s="1">
        <v>45154</v>
      </c>
      <c r="E469" s="29">
        <v>4.0999999999999996</v>
      </c>
      <c r="F469" t="s">
        <v>1</v>
      </c>
      <c r="G469" t="str">
        <f t="shared" si="7"/>
        <v>2023-08</v>
      </c>
    </row>
    <row r="470" spans="1:7" x14ac:dyDescent="0.3">
      <c r="A470">
        <v>4000</v>
      </c>
      <c r="B470" t="s">
        <v>31</v>
      </c>
      <c r="C470" s="7">
        <v>113</v>
      </c>
      <c r="D470" s="1">
        <v>44886</v>
      </c>
      <c r="E470" s="29">
        <v>2.8</v>
      </c>
      <c r="F470" t="s">
        <v>4</v>
      </c>
      <c r="G470" t="str">
        <f t="shared" si="7"/>
        <v>2022-11</v>
      </c>
    </row>
    <row r="471" spans="1:7" x14ac:dyDescent="0.3">
      <c r="A471">
        <v>4051</v>
      </c>
      <c r="B471" t="s">
        <v>8</v>
      </c>
      <c r="C471" s="7">
        <v>10</v>
      </c>
      <c r="D471" s="1">
        <v>45136</v>
      </c>
      <c r="E471" s="29">
        <v>1</v>
      </c>
      <c r="F471" t="s">
        <v>4</v>
      </c>
      <c r="G471" t="str">
        <f t="shared" si="7"/>
        <v>2023-07</v>
      </c>
    </row>
    <row r="472" spans="1:7" x14ac:dyDescent="0.3">
      <c r="A472">
        <v>4098</v>
      </c>
      <c r="B472" t="s">
        <v>48</v>
      </c>
      <c r="C472" s="7">
        <v>148</v>
      </c>
      <c r="D472" s="1">
        <v>44903</v>
      </c>
      <c r="E472" s="29">
        <v>4.5</v>
      </c>
      <c r="F472" t="s">
        <v>1</v>
      </c>
      <c r="G472" t="str">
        <f t="shared" si="7"/>
        <v>2022-12</v>
      </c>
    </row>
    <row r="473" spans="1:7" x14ac:dyDescent="0.3">
      <c r="A473">
        <v>3999</v>
      </c>
      <c r="B473" t="s">
        <v>41</v>
      </c>
      <c r="C473" s="7">
        <v>23</v>
      </c>
      <c r="D473" s="1">
        <v>44928</v>
      </c>
      <c r="E473" s="29">
        <v>1.3</v>
      </c>
      <c r="F473" t="s">
        <v>4</v>
      </c>
      <c r="G473" t="str">
        <f t="shared" si="7"/>
        <v>2023-01</v>
      </c>
    </row>
    <row r="474" spans="1:7" x14ac:dyDescent="0.3">
      <c r="A474">
        <v>4069</v>
      </c>
      <c r="B474" t="s">
        <v>43</v>
      </c>
      <c r="C474" s="7">
        <v>117.354166666666</v>
      </c>
      <c r="D474" s="1">
        <v>45038</v>
      </c>
      <c r="E474" s="29">
        <v>1.8</v>
      </c>
      <c r="F474" t="s">
        <v>1</v>
      </c>
      <c r="G474" t="str">
        <f t="shared" si="7"/>
        <v>2023-04</v>
      </c>
    </row>
    <row r="475" spans="1:7" x14ac:dyDescent="0.3">
      <c r="A475">
        <v>4019</v>
      </c>
      <c r="B475" t="s">
        <v>10</v>
      </c>
      <c r="C475" s="7">
        <v>137</v>
      </c>
      <c r="D475" s="1">
        <v>45064</v>
      </c>
      <c r="E475" s="29">
        <v>2.91904761904761</v>
      </c>
      <c r="F475" t="s">
        <v>4</v>
      </c>
      <c r="G475" t="str">
        <f t="shared" si="7"/>
        <v>2023-05</v>
      </c>
    </row>
    <row r="476" spans="1:7" x14ac:dyDescent="0.3">
      <c r="A476">
        <v>4105</v>
      </c>
      <c r="B476" t="s">
        <v>12</v>
      </c>
      <c r="C476" s="7">
        <v>23</v>
      </c>
      <c r="D476" s="1">
        <v>44874</v>
      </c>
      <c r="E476" s="29">
        <v>3.7</v>
      </c>
      <c r="F476" t="s">
        <v>1</v>
      </c>
      <c r="G476" t="str">
        <f t="shared" si="7"/>
        <v>2022-11</v>
      </c>
    </row>
    <row r="477" spans="1:7" x14ac:dyDescent="0.3">
      <c r="A477">
        <v>3967</v>
      </c>
      <c r="B477" t="s">
        <v>25</v>
      </c>
      <c r="C477" s="7">
        <v>150</v>
      </c>
      <c r="D477" s="1">
        <v>45195</v>
      </c>
      <c r="E477" s="29">
        <v>2.5</v>
      </c>
      <c r="F477" t="s">
        <v>1</v>
      </c>
      <c r="G477" t="str">
        <f t="shared" si="7"/>
        <v>2023-09</v>
      </c>
    </row>
    <row r="478" spans="1:7" x14ac:dyDescent="0.3">
      <c r="A478">
        <v>3991</v>
      </c>
      <c r="B478" t="s">
        <v>41</v>
      </c>
      <c r="C478" s="7">
        <v>93.135593220338905</v>
      </c>
      <c r="D478" s="1">
        <v>44953</v>
      </c>
      <c r="E478" s="29">
        <v>2.4</v>
      </c>
      <c r="F478" t="s">
        <v>4</v>
      </c>
      <c r="G478" t="str">
        <f t="shared" si="7"/>
        <v>2023-01</v>
      </c>
    </row>
    <row r="479" spans="1:7" x14ac:dyDescent="0.3">
      <c r="A479">
        <v>3982</v>
      </c>
      <c r="B479" t="s">
        <v>8</v>
      </c>
      <c r="C479" s="7">
        <v>188</v>
      </c>
      <c r="D479" s="1">
        <v>44887</v>
      </c>
      <c r="E479" s="29">
        <v>3.7</v>
      </c>
      <c r="F479" t="s">
        <v>1</v>
      </c>
      <c r="G479" t="str">
        <f t="shared" si="7"/>
        <v>2022-11</v>
      </c>
    </row>
    <row r="480" spans="1:7" x14ac:dyDescent="0.3">
      <c r="A480">
        <v>4118</v>
      </c>
      <c r="B480" t="s">
        <v>28</v>
      </c>
      <c r="C480" s="7">
        <v>17</v>
      </c>
      <c r="D480" s="1">
        <v>45082</v>
      </c>
      <c r="E480" s="29">
        <v>4.7</v>
      </c>
      <c r="F480" t="s">
        <v>4</v>
      </c>
      <c r="G480" t="str">
        <f t="shared" si="7"/>
        <v>2023-06</v>
      </c>
    </row>
    <row r="481" spans="1:7" x14ac:dyDescent="0.3">
      <c r="A481">
        <v>4113</v>
      </c>
      <c r="B481" t="s">
        <v>39</v>
      </c>
      <c r="C481" s="7">
        <v>165</v>
      </c>
      <c r="D481" s="1">
        <v>45026</v>
      </c>
      <c r="E481" s="29">
        <v>4.3</v>
      </c>
      <c r="F481" t="s">
        <v>4</v>
      </c>
      <c r="G481" t="str">
        <f t="shared" si="7"/>
        <v>2023-04</v>
      </c>
    </row>
    <row r="482" spans="1:7" x14ac:dyDescent="0.3">
      <c r="A482">
        <v>4053</v>
      </c>
      <c r="B482" t="s">
        <v>21</v>
      </c>
      <c r="C482" s="7">
        <v>191</v>
      </c>
      <c r="D482" s="1">
        <v>44954</v>
      </c>
      <c r="E482" s="29">
        <v>4.0999999999999996</v>
      </c>
      <c r="F482" t="s">
        <v>1</v>
      </c>
      <c r="G482" t="str">
        <f t="shared" si="7"/>
        <v>2023-01</v>
      </c>
    </row>
    <row r="483" spans="1:7" x14ac:dyDescent="0.3">
      <c r="A483">
        <v>3997</v>
      </c>
      <c r="B483" t="s">
        <v>34</v>
      </c>
      <c r="C483" s="7">
        <v>110.431818181818</v>
      </c>
      <c r="D483" s="1">
        <v>45041</v>
      </c>
      <c r="E483" s="29">
        <v>3.01249999999999</v>
      </c>
      <c r="F483" t="s">
        <v>1</v>
      </c>
      <c r="G483" t="str">
        <f t="shared" si="7"/>
        <v>2023-04</v>
      </c>
    </row>
    <row r="484" spans="1:7" x14ac:dyDescent="0.3">
      <c r="A484">
        <v>3961</v>
      </c>
      <c r="B484" t="s">
        <v>20</v>
      </c>
      <c r="C484" s="7">
        <v>151</v>
      </c>
      <c r="D484" s="1">
        <v>44901</v>
      </c>
      <c r="E484" s="29">
        <v>4.0999999999999996</v>
      </c>
      <c r="F484" t="s">
        <v>1</v>
      </c>
      <c r="G484" t="str">
        <f t="shared" si="7"/>
        <v>2022-12</v>
      </c>
    </row>
    <row r="485" spans="1:7" x14ac:dyDescent="0.3">
      <c r="A485">
        <v>4081</v>
      </c>
      <c r="B485" t="s">
        <v>31</v>
      </c>
      <c r="C485" s="7">
        <v>67</v>
      </c>
      <c r="D485" s="1">
        <v>45052</v>
      </c>
      <c r="E485" s="29">
        <v>4.0999999999999996</v>
      </c>
      <c r="F485" t="s">
        <v>1</v>
      </c>
      <c r="G485" t="str">
        <f t="shared" si="7"/>
        <v>2023-05</v>
      </c>
    </row>
    <row r="486" spans="1:7" x14ac:dyDescent="0.3">
      <c r="A486">
        <v>3977</v>
      </c>
      <c r="B486" t="s">
        <v>25</v>
      </c>
      <c r="C486" s="7">
        <v>39</v>
      </c>
      <c r="D486" s="1">
        <v>44976</v>
      </c>
      <c r="E486" s="29">
        <v>4.3</v>
      </c>
      <c r="F486" t="s">
        <v>1</v>
      </c>
      <c r="G486" t="str">
        <f t="shared" si="7"/>
        <v>2023-02</v>
      </c>
    </row>
    <row r="487" spans="1:7" x14ac:dyDescent="0.3">
      <c r="A487">
        <v>3958</v>
      </c>
      <c r="B487" t="s">
        <v>37</v>
      </c>
      <c r="C487" s="7">
        <v>40</v>
      </c>
      <c r="D487" s="1">
        <v>45078</v>
      </c>
      <c r="E487" s="29">
        <v>2.7</v>
      </c>
      <c r="F487" t="s">
        <v>4</v>
      </c>
      <c r="G487" t="str">
        <f t="shared" si="7"/>
        <v>2023-06</v>
      </c>
    </row>
    <row r="488" spans="1:7" x14ac:dyDescent="0.3">
      <c r="A488">
        <v>3958</v>
      </c>
      <c r="B488" t="s">
        <v>12</v>
      </c>
      <c r="C488" s="7">
        <v>49</v>
      </c>
      <c r="D488" s="1">
        <v>44999</v>
      </c>
      <c r="E488" s="29">
        <v>1.3</v>
      </c>
      <c r="F488" t="s">
        <v>4</v>
      </c>
      <c r="G488" t="str">
        <f t="shared" si="7"/>
        <v>2023-03</v>
      </c>
    </row>
    <row r="489" spans="1:7" x14ac:dyDescent="0.3">
      <c r="A489">
        <v>4002</v>
      </c>
      <c r="B489" t="s">
        <v>49</v>
      </c>
      <c r="C489" s="7">
        <v>193</v>
      </c>
      <c r="D489" s="1">
        <v>44913</v>
      </c>
      <c r="E489" s="29">
        <v>4</v>
      </c>
      <c r="F489" t="s">
        <v>1</v>
      </c>
      <c r="G489" t="str">
        <f t="shared" si="7"/>
        <v>2022-12</v>
      </c>
    </row>
    <row r="490" spans="1:7" x14ac:dyDescent="0.3">
      <c r="A490">
        <v>3979</v>
      </c>
      <c r="B490" t="s">
        <v>43</v>
      </c>
      <c r="C490" s="7">
        <v>190</v>
      </c>
      <c r="D490" s="1">
        <v>45177</v>
      </c>
      <c r="E490" s="29">
        <v>1.9</v>
      </c>
      <c r="F490" t="s">
        <v>4</v>
      </c>
      <c r="G490" t="str">
        <f t="shared" si="7"/>
        <v>2023-09</v>
      </c>
    </row>
    <row r="491" spans="1:7" x14ac:dyDescent="0.3">
      <c r="A491">
        <v>4108</v>
      </c>
      <c r="B491" t="s">
        <v>23</v>
      </c>
      <c r="C491" s="7">
        <v>133</v>
      </c>
      <c r="D491" s="1">
        <v>45096</v>
      </c>
      <c r="E491" s="29">
        <v>4.0999999999999996</v>
      </c>
      <c r="F491" t="s">
        <v>1</v>
      </c>
      <c r="G491" t="str">
        <f t="shared" si="7"/>
        <v>2023-06</v>
      </c>
    </row>
    <row r="492" spans="1:7" x14ac:dyDescent="0.3">
      <c r="A492">
        <v>4029</v>
      </c>
      <c r="B492" t="s">
        <v>10</v>
      </c>
      <c r="C492" s="7">
        <v>72</v>
      </c>
      <c r="D492" s="1">
        <v>45158</v>
      </c>
      <c r="E492" s="29">
        <v>2.4</v>
      </c>
      <c r="F492" t="s">
        <v>1</v>
      </c>
      <c r="G492" t="str">
        <f t="shared" si="7"/>
        <v>2023-08</v>
      </c>
    </row>
    <row r="493" spans="1:7" x14ac:dyDescent="0.3">
      <c r="A493">
        <v>4063</v>
      </c>
      <c r="B493" t="s">
        <v>14</v>
      </c>
      <c r="C493" s="7">
        <v>47</v>
      </c>
      <c r="D493" s="1">
        <v>45040</v>
      </c>
      <c r="E493" s="29">
        <v>3.4</v>
      </c>
      <c r="F493" t="s">
        <v>1</v>
      </c>
      <c r="G493" t="str">
        <f t="shared" si="7"/>
        <v>2023-04</v>
      </c>
    </row>
    <row r="494" spans="1:7" x14ac:dyDescent="0.3">
      <c r="A494">
        <v>4078</v>
      </c>
      <c r="B494" t="s">
        <v>22</v>
      </c>
      <c r="C494" s="7">
        <v>163</v>
      </c>
      <c r="D494" s="1">
        <v>44964</v>
      </c>
      <c r="E494" s="29">
        <v>4.7</v>
      </c>
      <c r="F494" t="s">
        <v>1</v>
      </c>
      <c r="G494" t="str">
        <f t="shared" si="7"/>
        <v>2023-02</v>
      </c>
    </row>
    <row r="495" spans="1:7" x14ac:dyDescent="0.3">
      <c r="A495">
        <v>3989</v>
      </c>
      <c r="B495" t="s">
        <v>6</v>
      </c>
      <c r="C495" s="7">
        <v>44</v>
      </c>
      <c r="D495" s="1">
        <v>45032</v>
      </c>
      <c r="E495" s="29">
        <v>1.6</v>
      </c>
      <c r="F495" t="s">
        <v>4</v>
      </c>
      <c r="G495" t="str">
        <f t="shared" si="7"/>
        <v>2023-04</v>
      </c>
    </row>
    <row r="496" spans="1:7" x14ac:dyDescent="0.3">
      <c r="A496">
        <v>4009</v>
      </c>
      <c r="B496" t="s">
        <v>34</v>
      </c>
      <c r="C496" s="7">
        <v>80</v>
      </c>
      <c r="D496" s="1">
        <v>44888</v>
      </c>
      <c r="E496" s="29">
        <v>1.8</v>
      </c>
      <c r="F496" t="s">
        <v>4</v>
      </c>
      <c r="G496" t="str">
        <f t="shared" si="7"/>
        <v>2022-11</v>
      </c>
    </row>
    <row r="497" spans="1:7" x14ac:dyDescent="0.3">
      <c r="A497">
        <v>3993</v>
      </c>
      <c r="B497" t="s">
        <v>18</v>
      </c>
      <c r="C497" s="7">
        <v>116</v>
      </c>
      <c r="D497" s="1">
        <v>44908</v>
      </c>
      <c r="E497" s="29">
        <v>2.4</v>
      </c>
      <c r="F497" t="s">
        <v>1</v>
      </c>
      <c r="G497" t="str">
        <f t="shared" si="7"/>
        <v>2022-12</v>
      </c>
    </row>
    <row r="498" spans="1:7" x14ac:dyDescent="0.3">
      <c r="A498">
        <v>4120</v>
      </c>
      <c r="B498" t="s">
        <v>51</v>
      </c>
      <c r="C498" s="7">
        <v>139</v>
      </c>
      <c r="D498" s="1">
        <v>45195</v>
      </c>
      <c r="E498" s="29">
        <v>2.7</v>
      </c>
      <c r="F498" t="s">
        <v>1</v>
      </c>
      <c r="G498" t="str">
        <f t="shared" si="7"/>
        <v>2023-09</v>
      </c>
    </row>
    <row r="499" spans="1:7" x14ac:dyDescent="0.3">
      <c r="A499">
        <v>4026</v>
      </c>
      <c r="B499" t="s">
        <v>44</v>
      </c>
      <c r="C499" s="7">
        <v>10</v>
      </c>
      <c r="D499" s="1">
        <v>44849</v>
      </c>
      <c r="E499" s="29">
        <v>2.5</v>
      </c>
      <c r="F499" t="s">
        <v>1</v>
      </c>
      <c r="G499" t="str">
        <f t="shared" si="7"/>
        <v>2022-10</v>
      </c>
    </row>
    <row r="500" spans="1:7" x14ac:dyDescent="0.3">
      <c r="A500">
        <v>4090</v>
      </c>
      <c r="B500" t="s">
        <v>28</v>
      </c>
      <c r="C500" s="7">
        <v>86</v>
      </c>
      <c r="D500" s="1">
        <v>45153</v>
      </c>
      <c r="E500" s="29">
        <v>1.1000000000000001</v>
      </c>
      <c r="F500" t="s">
        <v>4</v>
      </c>
      <c r="G500" t="str">
        <f t="shared" si="7"/>
        <v>2023-08</v>
      </c>
    </row>
    <row r="501" spans="1:7" x14ac:dyDescent="0.3">
      <c r="A501">
        <v>4072</v>
      </c>
      <c r="B501" t="s">
        <v>20</v>
      </c>
      <c r="C501" s="7">
        <v>158</v>
      </c>
      <c r="D501" s="1">
        <v>45053</v>
      </c>
      <c r="E501" s="29">
        <v>2.7</v>
      </c>
      <c r="F501" t="s">
        <v>1</v>
      </c>
      <c r="G501" t="str">
        <f t="shared" si="7"/>
        <v>2023-05</v>
      </c>
    </row>
    <row r="502" spans="1:7" x14ac:dyDescent="0.3">
      <c r="A502">
        <v>4062</v>
      </c>
      <c r="B502" t="s">
        <v>38</v>
      </c>
      <c r="C502" s="7">
        <v>135</v>
      </c>
      <c r="D502" s="1">
        <v>44897</v>
      </c>
      <c r="E502" s="29">
        <v>3.7</v>
      </c>
      <c r="F502" t="s">
        <v>4</v>
      </c>
      <c r="G502" t="str">
        <f t="shared" si="7"/>
        <v>2022-12</v>
      </c>
    </row>
    <row r="503" spans="1:7" x14ac:dyDescent="0.3">
      <c r="A503">
        <v>4018</v>
      </c>
      <c r="B503" t="s">
        <v>12</v>
      </c>
      <c r="C503" s="7">
        <v>124</v>
      </c>
      <c r="D503" s="1">
        <v>45065</v>
      </c>
      <c r="E503" s="29">
        <v>2.9</v>
      </c>
      <c r="F503" t="s">
        <v>1</v>
      </c>
      <c r="G503" t="str">
        <f t="shared" si="7"/>
        <v>2023-05</v>
      </c>
    </row>
    <row r="504" spans="1:7" x14ac:dyDescent="0.3">
      <c r="A504">
        <v>4001</v>
      </c>
      <c r="B504" t="s">
        <v>32</v>
      </c>
      <c r="C504" s="7">
        <v>98</v>
      </c>
      <c r="D504" s="1">
        <v>44953</v>
      </c>
      <c r="E504" s="29">
        <v>3.0542857142857098</v>
      </c>
      <c r="F504" t="s">
        <v>1</v>
      </c>
      <c r="G504" t="str">
        <f t="shared" si="7"/>
        <v>2023-01</v>
      </c>
    </row>
    <row r="505" spans="1:7" x14ac:dyDescent="0.3">
      <c r="A505">
        <v>4113</v>
      </c>
      <c r="B505" t="s">
        <v>16</v>
      </c>
      <c r="C505" s="7">
        <v>149</v>
      </c>
      <c r="D505" s="1">
        <v>44849</v>
      </c>
      <c r="E505" s="29">
        <v>1.4</v>
      </c>
      <c r="F505" t="s">
        <v>4</v>
      </c>
      <c r="G505" t="str">
        <f t="shared" si="7"/>
        <v>2022-10</v>
      </c>
    </row>
    <row r="506" spans="1:7" x14ac:dyDescent="0.3">
      <c r="A506">
        <v>3966</v>
      </c>
      <c r="B506" t="s">
        <v>18</v>
      </c>
      <c r="C506" s="7">
        <v>92</v>
      </c>
      <c r="D506" s="1">
        <v>44838</v>
      </c>
      <c r="E506" s="29">
        <v>4.2</v>
      </c>
      <c r="F506" t="s">
        <v>1</v>
      </c>
      <c r="G506" t="str">
        <f t="shared" si="7"/>
        <v>2022-10</v>
      </c>
    </row>
    <row r="507" spans="1:7" x14ac:dyDescent="0.3">
      <c r="A507">
        <v>4109</v>
      </c>
      <c r="B507" t="s">
        <v>30</v>
      </c>
      <c r="C507" s="7">
        <v>188</v>
      </c>
      <c r="D507" s="1">
        <v>45128</v>
      </c>
      <c r="E507" s="29">
        <v>2.9636363636363598</v>
      </c>
      <c r="F507" t="s">
        <v>1</v>
      </c>
      <c r="G507" t="str">
        <f t="shared" si="7"/>
        <v>2023-07</v>
      </c>
    </row>
    <row r="508" spans="1:7" x14ac:dyDescent="0.3">
      <c r="A508">
        <v>4003</v>
      </c>
      <c r="B508" t="s">
        <v>23</v>
      </c>
      <c r="C508" s="7">
        <v>108</v>
      </c>
      <c r="D508" s="1">
        <v>45139</v>
      </c>
      <c r="E508" s="29">
        <v>3.3</v>
      </c>
      <c r="F508" t="s">
        <v>4</v>
      </c>
      <c r="G508" t="str">
        <f t="shared" si="7"/>
        <v>2023-08</v>
      </c>
    </row>
    <row r="509" spans="1:7" x14ac:dyDescent="0.3">
      <c r="A509">
        <v>4084</v>
      </c>
      <c r="B509" t="s">
        <v>38</v>
      </c>
      <c r="C509" s="7">
        <v>115</v>
      </c>
      <c r="D509" s="1">
        <v>44917</v>
      </c>
      <c r="E509" s="29">
        <v>2.8</v>
      </c>
      <c r="F509" t="s">
        <v>1</v>
      </c>
      <c r="G509" t="str">
        <f t="shared" si="7"/>
        <v>2022-12</v>
      </c>
    </row>
    <row r="510" spans="1:7" x14ac:dyDescent="0.3">
      <c r="A510">
        <v>4113</v>
      </c>
      <c r="B510" t="s">
        <v>32</v>
      </c>
      <c r="C510" s="7">
        <v>84.528571428571396</v>
      </c>
      <c r="D510" s="1">
        <v>45173</v>
      </c>
      <c r="E510" s="29">
        <v>4.8</v>
      </c>
      <c r="F510" t="s">
        <v>4</v>
      </c>
      <c r="G510" t="str">
        <f t="shared" si="7"/>
        <v>2023-09</v>
      </c>
    </row>
    <row r="511" spans="1:7" x14ac:dyDescent="0.3">
      <c r="A511">
        <v>3979</v>
      </c>
      <c r="B511" t="s">
        <v>6</v>
      </c>
      <c r="C511" s="7">
        <v>190</v>
      </c>
      <c r="D511" s="1">
        <v>45108</v>
      </c>
      <c r="E511" s="29">
        <v>4.0999999999999996</v>
      </c>
      <c r="F511" t="s">
        <v>4</v>
      </c>
      <c r="G511" t="str">
        <f t="shared" si="7"/>
        <v>2023-07</v>
      </c>
    </row>
    <row r="512" spans="1:7" x14ac:dyDescent="0.3">
      <c r="A512">
        <v>4117</v>
      </c>
      <c r="B512" t="s">
        <v>16</v>
      </c>
      <c r="C512" s="7">
        <v>107</v>
      </c>
      <c r="D512" s="1">
        <v>44973</v>
      </c>
      <c r="E512" s="29">
        <v>2</v>
      </c>
      <c r="F512" t="s">
        <v>1</v>
      </c>
      <c r="G512" t="str">
        <f t="shared" si="7"/>
        <v>2023-02</v>
      </c>
    </row>
    <row r="513" spans="1:7" x14ac:dyDescent="0.3">
      <c r="A513">
        <v>4034</v>
      </c>
      <c r="B513" t="s">
        <v>32</v>
      </c>
      <c r="C513" s="7">
        <v>179</v>
      </c>
      <c r="D513" s="1">
        <v>44997</v>
      </c>
      <c r="E513" s="29">
        <v>3.4</v>
      </c>
      <c r="F513" t="s">
        <v>4</v>
      </c>
      <c r="G513" t="str">
        <f t="shared" si="7"/>
        <v>2023-03</v>
      </c>
    </row>
    <row r="514" spans="1:7" x14ac:dyDescent="0.3">
      <c r="A514">
        <v>4046</v>
      </c>
      <c r="B514" t="s">
        <v>8</v>
      </c>
      <c r="C514" s="7">
        <v>176</v>
      </c>
      <c r="D514" s="1">
        <v>44906</v>
      </c>
      <c r="E514" s="29">
        <v>2.8</v>
      </c>
      <c r="F514" t="s">
        <v>4</v>
      </c>
      <c r="G514" t="str">
        <f t="shared" si="7"/>
        <v>2022-12</v>
      </c>
    </row>
    <row r="515" spans="1:7" x14ac:dyDescent="0.3">
      <c r="A515">
        <v>4064</v>
      </c>
      <c r="B515" t="s">
        <v>22</v>
      </c>
      <c r="C515" s="7">
        <v>136</v>
      </c>
      <c r="D515" s="1">
        <v>44974</v>
      </c>
      <c r="E515" s="29">
        <v>2.9</v>
      </c>
      <c r="F515" t="s">
        <v>1</v>
      </c>
      <c r="G515" t="str">
        <f t="shared" ref="G515:G578" si="8">TEXT(D515,"ГГГГ-ММ")</f>
        <v>2023-02</v>
      </c>
    </row>
    <row r="516" spans="1:7" x14ac:dyDescent="0.3">
      <c r="A516">
        <v>3958</v>
      </c>
      <c r="B516" t="s">
        <v>24</v>
      </c>
      <c r="C516" s="7">
        <v>42</v>
      </c>
      <c r="D516" s="1">
        <v>44867</v>
      </c>
      <c r="E516" s="29">
        <v>3.1</v>
      </c>
      <c r="F516" t="s">
        <v>1</v>
      </c>
      <c r="G516" t="str">
        <f t="shared" si="8"/>
        <v>2022-11</v>
      </c>
    </row>
    <row r="517" spans="1:7" x14ac:dyDescent="0.3">
      <c r="A517">
        <v>4099</v>
      </c>
      <c r="B517" t="s">
        <v>2</v>
      </c>
      <c r="C517" s="7">
        <v>161</v>
      </c>
      <c r="D517" s="1">
        <v>44933</v>
      </c>
      <c r="E517" s="29">
        <v>4.0999999999999996</v>
      </c>
      <c r="F517" t="s">
        <v>4</v>
      </c>
      <c r="G517" t="str">
        <f t="shared" si="8"/>
        <v>2023-01</v>
      </c>
    </row>
    <row r="518" spans="1:7" x14ac:dyDescent="0.3">
      <c r="A518">
        <v>4017</v>
      </c>
      <c r="B518" t="s">
        <v>6</v>
      </c>
      <c r="C518" s="7">
        <v>35</v>
      </c>
      <c r="D518" s="1">
        <v>44921</v>
      </c>
      <c r="E518" s="29">
        <v>3.1</v>
      </c>
      <c r="F518" t="s">
        <v>4</v>
      </c>
      <c r="G518" t="str">
        <f t="shared" si="8"/>
        <v>2022-12</v>
      </c>
    </row>
    <row r="519" spans="1:7" x14ac:dyDescent="0.3">
      <c r="A519">
        <v>4006</v>
      </c>
      <c r="B519" t="s">
        <v>12</v>
      </c>
      <c r="C519" s="7">
        <v>122</v>
      </c>
      <c r="D519" s="1">
        <v>45197</v>
      </c>
      <c r="E519" s="29">
        <v>3.7</v>
      </c>
      <c r="F519" t="s">
        <v>1</v>
      </c>
      <c r="G519" t="str">
        <f t="shared" si="8"/>
        <v>2023-09</v>
      </c>
    </row>
    <row r="520" spans="1:7" x14ac:dyDescent="0.3">
      <c r="A520">
        <v>3987</v>
      </c>
      <c r="B520" t="s">
        <v>39</v>
      </c>
      <c r="C520" s="7">
        <v>108.54716981132</v>
      </c>
      <c r="D520" s="1">
        <v>44890</v>
      </c>
      <c r="E520" s="29">
        <v>2.2999999999999998</v>
      </c>
      <c r="F520" t="s">
        <v>1</v>
      </c>
      <c r="G520" t="str">
        <f t="shared" si="8"/>
        <v>2022-11</v>
      </c>
    </row>
    <row r="521" spans="1:7" x14ac:dyDescent="0.3">
      <c r="A521">
        <v>4092</v>
      </c>
      <c r="B521" t="s">
        <v>36</v>
      </c>
      <c r="C521" s="7">
        <v>13</v>
      </c>
      <c r="D521" s="1">
        <v>44868</v>
      </c>
      <c r="E521" s="29">
        <v>3.4</v>
      </c>
      <c r="F521" t="s">
        <v>1</v>
      </c>
      <c r="G521" t="str">
        <f t="shared" si="8"/>
        <v>2022-11</v>
      </c>
    </row>
    <row r="522" spans="1:7" x14ac:dyDescent="0.3">
      <c r="A522">
        <v>3981</v>
      </c>
      <c r="B522" t="s">
        <v>24</v>
      </c>
      <c r="C522" s="7">
        <v>114</v>
      </c>
      <c r="D522" s="1">
        <v>45017</v>
      </c>
      <c r="E522" s="29">
        <v>4.3</v>
      </c>
      <c r="F522" t="s">
        <v>4</v>
      </c>
      <c r="G522" t="str">
        <f t="shared" si="8"/>
        <v>2023-04</v>
      </c>
    </row>
    <row r="523" spans="1:7" x14ac:dyDescent="0.3">
      <c r="A523">
        <v>4115</v>
      </c>
      <c r="B523" t="s">
        <v>48</v>
      </c>
      <c r="C523" s="7">
        <v>49</v>
      </c>
      <c r="D523" s="1">
        <v>45189</v>
      </c>
      <c r="E523" s="29">
        <v>2.8</v>
      </c>
      <c r="F523" t="s">
        <v>4</v>
      </c>
      <c r="G523" t="str">
        <f t="shared" si="8"/>
        <v>2023-09</v>
      </c>
    </row>
    <row r="524" spans="1:7" x14ac:dyDescent="0.3">
      <c r="A524">
        <v>4049</v>
      </c>
      <c r="B524" t="s">
        <v>11</v>
      </c>
      <c r="C524" s="7">
        <v>109.08474576271099</v>
      </c>
      <c r="D524" s="1">
        <v>44953</v>
      </c>
      <c r="E524" s="29">
        <v>3.0693548387096699</v>
      </c>
      <c r="F524" t="s">
        <v>1</v>
      </c>
      <c r="G524" t="str">
        <f t="shared" si="8"/>
        <v>2023-01</v>
      </c>
    </row>
    <row r="525" spans="1:7" x14ac:dyDescent="0.3">
      <c r="A525">
        <v>4095</v>
      </c>
      <c r="B525" t="s">
        <v>47</v>
      </c>
      <c r="C525" s="7">
        <v>77</v>
      </c>
      <c r="D525" s="1">
        <v>45005</v>
      </c>
      <c r="E525" s="29">
        <v>1.5</v>
      </c>
      <c r="F525" t="s">
        <v>1</v>
      </c>
      <c r="G525" t="str">
        <f t="shared" si="8"/>
        <v>2023-03</v>
      </c>
    </row>
    <row r="526" spans="1:7" x14ac:dyDescent="0.3">
      <c r="A526">
        <v>4086</v>
      </c>
      <c r="B526" t="s">
        <v>41</v>
      </c>
      <c r="C526" s="7">
        <v>187</v>
      </c>
      <c r="D526" s="1">
        <v>45017</v>
      </c>
      <c r="E526" s="29">
        <v>2.5</v>
      </c>
      <c r="F526" t="s">
        <v>4</v>
      </c>
      <c r="G526" t="str">
        <f t="shared" si="8"/>
        <v>2023-04</v>
      </c>
    </row>
    <row r="527" spans="1:7" x14ac:dyDescent="0.3">
      <c r="A527">
        <v>4013</v>
      </c>
      <c r="B527" t="s">
        <v>42</v>
      </c>
      <c r="C527" s="7">
        <v>30</v>
      </c>
      <c r="D527" s="1">
        <v>44841</v>
      </c>
      <c r="E527" s="29">
        <v>3.7</v>
      </c>
      <c r="F527" t="s">
        <v>4</v>
      </c>
      <c r="G527" t="str">
        <f t="shared" si="8"/>
        <v>2022-10</v>
      </c>
    </row>
    <row r="528" spans="1:7" x14ac:dyDescent="0.3">
      <c r="A528">
        <v>4075</v>
      </c>
      <c r="B528" t="s">
        <v>27</v>
      </c>
      <c r="C528" s="7">
        <v>182</v>
      </c>
      <c r="D528" s="1">
        <v>44998</v>
      </c>
      <c r="E528" s="29">
        <v>2.2999999999999998</v>
      </c>
      <c r="F528" t="s">
        <v>1</v>
      </c>
      <c r="G528" t="str">
        <f t="shared" si="8"/>
        <v>2023-03</v>
      </c>
    </row>
    <row r="529" spans="1:7" x14ac:dyDescent="0.3">
      <c r="A529">
        <v>4117</v>
      </c>
      <c r="B529" t="s">
        <v>19</v>
      </c>
      <c r="C529" s="7">
        <v>107</v>
      </c>
      <c r="D529" s="1">
        <v>44884</v>
      </c>
      <c r="E529" s="29">
        <v>4.3</v>
      </c>
      <c r="F529" t="s">
        <v>1</v>
      </c>
      <c r="G529" t="str">
        <f t="shared" si="8"/>
        <v>2022-11</v>
      </c>
    </row>
    <row r="530" spans="1:7" x14ac:dyDescent="0.3">
      <c r="A530">
        <v>4010</v>
      </c>
      <c r="B530" t="s">
        <v>30</v>
      </c>
      <c r="C530" s="7">
        <v>170</v>
      </c>
      <c r="D530" s="1">
        <v>44974</v>
      </c>
      <c r="E530" s="29">
        <v>1.7</v>
      </c>
      <c r="F530" t="s">
        <v>4</v>
      </c>
      <c r="G530" t="str">
        <f t="shared" si="8"/>
        <v>2023-02</v>
      </c>
    </row>
    <row r="531" spans="1:7" x14ac:dyDescent="0.3">
      <c r="A531">
        <v>4027</v>
      </c>
      <c r="B531" t="s">
        <v>16</v>
      </c>
      <c r="C531" s="7">
        <v>134</v>
      </c>
      <c r="D531" s="1">
        <v>44943</v>
      </c>
      <c r="E531" s="29">
        <v>1.1000000000000001</v>
      </c>
      <c r="F531" t="s">
        <v>4</v>
      </c>
      <c r="G531" t="str">
        <f t="shared" si="8"/>
        <v>2023-01</v>
      </c>
    </row>
    <row r="532" spans="1:7" x14ac:dyDescent="0.3">
      <c r="A532">
        <v>3970</v>
      </c>
      <c r="B532" t="s">
        <v>47</v>
      </c>
      <c r="C532" s="7">
        <v>19</v>
      </c>
      <c r="D532" s="1">
        <v>44907</v>
      </c>
      <c r="E532" s="29">
        <v>3.5</v>
      </c>
      <c r="F532" t="s">
        <v>4</v>
      </c>
      <c r="G532" t="str">
        <f t="shared" si="8"/>
        <v>2022-12</v>
      </c>
    </row>
    <row r="533" spans="1:7" x14ac:dyDescent="0.3">
      <c r="A533">
        <v>4006</v>
      </c>
      <c r="B533" t="s">
        <v>25</v>
      </c>
      <c r="C533" s="7">
        <v>70</v>
      </c>
      <c r="D533" s="1">
        <v>44887</v>
      </c>
      <c r="E533" s="29">
        <v>2.4</v>
      </c>
      <c r="F533" t="s">
        <v>4</v>
      </c>
      <c r="G533" t="str">
        <f t="shared" si="8"/>
        <v>2022-11</v>
      </c>
    </row>
    <row r="534" spans="1:7" x14ac:dyDescent="0.3">
      <c r="A534">
        <v>3985</v>
      </c>
      <c r="B534" t="s">
        <v>21</v>
      </c>
      <c r="C534" s="7">
        <v>83</v>
      </c>
      <c r="D534" s="1">
        <v>45133</v>
      </c>
      <c r="E534" s="29">
        <v>3.02830188679245</v>
      </c>
      <c r="F534" t="s">
        <v>1</v>
      </c>
      <c r="G534" t="str">
        <f t="shared" si="8"/>
        <v>2023-07</v>
      </c>
    </row>
    <row r="535" spans="1:7" x14ac:dyDescent="0.3">
      <c r="A535">
        <v>3995</v>
      </c>
      <c r="B535" t="s">
        <v>9</v>
      </c>
      <c r="C535" s="7">
        <v>33</v>
      </c>
      <c r="D535" s="1">
        <v>45163</v>
      </c>
      <c r="E535" s="29">
        <v>2</v>
      </c>
      <c r="F535" t="s">
        <v>1</v>
      </c>
      <c r="G535" t="str">
        <f t="shared" si="8"/>
        <v>2023-08</v>
      </c>
    </row>
    <row r="536" spans="1:7" x14ac:dyDescent="0.3">
      <c r="A536">
        <v>4078</v>
      </c>
      <c r="B536" t="s">
        <v>32</v>
      </c>
      <c r="C536" s="7">
        <v>35</v>
      </c>
      <c r="D536" s="1">
        <v>44889</v>
      </c>
      <c r="E536" s="29">
        <v>3.0542857142857098</v>
      </c>
      <c r="F536" t="s">
        <v>4</v>
      </c>
      <c r="G536" t="str">
        <f t="shared" si="8"/>
        <v>2022-11</v>
      </c>
    </row>
    <row r="537" spans="1:7" x14ac:dyDescent="0.3">
      <c r="A537">
        <v>4084</v>
      </c>
      <c r="B537" t="s">
        <v>47</v>
      </c>
      <c r="C537" s="7">
        <v>190</v>
      </c>
      <c r="D537" s="1">
        <v>44989</v>
      </c>
      <c r="E537" s="29">
        <v>3.1235294117647001</v>
      </c>
      <c r="F537" t="s">
        <v>4</v>
      </c>
      <c r="G537" t="str">
        <f t="shared" si="8"/>
        <v>2023-03</v>
      </c>
    </row>
    <row r="538" spans="1:7" x14ac:dyDescent="0.3">
      <c r="A538">
        <v>4002</v>
      </c>
      <c r="B538" t="s">
        <v>19</v>
      </c>
      <c r="C538" s="7">
        <v>123</v>
      </c>
      <c r="D538" s="1">
        <v>44957</v>
      </c>
      <c r="E538" s="29">
        <v>3.5</v>
      </c>
      <c r="F538" t="s">
        <v>1</v>
      </c>
      <c r="G538" t="str">
        <f t="shared" si="8"/>
        <v>2023-01</v>
      </c>
    </row>
    <row r="539" spans="1:7" x14ac:dyDescent="0.3">
      <c r="A539">
        <v>3997</v>
      </c>
      <c r="B539" t="s">
        <v>5</v>
      </c>
      <c r="C539" s="7">
        <v>98.967741935483801</v>
      </c>
      <c r="D539" s="1">
        <v>45177</v>
      </c>
      <c r="E539" s="29">
        <v>2.1</v>
      </c>
      <c r="F539" t="s">
        <v>1</v>
      </c>
      <c r="G539" t="str">
        <f t="shared" si="8"/>
        <v>2023-09</v>
      </c>
    </row>
    <row r="540" spans="1:7" x14ac:dyDescent="0.3">
      <c r="A540">
        <v>3968</v>
      </c>
      <c r="B540" t="s">
        <v>18</v>
      </c>
      <c r="C540" s="7">
        <v>17</v>
      </c>
      <c r="D540" s="1">
        <v>44861</v>
      </c>
      <c r="E540" s="29">
        <v>3.8</v>
      </c>
      <c r="F540" t="s">
        <v>1</v>
      </c>
      <c r="G540" t="str">
        <f t="shared" si="8"/>
        <v>2022-10</v>
      </c>
    </row>
    <row r="541" spans="1:7" x14ac:dyDescent="0.3">
      <c r="A541">
        <v>3970</v>
      </c>
      <c r="B541" t="s">
        <v>24</v>
      </c>
      <c r="C541" s="7">
        <v>95.292307692307602</v>
      </c>
      <c r="D541" s="1">
        <v>45100</v>
      </c>
      <c r="E541" s="29">
        <v>4.3</v>
      </c>
      <c r="F541" t="s">
        <v>4</v>
      </c>
      <c r="G541" t="str">
        <f t="shared" si="8"/>
        <v>2023-06</v>
      </c>
    </row>
    <row r="542" spans="1:7" x14ac:dyDescent="0.3">
      <c r="A542">
        <v>4122</v>
      </c>
      <c r="B542" t="s">
        <v>8</v>
      </c>
      <c r="C542" s="7">
        <v>85</v>
      </c>
      <c r="D542" s="1">
        <v>45062</v>
      </c>
      <c r="E542" s="29">
        <v>3.9</v>
      </c>
      <c r="F542" t="s">
        <v>4</v>
      </c>
      <c r="G542" t="str">
        <f t="shared" si="8"/>
        <v>2023-05</v>
      </c>
    </row>
    <row r="543" spans="1:7" x14ac:dyDescent="0.3">
      <c r="A543">
        <v>4050</v>
      </c>
      <c r="B543" t="s">
        <v>21</v>
      </c>
      <c r="C543" s="7">
        <v>120</v>
      </c>
      <c r="D543" s="1">
        <v>45084</v>
      </c>
      <c r="E543" s="29">
        <v>2.8</v>
      </c>
      <c r="F543" t="s">
        <v>4</v>
      </c>
      <c r="G543" t="str">
        <f t="shared" si="8"/>
        <v>2023-06</v>
      </c>
    </row>
    <row r="544" spans="1:7" x14ac:dyDescent="0.3">
      <c r="A544">
        <v>4029</v>
      </c>
      <c r="B544" t="s">
        <v>49</v>
      </c>
      <c r="C544" s="7">
        <v>114.217391304347</v>
      </c>
      <c r="D544" s="1">
        <v>45138</v>
      </c>
      <c r="E544" s="29">
        <v>3.2020408163265301</v>
      </c>
      <c r="F544" t="s">
        <v>1</v>
      </c>
      <c r="G544" t="str">
        <f t="shared" si="8"/>
        <v>2023-07</v>
      </c>
    </row>
    <row r="545" spans="1:7" x14ac:dyDescent="0.3">
      <c r="A545">
        <v>4010</v>
      </c>
      <c r="B545" t="s">
        <v>26</v>
      </c>
      <c r="C545" s="7">
        <v>154</v>
      </c>
      <c r="D545" s="1">
        <v>45072</v>
      </c>
      <c r="E545" s="29">
        <v>1.6</v>
      </c>
      <c r="F545" t="s">
        <v>1</v>
      </c>
      <c r="G545" t="str">
        <f t="shared" si="8"/>
        <v>2023-05</v>
      </c>
    </row>
    <row r="546" spans="1:7" x14ac:dyDescent="0.3">
      <c r="A546">
        <v>4068</v>
      </c>
      <c r="B546" t="s">
        <v>30</v>
      </c>
      <c r="C546" s="7">
        <v>56</v>
      </c>
      <c r="D546" s="1">
        <v>45162</v>
      </c>
      <c r="E546" s="29">
        <v>3.6</v>
      </c>
      <c r="F546" t="s">
        <v>1</v>
      </c>
      <c r="G546" t="str">
        <f t="shared" si="8"/>
        <v>2023-08</v>
      </c>
    </row>
    <row r="547" spans="1:7" x14ac:dyDescent="0.3">
      <c r="A547">
        <v>4021</v>
      </c>
      <c r="B547" t="s">
        <v>5</v>
      </c>
      <c r="C547" s="7">
        <v>98.967741935483801</v>
      </c>
      <c r="D547" s="1">
        <v>44907</v>
      </c>
      <c r="E547" s="29">
        <v>2.5</v>
      </c>
      <c r="F547" t="s">
        <v>4</v>
      </c>
      <c r="G547" t="str">
        <f t="shared" si="8"/>
        <v>2022-12</v>
      </c>
    </row>
    <row r="548" spans="1:7" x14ac:dyDescent="0.3">
      <c r="A548">
        <v>4042</v>
      </c>
      <c r="B548" t="s">
        <v>44</v>
      </c>
      <c r="C548" s="7">
        <v>106.72413793103399</v>
      </c>
      <c r="D548" s="1">
        <v>44969</v>
      </c>
      <c r="E548" s="29">
        <v>1.3</v>
      </c>
      <c r="F548" t="s">
        <v>4</v>
      </c>
      <c r="G548" t="str">
        <f t="shared" si="8"/>
        <v>2023-02</v>
      </c>
    </row>
    <row r="549" spans="1:7" x14ac:dyDescent="0.3">
      <c r="A549">
        <v>4114</v>
      </c>
      <c r="B549" t="s">
        <v>39</v>
      </c>
      <c r="C549" s="7">
        <v>168</v>
      </c>
      <c r="D549" s="1">
        <v>45074</v>
      </c>
      <c r="E549" s="29">
        <v>4</v>
      </c>
      <c r="F549" t="s">
        <v>4</v>
      </c>
      <c r="G549" t="str">
        <f t="shared" si="8"/>
        <v>2023-05</v>
      </c>
    </row>
    <row r="550" spans="1:7" x14ac:dyDescent="0.3">
      <c r="A550">
        <v>4073</v>
      </c>
      <c r="B550" t="s">
        <v>22</v>
      </c>
      <c r="C550" s="7">
        <v>137</v>
      </c>
      <c r="D550" s="1">
        <v>45145</v>
      </c>
      <c r="E550" s="29">
        <v>1.1000000000000001</v>
      </c>
      <c r="F550" t="s">
        <v>4</v>
      </c>
      <c r="G550" t="str">
        <f t="shared" si="8"/>
        <v>2023-08</v>
      </c>
    </row>
    <row r="551" spans="1:7" x14ac:dyDescent="0.3">
      <c r="A551">
        <v>3968</v>
      </c>
      <c r="B551" t="s">
        <v>40</v>
      </c>
      <c r="C551" s="7">
        <v>46</v>
      </c>
      <c r="D551" s="1">
        <v>44900</v>
      </c>
      <c r="E551" s="29">
        <v>2</v>
      </c>
      <c r="F551" t="s">
        <v>1</v>
      </c>
      <c r="G551" t="str">
        <f t="shared" si="8"/>
        <v>2022-12</v>
      </c>
    </row>
    <row r="552" spans="1:7" x14ac:dyDescent="0.3">
      <c r="A552">
        <v>3983</v>
      </c>
      <c r="B552" t="s">
        <v>17</v>
      </c>
      <c r="C552" s="7">
        <v>173</v>
      </c>
      <c r="D552" s="1">
        <v>45027</v>
      </c>
      <c r="E552" s="29">
        <v>4.5</v>
      </c>
      <c r="F552" t="s">
        <v>4</v>
      </c>
      <c r="G552" t="str">
        <f t="shared" si="8"/>
        <v>2023-04</v>
      </c>
    </row>
    <row r="553" spans="1:7" x14ac:dyDescent="0.3">
      <c r="A553">
        <v>3970</v>
      </c>
      <c r="B553" t="s">
        <v>35</v>
      </c>
      <c r="C553" s="7">
        <v>75</v>
      </c>
      <c r="D553" s="1">
        <v>45190</v>
      </c>
      <c r="E553" s="29">
        <v>2.7</v>
      </c>
      <c r="F553" t="s">
        <v>4</v>
      </c>
      <c r="G553" t="str">
        <f t="shared" si="8"/>
        <v>2023-09</v>
      </c>
    </row>
    <row r="554" spans="1:7" x14ac:dyDescent="0.3">
      <c r="A554">
        <v>4094</v>
      </c>
      <c r="B554" t="s">
        <v>44</v>
      </c>
      <c r="C554" s="7">
        <v>129</v>
      </c>
      <c r="D554" s="1">
        <v>44964</v>
      </c>
      <c r="E554" s="29">
        <v>1.8</v>
      </c>
      <c r="F554" t="s">
        <v>1</v>
      </c>
      <c r="G554" t="str">
        <f t="shared" si="8"/>
        <v>2023-02</v>
      </c>
    </row>
    <row r="555" spans="1:7" x14ac:dyDescent="0.3">
      <c r="A555">
        <v>4002</v>
      </c>
      <c r="B555" t="s">
        <v>9</v>
      </c>
      <c r="C555" s="7">
        <v>183</v>
      </c>
      <c r="D555" s="1">
        <v>44903</v>
      </c>
      <c r="E555" s="29">
        <v>2.2000000000000002</v>
      </c>
      <c r="F555" t="s">
        <v>1</v>
      </c>
      <c r="G555" t="str">
        <f t="shared" si="8"/>
        <v>2022-12</v>
      </c>
    </row>
    <row r="556" spans="1:7" x14ac:dyDescent="0.3">
      <c r="A556">
        <v>3997</v>
      </c>
      <c r="B556" t="s">
        <v>37</v>
      </c>
      <c r="C556" s="7">
        <v>28</v>
      </c>
      <c r="D556" s="1">
        <v>44914</v>
      </c>
      <c r="E556" s="29">
        <v>4.4000000000000004</v>
      </c>
      <c r="F556" t="s">
        <v>1</v>
      </c>
      <c r="G556" t="str">
        <f t="shared" si="8"/>
        <v>2022-12</v>
      </c>
    </row>
    <row r="557" spans="1:7" x14ac:dyDescent="0.3">
      <c r="A557">
        <v>3964</v>
      </c>
      <c r="B557" t="s">
        <v>23</v>
      </c>
      <c r="C557" s="7">
        <v>98</v>
      </c>
      <c r="D557" s="1">
        <v>44883</v>
      </c>
      <c r="E557" s="29">
        <v>4.2</v>
      </c>
      <c r="F557" t="s">
        <v>4</v>
      </c>
      <c r="G557" t="str">
        <f t="shared" si="8"/>
        <v>2022-11</v>
      </c>
    </row>
    <row r="558" spans="1:7" x14ac:dyDescent="0.3">
      <c r="A558">
        <v>4081</v>
      </c>
      <c r="B558" t="s">
        <v>42</v>
      </c>
      <c r="C558" s="7">
        <v>86</v>
      </c>
      <c r="D558" s="1">
        <v>45092</v>
      </c>
      <c r="E558" s="29">
        <v>2.9</v>
      </c>
      <c r="F558" t="s">
        <v>1</v>
      </c>
      <c r="G558" t="str">
        <f t="shared" si="8"/>
        <v>2023-06</v>
      </c>
    </row>
    <row r="559" spans="1:7" x14ac:dyDescent="0.3">
      <c r="A559">
        <v>4088</v>
      </c>
      <c r="B559" t="s">
        <v>50</v>
      </c>
      <c r="C559" s="7">
        <v>118</v>
      </c>
      <c r="D559" s="1">
        <v>45115</v>
      </c>
      <c r="E559" s="29">
        <v>2.7</v>
      </c>
      <c r="F559" t="s">
        <v>1</v>
      </c>
      <c r="G559" t="str">
        <f t="shared" si="8"/>
        <v>2023-07</v>
      </c>
    </row>
    <row r="560" spans="1:7" x14ac:dyDescent="0.3">
      <c r="A560">
        <v>3986</v>
      </c>
      <c r="B560" t="s">
        <v>13</v>
      </c>
      <c r="C560" s="7">
        <v>126</v>
      </c>
      <c r="D560" s="1">
        <v>44956</v>
      </c>
      <c r="E560" s="29">
        <v>4.0999999999999996</v>
      </c>
      <c r="F560" t="s">
        <v>4</v>
      </c>
      <c r="G560" t="str">
        <f t="shared" si="8"/>
        <v>2023-01</v>
      </c>
    </row>
    <row r="561" spans="1:7" x14ac:dyDescent="0.3">
      <c r="A561">
        <v>3975</v>
      </c>
      <c r="B561" t="s">
        <v>44</v>
      </c>
      <c r="C561" s="7">
        <v>60</v>
      </c>
      <c r="D561" s="1">
        <v>45198</v>
      </c>
      <c r="E561" s="29">
        <v>3.7</v>
      </c>
      <c r="F561" t="s">
        <v>1</v>
      </c>
      <c r="G561" t="str">
        <f t="shared" si="8"/>
        <v>2023-09</v>
      </c>
    </row>
    <row r="562" spans="1:7" x14ac:dyDescent="0.3">
      <c r="A562">
        <v>4017</v>
      </c>
      <c r="B562" t="s">
        <v>44</v>
      </c>
      <c r="C562" s="7">
        <v>133</v>
      </c>
      <c r="D562" s="1">
        <v>44966</v>
      </c>
      <c r="E562" s="29">
        <v>4.5999999999999996</v>
      </c>
      <c r="F562" t="s">
        <v>4</v>
      </c>
      <c r="G562" t="str">
        <f t="shared" si="8"/>
        <v>2023-02</v>
      </c>
    </row>
    <row r="563" spans="1:7" x14ac:dyDescent="0.3">
      <c r="A563">
        <v>4070</v>
      </c>
      <c r="B563" t="s">
        <v>29</v>
      </c>
      <c r="C563" s="7">
        <v>108.734693877551</v>
      </c>
      <c r="D563" s="1">
        <v>45157</v>
      </c>
      <c r="E563" s="29">
        <v>2.1</v>
      </c>
      <c r="F563" t="s">
        <v>4</v>
      </c>
      <c r="G563" t="str">
        <f t="shared" si="8"/>
        <v>2023-08</v>
      </c>
    </row>
    <row r="564" spans="1:7" x14ac:dyDescent="0.3">
      <c r="A564">
        <v>4108</v>
      </c>
      <c r="B564" t="s">
        <v>14</v>
      </c>
      <c r="C564" s="7">
        <v>101</v>
      </c>
      <c r="D564" s="1">
        <v>45181</v>
      </c>
      <c r="E564" s="29">
        <v>1.1000000000000001</v>
      </c>
      <c r="F564" t="s">
        <v>4</v>
      </c>
      <c r="G564" t="str">
        <f t="shared" si="8"/>
        <v>2023-09</v>
      </c>
    </row>
    <row r="565" spans="1:7" x14ac:dyDescent="0.3">
      <c r="A565">
        <v>4105</v>
      </c>
      <c r="B565" t="s">
        <v>5</v>
      </c>
      <c r="C565" s="7">
        <v>189</v>
      </c>
      <c r="D565" s="1">
        <v>45000</v>
      </c>
      <c r="E565" s="29">
        <v>1.5</v>
      </c>
      <c r="F565" t="s">
        <v>1</v>
      </c>
      <c r="G565" t="str">
        <f t="shared" si="8"/>
        <v>2023-03</v>
      </c>
    </row>
    <row r="566" spans="1:7" x14ac:dyDescent="0.3">
      <c r="A566">
        <v>4040</v>
      </c>
      <c r="B566" t="s">
        <v>16</v>
      </c>
      <c r="C566" s="7">
        <v>178</v>
      </c>
      <c r="D566" s="1">
        <v>45194</v>
      </c>
      <c r="E566" s="29">
        <v>3.4</v>
      </c>
      <c r="F566" t="s">
        <v>4</v>
      </c>
      <c r="G566" t="str">
        <f t="shared" si="8"/>
        <v>2023-09</v>
      </c>
    </row>
    <row r="567" spans="1:7" x14ac:dyDescent="0.3">
      <c r="A567">
        <v>4064</v>
      </c>
      <c r="B567" t="s">
        <v>16</v>
      </c>
      <c r="C567" s="7">
        <v>12</v>
      </c>
      <c r="D567" s="1">
        <v>45112</v>
      </c>
      <c r="E567" s="29">
        <v>2.2999999999999998</v>
      </c>
      <c r="F567" t="s">
        <v>1</v>
      </c>
      <c r="G567" t="str">
        <f t="shared" si="8"/>
        <v>2023-07</v>
      </c>
    </row>
    <row r="568" spans="1:7" x14ac:dyDescent="0.3">
      <c r="A568">
        <v>4007</v>
      </c>
      <c r="B568" t="s">
        <v>24</v>
      </c>
      <c r="C568" s="7">
        <v>185</v>
      </c>
      <c r="D568" s="1">
        <v>44892</v>
      </c>
      <c r="E568" s="29">
        <v>1.1000000000000001</v>
      </c>
      <c r="F568" t="s">
        <v>4</v>
      </c>
      <c r="G568" t="str">
        <f t="shared" si="8"/>
        <v>2022-11</v>
      </c>
    </row>
    <row r="569" spans="1:7" x14ac:dyDescent="0.3">
      <c r="A569">
        <v>4040</v>
      </c>
      <c r="B569" t="s">
        <v>31</v>
      </c>
      <c r="C569" s="7">
        <v>22</v>
      </c>
      <c r="D569" s="1">
        <v>45138</v>
      </c>
      <c r="E569" s="29">
        <v>1.3</v>
      </c>
      <c r="F569" t="s">
        <v>1</v>
      </c>
      <c r="G569" t="str">
        <f t="shared" si="8"/>
        <v>2023-07</v>
      </c>
    </row>
    <row r="570" spans="1:7" x14ac:dyDescent="0.3">
      <c r="A570">
        <v>4015</v>
      </c>
      <c r="B570" t="s">
        <v>24</v>
      </c>
      <c r="C570" s="7">
        <v>200</v>
      </c>
      <c r="D570" s="1">
        <v>44928</v>
      </c>
      <c r="E570" s="29">
        <v>3.8</v>
      </c>
      <c r="F570" t="s">
        <v>4</v>
      </c>
      <c r="G570" t="str">
        <f t="shared" si="8"/>
        <v>2023-01</v>
      </c>
    </row>
    <row r="571" spans="1:7" x14ac:dyDescent="0.3">
      <c r="A571">
        <v>3985</v>
      </c>
      <c r="B571" t="s">
        <v>35</v>
      </c>
      <c r="C571" s="7">
        <v>83</v>
      </c>
      <c r="D571" s="1">
        <v>44839</v>
      </c>
      <c r="E571" s="29">
        <v>3.4</v>
      </c>
      <c r="F571" t="s">
        <v>4</v>
      </c>
      <c r="G571" t="str">
        <f t="shared" si="8"/>
        <v>2022-10</v>
      </c>
    </row>
    <row r="572" spans="1:7" x14ac:dyDescent="0.3">
      <c r="A572">
        <v>4040</v>
      </c>
      <c r="B572" t="s">
        <v>44</v>
      </c>
      <c r="C572" s="7">
        <v>68</v>
      </c>
      <c r="D572" s="1">
        <v>44990</v>
      </c>
      <c r="E572" s="29">
        <v>2.2999999999999998</v>
      </c>
      <c r="F572" t="s">
        <v>1</v>
      </c>
      <c r="G572" t="str">
        <f t="shared" si="8"/>
        <v>2023-03</v>
      </c>
    </row>
    <row r="573" spans="1:7" x14ac:dyDescent="0.3">
      <c r="A573">
        <v>4015</v>
      </c>
      <c r="B573" t="s">
        <v>51</v>
      </c>
      <c r="C573" s="7">
        <v>100</v>
      </c>
      <c r="D573" s="1">
        <v>45113</v>
      </c>
      <c r="E573" s="29">
        <v>4.7</v>
      </c>
      <c r="F573" t="s">
        <v>1</v>
      </c>
      <c r="G573" t="str">
        <f t="shared" si="8"/>
        <v>2023-07</v>
      </c>
    </row>
    <row r="574" spans="1:7" x14ac:dyDescent="0.3">
      <c r="A574">
        <v>3982</v>
      </c>
      <c r="B574" t="s">
        <v>10</v>
      </c>
      <c r="C574" s="7">
        <v>58</v>
      </c>
      <c r="D574" s="1">
        <v>45083</v>
      </c>
      <c r="E574" s="29">
        <v>2.91904761904761</v>
      </c>
      <c r="F574" t="s">
        <v>1</v>
      </c>
      <c r="G574" t="str">
        <f t="shared" si="8"/>
        <v>2023-06</v>
      </c>
    </row>
    <row r="575" spans="1:7" x14ac:dyDescent="0.3">
      <c r="A575">
        <v>4017</v>
      </c>
      <c r="B575" t="s">
        <v>12</v>
      </c>
      <c r="C575" s="7">
        <v>183</v>
      </c>
      <c r="D575" s="1">
        <v>45088</v>
      </c>
      <c r="E575" s="29">
        <v>2.4</v>
      </c>
      <c r="F575" t="s">
        <v>1</v>
      </c>
      <c r="G575" t="str">
        <f t="shared" si="8"/>
        <v>2023-06</v>
      </c>
    </row>
    <row r="576" spans="1:7" x14ac:dyDescent="0.3">
      <c r="A576">
        <v>4062</v>
      </c>
      <c r="B576" t="s">
        <v>13</v>
      </c>
      <c r="C576" s="7">
        <v>178</v>
      </c>
      <c r="D576" s="1">
        <v>44857</v>
      </c>
      <c r="E576" s="29">
        <v>2.8</v>
      </c>
      <c r="F576" t="s">
        <v>1</v>
      </c>
      <c r="G576" t="str">
        <f t="shared" si="8"/>
        <v>2022-10</v>
      </c>
    </row>
    <row r="577" spans="1:7" x14ac:dyDescent="0.3">
      <c r="A577">
        <v>4008</v>
      </c>
      <c r="B577" t="s">
        <v>34</v>
      </c>
      <c r="C577" s="7">
        <v>45</v>
      </c>
      <c r="D577" s="1">
        <v>45056</v>
      </c>
      <c r="E577" s="29">
        <v>1.8</v>
      </c>
      <c r="F577" t="s">
        <v>1</v>
      </c>
      <c r="G577" t="str">
        <f t="shared" si="8"/>
        <v>2023-05</v>
      </c>
    </row>
    <row r="578" spans="1:7" x14ac:dyDescent="0.3">
      <c r="A578">
        <v>4053</v>
      </c>
      <c r="B578" t="s">
        <v>21</v>
      </c>
      <c r="C578" s="7">
        <v>170</v>
      </c>
      <c r="D578" s="1">
        <v>45088</v>
      </c>
      <c r="E578" s="29">
        <v>3.7</v>
      </c>
      <c r="F578" t="s">
        <v>4</v>
      </c>
      <c r="G578" t="str">
        <f t="shared" si="8"/>
        <v>2023-06</v>
      </c>
    </row>
    <row r="579" spans="1:7" x14ac:dyDescent="0.3">
      <c r="A579">
        <v>4013</v>
      </c>
      <c r="B579" t="s">
        <v>47</v>
      </c>
      <c r="C579" s="7">
        <v>89</v>
      </c>
      <c r="D579" s="1">
        <v>45160</v>
      </c>
      <c r="E579" s="29">
        <v>1.1000000000000001</v>
      </c>
      <c r="F579" t="s">
        <v>4</v>
      </c>
      <c r="G579" t="str">
        <f t="shared" ref="G579:G642" si="9">TEXT(D579,"ГГГГ-ММ")</f>
        <v>2023-08</v>
      </c>
    </row>
    <row r="580" spans="1:7" x14ac:dyDescent="0.3">
      <c r="A580">
        <v>3975</v>
      </c>
      <c r="B580" t="s">
        <v>39</v>
      </c>
      <c r="C580" s="7">
        <v>18</v>
      </c>
      <c r="D580" s="1">
        <v>45031</v>
      </c>
      <c r="E580" s="29">
        <v>4.9000000000000004</v>
      </c>
      <c r="F580" t="s">
        <v>1</v>
      </c>
      <c r="G580" t="str">
        <f t="shared" si="9"/>
        <v>2023-04</v>
      </c>
    </row>
    <row r="581" spans="1:7" x14ac:dyDescent="0.3">
      <c r="A581">
        <v>4077</v>
      </c>
      <c r="B581" t="s">
        <v>38</v>
      </c>
      <c r="C581" s="7">
        <v>197</v>
      </c>
      <c r="D581" s="1">
        <v>45130</v>
      </c>
      <c r="E581" s="29">
        <v>3.2</v>
      </c>
      <c r="F581" t="s">
        <v>1</v>
      </c>
      <c r="G581" t="str">
        <f t="shared" si="9"/>
        <v>2023-07</v>
      </c>
    </row>
    <row r="582" spans="1:7" x14ac:dyDescent="0.3">
      <c r="A582">
        <v>4106</v>
      </c>
      <c r="B582" t="s">
        <v>0</v>
      </c>
      <c r="C582" s="7">
        <v>112.145454545454</v>
      </c>
      <c r="D582" s="1">
        <v>44937</v>
      </c>
      <c r="E582" s="29">
        <v>1.8</v>
      </c>
      <c r="F582" t="s">
        <v>1</v>
      </c>
      <c r="G582" t="str">
        <f t="shared" si="9"/>
        <v>2023-01</v>
      </c>
    </row>
    <row r="583" spans="1:7" x14ac:dyDescent="0.3">
      <c r="A583">
        <v>4081</v>
      </c>
      <c r="B583" t="s">
        <v>40</v>
      </c>
      <c r="C583" s="7">
        <v>93</v>
      </c>
      <c r="D583" s="1">
        <v>44942</v>
      </c>
      <c r="E583" s="29">
        <v>2.5</v>
      </c>
      <c r="F583" t="s">
        <v>1</v>
      </c>
      <c r="G583" t="str">
        <f t="shared" si="9"/>
        <v>2023-01</v>
      </c>
    </row>
    <row r="584" spans="1:7" x14ac:dyDescent="0.3">
      <c r="A584">
        <v>3970</v>
      </c>
      <c r="B584" t="s">
        <v>41</v>
      </c>
      <c r="C584" s="7">
        <v>54</v>
      </c>
      <c r="D584" s="1">
        <v>44956</v>
      </c>
      <c r="E584" s="29">
        <v>2.2999999999999998</v>
      </c>
      <c r="F584" t="s">
        <v>1</v>
      </c>
      <c r="G584" t="str">
        <f t="shared" si="9"/>
        <v>2023-01</v>
      </c>
    </row>
    <row r="585" spans="1:7" x14ac:dyDescent="0.3">
      <c r="A585">
        <v>4068</v>
      </c>
      <c r="B585" t="s">
        <v>10</v>
      </c>
      <c r="C585" s="7">
        <v>148</v>
      </c>
      <c r="D585" s="1">
        <v>44923</v>
      </c>
      <c r="E585" s="29">
        <v>1.1000000000000001</v>
      </c>
      <c r="F585" t="s">
        <v>4</v>
      </c>
      <c r="G585" t="str">
        <f t="shared" si="9"/>
        <v>2022-12</v>
      </c>
    </row>
    <row r="586" spans="1:7" x14ac:dyDescent="0.3">
      <c r="A586">
        <v>3994</v>
      </c>
      <c r="B586" t="s">
        <v>7</v>
      </c>
      <c r="C586" s="7">
        <v>103</v>
      </c>
      <c r="D586" s="1">
        <v>45137</v>
      </c>
      <c r="E586" s="29">
        <v>1.7</v>
      </c>
      <c r="F586" t="s">
        <v>1</v>
      </c>
      <c r="G586" t="str">
        <f t="shared" si="9"/>
        <v>2023-07</v>
      </c>
    </row>
    <row r="587" spans="1:7" x14ac:dyDescent="0.3">
      <c r="A587">
        <v>4012</v>
      </c>
      <c r="B587" t="s">
        <v>24</v>
      </c>
      <c r="C587" s="7">
        <v>79</v>
      </c>
      <c r="D587" s="1">
        <v>45137</v>
      </c>
      <c r="E587" s="29">
        <v>2.7</v>
      </c>
      <c r="F587" t="s">
        <v>4</v>
      </c>
      <c r="G587" t="str">
        <f t="shared" si="9"/>
        <v>2023-07</v>
      </c>
    </row>
    <row r="588" spans="1:7" x14ac:dyDescent="0.3">
      <c r="A588">
        <v>4113</v>
      </c>
      <c r="B588" t="s">
        <v>42</v>
      </c>
      <c r="C588" s="7">
        <v>75</v>
      </c>
      <c r="D588" s="1">
        <v>45121</v>
      </c>
      <c r="E588" s="29">
        <v>1.1000000000000001</v>
      </c>
      <c r="F588" t="s">
        <v>1</v>
      </c>
      <c r="G588" t="str">
        <f t="shared" si="9"/>
        <v>2023-07</v>
      </c>
    </row>
    <row r="589" spans="1:7" x14ac:dyDescent="0.3">
      <c r="A589">
        <v>4073</v>
      </c>
      <c r="B589" t="s">
        <v>16</v>
      </c>
      <c r="C589" s="7">
        <v>133</v>
      </c>
      <c r="D589" s="1">
        <v>45056</v>
      </c>
      <c r="E589" s="29">
        <v>3.2</v>
      </c>
      <c r="F589" t="s">
        <v>1</v>
      </c>
      <c r="G589" t="str">
        <f t="shared" si="9"/>
        <v>2023-05</v>
      </c>
    </row>
    <row r="590" spans="1:7" x14ac:dyDescent="0.3">
      <c r="A590">
        <v>4002</v>
      </c>
      <c r="B590" t="s">
        <v>32</v>
      </c>
      <c r="C590" s="7">
        <v>85</v>
      </c>
      <c r="D590" s="1">
        <v>45017</v>
      </c>
      <c r="E590" s="29">
        <v>1.9</v>
      </c>
      <c r="F590" t="s">
        <v>4</v>
      </c>
      <c r="G590" t="str">
        <f t="shared" si="9"/>
        <v>2023-04</v>
      </c>
    </row>
    <row r="591" spans="1:7" x14ac:dyDescent="0.3">
      <c r="A591">
        <v>4056</v>
      </c>
      <c r="B591" t="s">
        <v>19</v>
      </c>
      <c r="C591" s="7">
        <v>96</v>
      </c>
      <c r="D591" s="1">
        <v>44884</v>
      </c>
      <c r="E591" s="29">
        <v>1.5</v>
      </c>
      <c r="F591" t="s">
        <v>4</v>
      </c>
      <c r="G591" t="str">
        <f t="shared" si="9"/>
        <v>2022-11</v>
      </c>
    </row>
    <row r="592" spans="1:7" x14ac:dyDescent="0.3">
      <c r="A592">
        <v>4052</v>
      </c>
      <c r="B592" t="s">
        <v>19</v>
      </c>
      <c r="C592" s="7">
        <v>129</v>
      </c>
      <c r="D592" s="1">
        <v>45019</v>
      </c>
      <c r="E592" s="29">
        <v>4.4000000000000004</v>
      </c>
      <c r="F592" t="s">
        <v>1</v>
      </c>
      <c r="G592" t="str">
        <f t="shared" si="9"/>
        <v>2023-04</v>
      </c>
    </row>
    <row r="593" spans="1:7" x14ac:dyDescent="0.3">
      <c r="A593">
        <v>3991</v>
      </c>
      <c r="B593" t="s">
        <v>8</v>
      </c>
      <c r="C593" s="7">
        <v>46</v>
      </c>
      <c r="D593" s="1">
        <v>45152</v>
      </c>
      <c r="E593" s="29">
        <v>2.9230769230769198</v>
      </c>
      <c r="F593" t="s">
        <v>1</v>
      </c>
      <c r="G593" t="str">
        <f t="shared" si="9"/>
        <v>2023-08</v>
      </c>
    </row>
    <row r="594" spans="1:7" x14ac:dyDescent="0.3">
      <c r="A594">
        <v>4074</v>
      </c>
      <c r="B594" t="s">
        <v>31</v>
      </c>
      <c r="C594" s="7">
        <v>67</v>
      </c>
      <c r="D594" s="1">
        <v>44865</v>
      </c>
      <c r="E594" s="29">
        <v>5</v>
      </c>
      <c r="F594" t="s">
        <v>1</v>
      </c>
      <c r="G594" t="str">
        <f t="shared" si="9"/>
        <v>2022-10</v>
      </c>
    </row>
    <row r="595" spans="1:7" x14ac:dyDescent="0.3">
      <c r="A595">
        <v>4006</v>
      </c>
      <c r="B595" t="s">
        <v>8</v>
      </c>
      <c r="C595" s="7">
        <v>195</v>
      </c>
      <c r="D595" s="1">
        <v>44920</v>
      </c>
      <c r="E595" s="29">
        <v>1.7</v>
      </c>
      <c r="F595" t="s">
        <v>1</v>
      </c>
      <c r="G595" t="str">
        <f t="shared" si="9"/>
        <v>2022-12</v>
      </c>
    </row>
    <row r="596" spans="1:7" x14ac:dyDescent="0.3">
      <c r="A596">
        <v>4118</v>
      </c>
      <c r="B596" t="s">
        <v>0</v>
      </c>
      <c r="C596" s="7">
        <v>111</v>
      </c>
      <c r="D596" s="1">
        <v>45010</v>
      </c>
      <c r="E596" s="29">
        <v>4.0999999999999996</v>
      </c>
      <c r="F596" t="s">
        <v>1</v>
      </c>
      <c r="G596" t="str">
        <f t="shared" si="9"/>
        <v>2023-03</v>
      </c>
    </row>
    <row r="597" spans="1:7" x14ac:dyDescent="0.3">
      <c r="A597">
        <v>4048</v>
      </c>
      <c r="B597" t="s">
        <v>28</v>
      </c>
      <c r="C597" s="7">
        <v>152</v>
      </c>
      <c r="D597" s="1">
        <v>45075</v>
      </c>
      <c r="E597" s="29">
        <v>2.6</v>
      </c>
      <c r="F597" t="s">
        <v>4</v>
      </c>
      <c r="G597" t="str">
        <f t="shared" si="9"/>
        <v>2023-05</v>
      </c>
    </row>
    <row r="598" spans="1:7" x14ac:dyDescent="0.3">
      <c r="A598">
        <v>4026</v>
      </c>
      <c r="B598" t="s">
        <v>43</v>
      </c>
      <c r="C598" s="7">
        <v>111</v>
      </c>
      <c r="D598" s="1">
        <v>45113</v>
      </c>
      <c r="E598" s="29">
        <v>4</v>
      </c>
      <c r="F598" t="s">
        <v>4</v>
      </c>
      <c r="G598" t="str">
        <f t="shared" si="9"/>
        <v>2023-07</v>
      </c>
    </row>
    <row r="599" spans="1:7" x14ac:dyDescent="0.3">
      <c r="A599">
        <v>4008</v>
      </c>
      <c r="B599" t="s">
        <v>5</v>
      </c>
      <c r="C599" s="7">
        <v>98.967741935483801</v>
      </c>
      <c r="D599" s="1">
        <v>45176</v>
      </c>
      <c r="E599" s="29">
        <v>3.4</v>
      </c>
      <c r="F599" t="s">
        <v>4</v>
      </c>
      <c r="G599" t="str">
        <f t="shared" si="9"/>
        <v>2023-09</v>
      </c>
    </row>
    <row r="600" spans="1:7" x14ac:dyDescent="0.3">
      <c r="A600">
        <v>4042</v>
      </c>
      <c r="B600" t="s">
        <v>41</v>
      </c>
      <c r="C600" s="7">
        <v>126</v>
      </c>
      <c r="D600" s="1">
        <v>44984</v>
      </c>
      <c r="E600" s="29">
        <v>2.5</v>
      </c>
      <c r="F600" t="s">
        <v>1</v>
      </c>
      <c r="G600" t="str">
        <f t="shared" si="9"/>
        <v>2023-02</v>
      </c>
    </row>
    <row r="601" spans="1:7" x14ac:dyDescent="0.3">
      <c r="A601">
        <v>3989</v>
      </c>
      <c r="B601" t="s">
        <v>51</v>
      </c>
      <c r="C601" s="7">
        <v>182</v>
      </c>
      <c r="D601" s="1">
        <v>45057</v>
      </c>
      <c r="E601" s="29">
        <v>4.5</v>
      </c>
      <c r="F601" t="s">
        <v>1</v>
      </c>
      <c r="G601" t="str">
        <f t="shared" si="9"/>
        <v>2023-05</v>
      </c>
    </row>
    <row r="602" spans="1:7" x14ac:dyDescent="0.3">
      <c r="A602">
        <v>3965</v>
      </c>
      <c r="B602" t="s">
        <v>23</v>
      </c>
      <c r="C602" s="7">
        <v>107</v>
      </c>
      <c r="D602" s="1">
        <v>44976</v>
      </c>
      <c r="E602" s="29">
        <v>4</v>
      </c>
      <c r="F602" t="s">
        <v>1</v>
      </c>
      <c r="G602" t="str">
        <f t="shared" si="9"/>
        <v>2023-02</v>
      </c>
    </row>
    <row r="603" spans="1:7" x14ac:dyDescent="0.3">
      <c r="A603">
        <v>4102</v>
      </c>
      <c r="B603" t="s">
        <v>32</v>
      </c>
      <c r="C603" s="7">
        <v>105</v>
      </c>
      <c r="D603" s="1">
        <v>44865</v>
      </c>
      <c r="E603" s="29">
        <v>3.1</v>
      </c>
      <c r="F603" t="s">
        <v>4</v>
      </c>
      <c r="G603" t="str">
        <f t="shared" si="9"/>
        <v>2022-10</v>
      </c>
    </row>
    <row r="604" spans="1:7" x14ac:dyDescent="0.3">
      <c r="A604">
        <v>3972</v>
      </c>
      <c r="B604" t="s">
        <v>25</v>
      </c>
      <c r="C604" s="7">
        <v>112.745762711864</v>
      </c>
      <c r="D604" s="1">
        <v>45102</v>
      </c>
      <c r="E604" s="29">
        <v>4.4000000000000004</v>
      </c>
      <c r="F604" t="s">
        <v>4</v>
      </c>
      <c r="G604" t="str">
        <f t="shared" si="9"/>
        <v>2023-06</v>
      </c>
    </row>
    <row r="605" spans="1:7" x14ac:dyDescent="0.3">
      <c r="A605">
        <v>4028</v>
      </c>
      <c r="B605" t="s">
        <v>37</v>
      </c>
      <c r="C605" s="7">
        <v>16</v>
      </c>
      <c r="D605" s="1">
        <v>45006</v>
      </c>
      <c r="E605" s="29">
        <v>2.9</v>
      </c>
      <c r="F605" t="s">
        <v>4</v>
      </c>
      <c r="G605" t="str">
        <f t="shared" si="9"/>
        <v>2023-03</v>
      </c>
    </row>
    <row r="606" spans="1:7" x14ac:dyDescent="0.3">
      <c r="A606">
        <v>3991</v>
      </c>
      <c r="B606" t="s">
        <v>23</v>
      </c>
      <c r="C606" s="7">
        <v>153</v>
      </c>
      <c r="D606" s="1">
        <v>45161</v>
      </c>
      <c r="E606" s="29">
        <v>2.8</v>
      </c>
      <c r="F606" t="s">
        <v>4</v>
      </c>
      <c r="G606" t="str">
        <f t="shared" si="9"/>
        <v>2023-08</v>
      </c>
    </row>
    <row r="607" spans="1:7" x14ac:dyDescent="0.3">
      <c r="A607">
        <v>3985</v>
      </c>
      <c r="B607" t="s">
        <v>40</v>
      </c>
      <c r="C607" s="7">
        <v>166</v>
      </c>
      <c r="D607" s="1">
        <v>45093</v>
      </c>
      <c r="E607" s="29">
        <v>1.7</v>
      </c>
      <c r="F607" t="s">
        <v>4</v>
      </c>
      <c r="G607" t="str">
        <f t="shared" si="9"/>
        <v>2023-06</v>
      </c>
    </row>
    <row r="608" spans="1:7" x14ac:dyDescent="0.3">
      <c r="A608">
        <v>4076</v>
      </c>
      <c r="B608" t="s">
        <v>21</v>
      </c>
      <c r="C608" s="7">
        <v>26</v>
      </c>
      <c r="D608" s="1">
        <v>45019</v>
      </c>
      <c r="E608" s="29">
        <v>3.1</v>
      </c>
      <c r="F608" t="s">
        <v>4</v>
      </c>
      <c r="G608" t="str">
        <f t="shared" si="9"/>
        <v>2023-04</v>
      </c>
    </row>
    <row r="609" spans="1:7" x14ac:dyDescent="0.3">
      <c r="A609">
        <v>4074</v>
      </c>
      <c r="B609" t="s">
        <v>51</v>
      </c>
      <c r="C609" s="7">
        <v>128</v>
      </c>
      <c r="D609" s="1">
        <v>45105</v>
      </c>
      <c r="E609" s="29">
        <v>2.9</v>
      </c>
      <c r="F609" t="s">
        <v>1</v>
      </c>
      <c r="G609" t="str">
        <f t="shared" si="9"/>
        <v>2023-06</v>
      </c>
    </row>
    <row r="610" spans="1:7" x14ac:dyDescent="0.3">
      <c r="A610">
        <v>4064</v>
      </c>
      <c r="B610" t="s">
        <v>50</v>
      </c>
      <c r="C610" s="7">
        <v>87</v>
      </c>
      <c r="D610" s="1">
        <v>45107</v>
      </c>
      <c r="E610" s="29">
        <v>4.5999999999999996</v>
      </c>
      <c r="F610" t="s">
        <v>1</v>
      </c>
      <c r="G610" t="str">
        <f t="shared" si="9"/>
        <v>2023-06</v>
      </c>
    </row>
    <row r="611" spans="1:7" x14ac:dyDescent="0.3">
      <c r="A611">
        <v>4000</v>
      </c>
      <c r="B611" t="s">
        <v>42</v>
      </c>
      <c r="C611" s="7">
        <v>39</v>
      </c>
      <c r="D611" s="1">
        <v>44934</v>
      </c>
      <c r="E611" s="29">
        <v>3.6</v>
      </c>
      <c r="F611" t="s">
        <v>1</v>
      </c>
      <c r="G611" t="str">
        <f t="shared" si="9"/>
        <v>2023-01</v>
      </c>
    </row>
    <row r="612" spans="1:7" x14ac:dyDescent="0.3">
      <c r="A612">
        <v>4044</v>
      </c>
      <c r="B612" t="s">
        <v>26</v>
      </c>
      <c r="C612" s="7">
        <v>103.267857142857</v>
      </c>
      <c r="D612" s="1">
        <v>45113</v>
      </c>
      <c r="E612" s="29">
        <v>2.6</v>
      </c>
      <c r="F612" t="s">
        <v>4</v>
      </c>
      <c r="G612" t="str">
        <f t="shared" si="9"/>
        <v>2023-07</v>
      </c>
    </row>
    <row r="613" spans="1:7" x14ac:dyDescent="0.3">
      <c r="A613">
        <v>4013</v>
      </c>
      <c r="B613" t="s">
        <v>21</v>
      </c>
      <c r="C613" s="7">
        <v>87</v>
      </c>
      <c r="D613" s="1">
        <v>44923</v>
      </c>
      <c r="E613" s="29">
        <v>3.5</v>
      </c>
      <c r="F613" t="s">
        <v>4</v>
      </c>
      <c r="G613" t="str">
        <f t="shared" si="9"/>
        <v>2022-12</v>
      </c>
    </row>
    <row r="614" spans="1:7" x14ac:dyDescent="0.3">
      <c r="A614">
        <v>4032</v>
      </c>
      <c r="B614" t="s">
        <v>48</v>
      </c>
      <c r="C614" s="7">
        <v>39</v>
      </c>
      <c r="D614" s="1">
        <v>45000</v>
      </c>
      <c r="E614" s="29">
        <v>3.5</v>
      </c>
      <c r="F614" t="s">
        <v>1</v>
      </c>
      <c r="G614" t="str">
        <f t="shared" si="9"/>
        <v>2023-03</v>
      </c>
    </row>
    <row r="615" spans="1:7" x14ac:dyDescent="0.3">
      <c r="A615">
        <v>4111</v>
      </c>
      <c r="B615" t="s">
        <v>36</v>
      </c>
      <c r="C615" s="7">
        <v>90.925925925925895</v>
      </c>
      <c r="D615" s="1">
        <v>45194</v>
      </c>
      <c r="E615" s="29">
        <v>3.4</v>
      </c>
      <c r="F615" t="s">
        <v>4</v>
      </c>
      <c r="G615" t="str">
        <f t="shared" si="9"/>
        <v>2023-09</v>
      </c>
    </row>
    <row r="616" spans="1:7" x14ac:dyDescent="0.3">
      <c r="A616">
        <v>3997</v>
      </c>
      <c r="B616" t="s">
        <v>0</v>
      </c>
      <c r="C616" s="7">
        <v>44</v>
      </c>
      <c r="D616" s="1">
        <v>45059</v>
      </c>
      <c r="E616" s="29">
        <v>4.8</v>
      </c>
      <c r="F616" t="s">
        <v>1</v>
      </c>
      <c r="G616" t="str">
        <f t="shared" si="9"/>
        <v>2023-05</v>
      </c>
    </row>
    <row r="617" spans="1:7" x14ac:dyDescent="0.3">
      <c r="A617">
        <v>4120</v>
      </c>
      <c r="B617" t="s">
        <v>9</v>
      </c>
      <c r="C617" s="7">
        <v>104</v>
      </c>
      <c r="D617" s="1">
        <v>45199</v>
      </c>
      <c r="E617" s="29">
        <v>2</v>
      </c>
      <c r="F617" t="s">
        <v>1</v>
      </c>
      <c r="G617" t="str">
        <f t="shared" si="9"/>
        <v>2023-09</v>
      </c>
    </row>
    <row r="618" spans="1:7" x14ac:dyDescent="0.3">
      <c r="A618">
        <v>4113</v>
      </c>
      <c r="B618" t="s">
        <v>34</v>
      </c>
      <c r="C618" s="7">
        <v>200</v>
      </c>
      <c r="D618" s="1">
        <v>45080</v>
      </c>
      <c r="E618" s="29">
        <v>2.9</v>
      </c>
      <c r="F618" t="s">
        <v>1</v>
      </c>
      <c r="G618" t="str">
        <f t="shared" si="9"/>
        <v>2023-06</v>
      </c>
    </row>
    <row r="619" spans="1:7" x14ac:dyDescent="0.3">
      <c r="A619">
        <v>4000</v>
      </c>
      <c r="B619" t="s">
        <v>37</v>
      </c>
      <c r="C619" s="7">
        <v>148</v>
      </c>
      <c r="D619" s="1">
        <v>44905</v>
      </c>
      <c r="E619" s="29">
        <v>3.0156626506023998</v>
      </c>
      <c r="F619" t="s">
        <v>4</v>
      </c>
      <c r="G619" t="str">
        <f t="shared" si="9"/>
        <v>2022-12</v>
      </c>
    </row>
    <row r="620" spans="1:7" x14ac:dyDescent="0.3">
      <c r="A620">
        <v>4104</v>
      </c>
      <c r="B620" t="s">
        <v>32</v>
      </c>
      <c r="C620" s="7">
        <v>200</v>
      </c>
      <c r="D620" s="1">
        <v>45043</v>
      </c>
      <c r="E620" s="29">
        <v>4</v>
      </c>
      <c r="F620" t="s">
        <v>1</v>
      </c>
      <c r="G620" t="str">
        <f t="shared" si="9"/>
        <v>2023-04</v>
      </c>
    </row>
    <row r="621" spans="1:7" x14ac:dyDescent="0.3">
      <c r="A621">
        <v>4098</v>
      </c>
      <c r="B621" t="s">
        <v>27</v>
      </c>
      <c r="C621" s="7">
        <v>116</v>
      </c>
      <c r="D621" s="1">
        <v>44924</v>
      </c>
      <c r="E621" s="29">
        <v>3.6</v>
      </c>
      <c r="F621" t="s">
        <v>1</v>
      </c>
      <c r="G621" t="str">
        <f t="shared" si="9"/>
        <v>2022-12</v>
      </c>
    </row>
    <row r="622" spans="1:7" x14ac:dyDescent="0.3">
      <c r="A622">
        <v>4015</v>
      </c>
      <c r="B622" t="s">
        <v>5</v>
      </c>
      <c r="C622" s="7">
        <v>135</v>
      </c>
      <c r="D622" s="1">
        <v>44845</v>
      </c>
      <c r="E622" s="29">
        <v>4.5</v>
      </c>
      <c r="F622" t="s">
        <v>1</v>
      </c>
      <c r="G622" t="str">
        <f t="shared" si="9"/>
        <v>2022-10</v>
      </c>
    </row>
    <row r="623" spans="1:7" x14ac:dyDescent="0.3">
      <c r="A623">
        <v>3979</v>
      </c>
      <c r="B623" t="s">
        <v>44</v>
      </c>
      <c r="C623" s="7">
        <v>81</v>
      </c>
      <c r="D623" s="1">
        <v>45096</v>
      </c>
      <c r="E623" s="29">
        <v>1.6</v>
      </c>
      <c r="F623" t="s">
        <v>4</v>
      </c>
      <c r="G623" t="str">
        <f t="shared" si="9"/>
        <v>2023-06</v>
      </c>
    </row>
    <row r="624" spans="1:7" x14ac:dyDescent="0.3">
      <c r="A624">
        <v>4062</v>
      </c>
      <c r="B624" t="s">
        <v>3</v>
      </c>
      <c r="C624" s="7">
        <v>100.679999999999</v>
      </c>
      <c r="D624" s="1">
        <v>44972</v>
      </c>
      <c r="E624" s="29">
        <v>4.5</v>
      </c>
      <c r="F624" t="s">
        <v>4</v>
      </c>
      <c r="G624" t="str">
        <f t="shared" si="9"/>
        <v>2023-02</v>
      </c>
    </row>
    <row r="625" spans="1:7" x14ac:dyDescent="0.3">
      <c r="A625">
        <v>4090</v>
      </c>
      <c r="B625" t="s">
        <v>2</v>
      </c>
      <c r="C625" s="7">
        <v>123</v>
      </c>
      <c r="D625" s="1">
        <v>45039</v>
      </c>
      <c r="E625" s="29">
        <v>4.7</v>
      </c>
      <c r="F625" t="s">
        <v>4</v>
      </c>
      <c r="G625" t="str">
        <f t="shared" si="9"/>
        <v>2023-04</v>
      </c>
    </row>
    <row r="626" spans="1:7" x14ac:dyDescent="0.3">
      <c r="A626">
        <v>4082</v>
      </c>
      <c r="B626" t="s">
        <v>48</v>
      </c>
      <c r="C626" s="7">
        <v>70</v>
      </c>
      <c r="D626" s="1">
        <v>45082</v>
      </c>
      <c r="E626" s="29">
        <v>2.2999999999999998</v>
      </c>
      <c r="F626" t="s">
        <v>1</v>
      </c>
      <c r="G626" t="str">
        <f t="shared" si="9"/>
        <v>2023-06</v>
      </c>
    </row>
    <row r="627" spans="1:7" x14ac:dyDescent="0.3">
      <c r="A627">
        <v>4012</v>
      </c>
      <c r="B627" t="s">
        <v>3</v>
      </c>
      <c r="C627" s="7">
        <v>35</v>
      </c>
      <c r="D627" s="1">
        <v>44900</v>
      </c>
      <c r="E627" s="29">
        <v>4.5999999999999996</v>
      </c>
      <c r="F627" t="s">
        <v>1</v>
      </c>
      <c r="G627" t="str">
        <f t="shared" si="9"/>
        <v>2022-12</v>
      </c>
    </row>
    <row r="628" spans="1:7" x14ac:dyDescent="0.3">
      <c r="A628">
        <v>4108</v>
      </c>
      <c r="B628" t="s">
        <v>44</v>
      </c>
      <c r="C628" s="7">
        <v>104</v>
      </c>
      <c r="D628" s="1">
        <v>45173</v>
      </c>
      <c r="E628" s="29">
        <v>2.8</v>
      </c>
      <c r="F628" t="s">
        <v>4</v>
      </c>
      <c r="G628" t="str">
        <f t="shared" si="9"/>
        <v>2023-09</v>
      </c>
    </row>
    <row r="629" spans="1:7" x14ac:dyDescent="0.3">
      <c r="A629">
        <v>4078</v>
      </c>
      <c r="B629" t="s">
        <v>30</v>
      </c>
      <c r="C629" s="7">
        <v>175</v>
      </c>
      <c r="D629" s="1">
        <v>45135</v>
      </c>
      <c r="E629" s="29">
        <v>3.4</v>
      </c>
      <c r="F629" t="s">
        <v>4</v>
      </c>
      <c r="G629" t="str">
        <f t="shared" si="9"/>
        <v>2023-07</v>
      </c>
    </row>
    <row r="630" spans="1:7" x14ac:dyDescent="0.3">
      <c r="A630">
        <v>4075</v>
      </c>
      <c r="B630" t="s">
        <v>39</v>
      </c>
      <c r="C630" s="7">
        <v>111</v>
      </c>
      <c r="D630" s="1">
        <v>44922</v>
      </c>
      <c r="E630" s="29">
        <v>4.2</v>
      </c>
      <c r="F630" t="s">
        <v>4</v>
      </c>
      <c r="G630" t="str">
        <f t="shared" si="9"/>
        <v>2022-12</v>
      </c>
    </row>
    <row r="631" spans="1:7" x14ac:dyDescent="0.3">
      <c r="A631">
        <v>4028</v>
      </c>
      <c r="B631" t="s">
        <v>24</v>
      </c>
      <c r="C631" s="7">
        <v>41</v>
      </c>
      <c r="D631" s="1">
        <v>45021</v>
      </c>
      <c r="E631" s="29">
        <v>3</v>
      </c>
      <c r="F631" t="s">
        <v>1</v>
      </c>
      <c r="G631" t="str">
        <f t="shared" si="9"/>
        <v>2023-04</v>
      </c>
    </row>
    <row r="632" spans="1:7" x14ac:dyDescent="0.3">
      <c r="A632">
        <v>3960</v>
      </c>
      <c r="B632" t="s">
        <v>6</v>
      </c>
      <c r="C632" s="7">
        <v>126</v>
      </c>
      <c r="D632" s="1">
        <v>44992</v>
      </c>
      <c r="E632" s="29">
        <v>3.4</v>
      </c>
      <c r="F632" t="s">
        <v>1</v>
      </c>
      <c r="G632" t="str">
        <f t="shared" si="9"/>
        <v>2023-03</v>
      </c>
    </row>
    <row r="633" spans="1:7" x14ac:dyDescent="0.3">
      <c r="A633">
        <v>4066</v>
      </c>
      <c r="B633" t="s">
        <v>26</v>
      </c>
      <c r="C633" s="7">
        <v>103.267857142857</v>
      </c>
      <c r="D633" s="1">
        <v>44946</v>
      </c>
      <c r="E633" s="29">
        <v>4.7</v>
      </c>
      <c r="F633" t="s">
        <v>1</v>
      </c>
      <c r="G633" t="str">
        <f t="shared" si="9"/>
        <v>2023-01</v>
      </c>
    </row>
    <row r="634" spans="1:7" x14ac:dyDescent="0.3">
      <c r="A634">
        <v>4020</v>
      </c>
      <c r="B634" t="s">
        <v>0</v>
      </c>
      <c r="C634" s="7">
        <v>173</v>
      </c>
      <c r="D634" s="1">
        <v>45162</v>
      </c>
      <c r="E634" s="29">
        <v>2.8</v>
      </c>
      <c r="F634" t="s">
        <v>4</v>
      </c>
      <c r="G634" t="str">
        <f t="shared" si="9"/>
        <v>2023-08</v>
      </c>
    </row>
    <row r="635" spans="1:7" x14ac:dyDescent="0.3">
      <c r="A635">
        <v>4020</v>
      </c>
      <c r="B635" t="s">
        <v>8</v>
      </c>
      <c r="C635" s="7">
        <v>15</v>
      </c>
      <c r="D635" s="1">
        <v>44999</v>
      </c>
      <c r="E635" s="29">
        <v>1</v>
      </c>
      <c r="F635" t="s">
        <v>1</v>
      </c>
      <c r="G635" t="str">
        <f t="shared" si="9"/>
        <v>2023-03</v>
      </c>
    </row>
    <row r="636" spans="1:7" x14ac:dyDescent="0.3">
      <c r="A636">
        <v>4040</v>
      </c>
      <c r="B636" t="s">
        <v>25</v>
      </c>
      <c r="C636" s="7">
        <v>112.745762711864</v>
      </c>
      <c r="D636" s="1">
        <v>45027</v>
      </c>
      <c r="E636" s="29">
        <v>2.8291666666666599</v>
      </c>
      <c r="F636" t="s">
        <v>1</v>
      </c>
      <c r="G636" t="str">
        <f t="shared" si="9"/>
        <v>2023-04</v>
      </c>
    </row>
    <row r="637" spans="1:7" x14ac:dyDescent="0.3">
      <c r="A637">
        <v>4068</v>
      </c>
      <c r="B637" t="s">
        <v>49</v>
      </c>
      <c r="C637" s="7">
        <v>42</v>
      </c>
      <c r="D637" s="1">
        <v>44877</v>
      </c>
      <c r="E637" s="29">
        <v>4.5</v>
      </c>
      <c r="F637" t="s">
        <v>4</v>
      </c>
      <c r="G637" t="str">
        <f t="shared" si="9"/>
        <v>2022-11</v>
      </c>
    </row>
    <row r="638" spans="1:7" x14ac:dyDescent="0.3">
      <c r="A638">
        <v>4105</v>
      </c>
      <c r="B638" t="s">
        <v>24</v>
      </c>
      <c r="C638" s="7">
        <v>62</v>
      </c>
      <c r="D638" s="1">
        <v>45135</v>
      </c>
      <c r="E638" s="29">
        <v>4.4000000000000004</v>
      </c>
      <c r="F638" t="s">
        <v>1</v>
      </c>
      <c r="G638" t="str">
        <f t="shared" si="9"/>
        <v>2023-07</v>
      </c>
    </row>
    <row r="639" spans="1:7" x14ac:dyDescent="0.3">
      <c r="A639">
        <v>4013</v>
      </c>
      <c r="B639" t="s">
        <v>22</v>
      </c>
      <c r="C639" s="7">
        <v>107.949152542372</v>
      </c>
      <c r="D639" s="1">
        <v>45036</v>
      </c>
      <c r="E639" s="29">
        <v>3.1651515151515102</v>
      </c>
      <c r="F639" t="s">
        <v>1</v>
      </c>
      <c r="G639" t="str">
        <f t="shared" si="9"/>
        <v>2023-04</v>
      </c>
    </row>
    <row r="640" spans="1:7" x14ac:dyDescent="0.3">
      <c r="A640">
        <v>4108</v>
      </c>
      <c r="B640" t="s">
        <v>22</v>
      </c>
      <c r="C640" s="7">
        <v>63</v>
      </c>
      <c r="D640" s="1">
        <v>44922</v>
      </c>
      <c r="E640" s="29">
        <v>2</v>
      </c>
      <c r="F640" t="s">
        <v>1</v>
      </c>
      <c r="G640" t="str">
        <f t="shared" si="9"/>
        <v>2022-12</v>
      </c>
    </row>
    <row r="641" spans="1:7" x14ac:dyDescent="0.3">
      <c r="A641">
        <v>3995</v>
      </c>
      <c r="B641" t="s">
        <v>33</v>
      </c>
      <c r="C641" s="7">
        <v>69</v>
      </c>
      <c r="D641" s="1">
        <v>45120</v>
      </c>
      <c r="E641" s="29">
        <v>1.5</v>
      </c>
      <c r="F641" t="s">
        <v>1</v>
      </c>
      <c r="G641" t="str">
        <f t="shared" si="9"/>
        <v>2023-07</v>
      </c>
    </row>
    <row r="642" spans="1:7" x14ac:dyDescent="0.3">
      <c r="A642">
        <v>4103</v>
      </c>
      <c r="B642" t="s">
        <v>49</v>
      </c>
      <c r="C642" s="7">
        <v>47</v>
      </c>
      <c r="D642" s="1">
        <v>44917</v>
      </c>
      <c r="E642" s="29">
        <v>3.6</v>
      </c>
      <c r="F642" t="s">
        <v>1</v>
      </c>
      <c r="G642" t="str">
        <f t="shared" si="9"/>
        <v>2022-12</v>
      </c>
    </row>
    <row r="643" spans="1:7" x14ac:dyDescent="0.3">
      <c r="A643">
        <v>3958</v>
      </c>
      <c r="B643" t="s">
        <v>38</v>
      </c>
      <c r="C643" s="7">
        <v>162</v>
      </c>
      <c r="D643" s="1">
        <v>44924</v>
      </c>
      <c r="E643" s="29">
        <v>1.1000000000000001</v>
      </c>
      <c r="F643" t="s">
        <v>4</v>
      </c>
      <c r="G643" t="str">
        <f t="shared" ref="G643:G706" si="10">TEXT(D643,"ГГГГ-ММ")</f>
        <v>2022-12</v>
      </c>
    </row>
    <row r="644" spans="1:7" x14ac:dyDescent="0.3">
      <c r="A644">
        <v>4063</v>
      </c>
      <c r="B644" t="s">
        <v>0</v>
      </c>
      <c r="C644" s="7">
        <v>112.145454545454</v>
      </c>
      <c r="D644" s="1">
        <v>44929</v>
      </c>
      <c r="E644" s="29">
        <v>3.9</v>
      </c>
      <c r="F644" t="s">
        <v>1</v>
      </c>
      <c r="G644" t="str">
        <f t="shared" si="10"/>
        <v>2023-01</v>
      </c>
    </row>
    <row r="645" spans="1:7" x14ac:dyDescent="0.3">
      <c r="A645">
        <v>3968</v>
      </c>
      <c r="B645" t="s">
        <v>25</v>
      </c>
      <c r="C645" s="7">
        <v>47</v>
      </c>
      <c r="D645" s="1">
        <v>45015</v>
      </c>
      <c r="E645" s="29">
        <v>2.6</v>
      </c>
      <c r="F645" t="s">
        <v>1</v>
      </c>
      <c r="G645" t="str">
        <f t="shared" si="10"/>
        <v>2023-03</v>
      </c>
    </row>
    <row r="646" spans="1:7" x14ac:dyDescent="0.3">
      <c r="A646">
        <v>3967</v>
      </c>
      <c r="B646" t="s">
        <v>11</v>
      </c>
      <c r="C646" s="7">
        <v>148</v>
      </c>
      <c r="D646" s="1">
        <v>44840</v>
      </c>
      <c r="E646" s="29">
        <v>4.0999999999999996</v>
      </c>
      <c r="F646" t="s">
        <v>1</v>
      </c>
      <c r="G646" t="str">
        <f t="shared" si="10"/>
        <v>2022-10</v>
      </c>
    </row>
    <row r="647" spans="1:7" x14ac:dyDescent="0.3">
      <c r="A647">
        <v>4077</v>
      </c>
      <c r="B647" t="s">
        <v>27</v>
      </c>
      <c r="C647" s="7">
        <v>54</v>
      </c>
      <c r="D647" s="1">
        <v>44890</v>
      </c>
      <c r="E647" s="29">
        <v>3.9</v>
      </c>
      <c r="F647" t="s">
        <v>1</v>
      </c>
      <c r="G647" t="str">
        <f t="shared" si="10"/>
        <v>2022-11</v>
      </c>
    </row>
    <row r="648" spans="1:7" x14ac:dyDescent="0.3">
      <c r="A648">
        <v>4086</v>
      </c>
      <c r="B648" t="s">
        <v>0</v>
      </c>
      <c r="C648" s="7">
        <v>112.145454545454</v>
      </c>
      <c r="D648" s="1">
        <v>45109</v>
      </c>
      <c r="E648" s="29">
        <v>3.6</v>
      </c>
      <c r="F648" t="s">
        <v>4</v>
      </c>
      <c r="G648" t="str">
        <f t="shared" si="10"/>
        <v>2023-07</v>
      </c>
    </row>
    <row r="649" spans="1:7" x14ac:dyDescent="0.3">
      <c r="A649">
        <v>3965</v>
      </c>
      <c r="B649" t="s">
        <v>7</v>
      </c>
      <c r="C649" s="7">
        <v>43</v>
      </c>
      <c r="D649" s="1">
        <v>44929</v>
      </c>
      <c r="E649" s="29">
        <v>1.5</v>
      </c>
      <c r="F649" t="s">
        <v>1</v>
      </c>
      <c r="G649" t="str">
        <f t="shared" si="10"/>
        <v>2023-01</v>
      </c>
    </row>
    <row r="650" spans="1:7" x14ac:dyDescent="0.3">
      <c r="A650">
        <v>4065</v>
      </c>
      <c r="B650" t="s">
        <v>43</v>
      </c>
      <c r="C650" s="7">
        <v>117.354166666666</v>
      </c>
      <c r="D650" s="1">
        <v>45016</v>
      </c>
      <c r="E650" s="29">
        <v>2</v>
      </c>
      <c r="F650" t="s">
        <v>4</v>
      </c>
      <c r="G650" t="str">
        <f t="shared" si="10"/>
        <v>2023-03</v>
      </c>
    </row>
    <row r="651" spans="1:7" x14ac:dyDescent="0.3">
      <c r="A651">
        <v>4092</v>
      </c>
      <c r="B651" t="s">
        <v>28</v>
      </c>
      <c r="C651" s="7">
        <v>70</v>
      </c>
      <c r="D651" s="1">
        <v>45175</v>
      </c>
      <c r="E651" s="29">
        <v>4</v>
      </c>
      <c r="F651" t="s">
        <v>1</v>
      </c>
      <c r="G651" t="str">
        <f t="shared" si="10"/>
        <v>2023-09</v>
      </c>
    </row>
    <row r="652" spans="1:7" x14ac:dyDescent="0.3">
      <c r="A652">
        <v>4057</v>
      </c>
      <c r="B652" t="s">
        <v>48</v>
      </c>
      <c r="C652" s="7">
        <v>14</v>
      </c>
      <c r="D652" s="1">
        <v>45161</v>
      </c>
      <c r="E652" s="29">
        <v>1.7</v>
      </c>
      <c r="F652" t="s">
        <v>4</v>
      </c>
      <c r="G652" t="str">
        <f t="shared" si="10"/>
        <v>2023-08</v>
      </c>
    </row>
    <row r="653" spans="1:7" x14ac:dyDescent="0.3">
      <c r="A653">
        <v>4079</v>
      </c>
      <c r="B653" t="s">
        <v>48</v>
      </c>
      <c r="C653" s="7">
        <v>107.26027397260199</v>
      </c>
      <c r="D653" s="1">
        <v>45043</v>
      </c>
      <c r="E653" s="29">
        <v>2.4</v>
      </c>
      <c r="F653" t="s">
        <v>1</v>
      </c>
      <c r="G653" t="str">
        <f t="shared" si="10"/>
        <v>2023-04</v>
      </c>
    </row>
    <row r="654" spans="1:7" x14ac:dyDescent="0.3">
      <c r="A654">
        <v>3982</v>
      </c>
      <c r="B654" t="s">
        <v>33</v>
      </c>
      <c r="C654" s="7">
        <v>113.54098360655701</v>
      </c>
      <c r="D654" s="1">
        <v>44922</v>
      </c>
      <c r="E654" s="29">
        <v>4.2</v>
      </c>
      <c r="F654" t="s">
        <v>4</v>
      </c>
      <c r="G654" t="str">
        <f t="shared" si="10"/>
        <v>2022-12</v>
      </c>
    </row>
    <row r="655" spans="1:7" x14ac:dyDescent="0.3">
      <c r="A655">
        <v>4072</v>
      </c>
      <c r="B655" t="s">
        <v>48</v>
      </c>
      <c r="C655" s="7">
        <v>144</v>
      </c>
      <c r="D655" s="1">
        <v>44989</v>
      </c>
      <c r="E655" s="29">
        <v>1.4</v>
      </c>
      <c r="F655" t="s">
        <v>1</v>
      </c>
      <c r="G655" t="str">
        <f t="shared" si="10"/>
        <v>2023-03</v>
      </c>
    </row>
    <row r="656" spans="1:7" x14ac:dyDescent="0.3">
      <c r="A656">
        <v>4083</v>
      </c>
      <c r="B656" t="s">
        <v>30</v>
      </c>
      <c r="C656" s="7">
        <v>99.866666666666603</v>
      </c>
      <c r="D656" s="1">
        <v>45064</v>
      </c>
      <c r="E656" s="29">
        <v>1.3</v>
      </c>
      <c r="F656" t="s">
        <v>1</v>
      </c>
      <c r="G656" t="str">
        <f t="shared" si="10"/>
        <v>2023-05</v>
      </c>
    </row>
    <row r="657" spans="1:7" x14ac:dyDescent="0.3">
      <c r="A657">
        <v>4018</v>
      </c>
      <c r="B657" t="s">
        <v>0</v>
      </c>
      <c r="C657" s="7">
        <v>112.145454545454</v>
      </c>
      <c r="D657" s="1">
        <v>44924</v>
      </c>
      <c r="E657" s="29">
        <v>3</v>
      </c>
      <c r="F657" t="s">
        <v>4</v>
      </c>
      <c r="G657" t="str">
        <f t="shared" si="10"/>
        <v>2022-12</v>
      </c>
    </row>
    <row r="658" spans="1:7" x14ac:dyDescent="0.3">
      <c r="A658">
        <v>3978</v>
      </c>
      <c r="B658" t="s">
        <v>22</v>
      </c>
      <c r="C658" s="7">
        <v>102</v>
      </c>
      <c r="D658" s="1">
        <v>45118</v>
      </c>
      <c r="E658" s="29">
        <v>2</v>
      </c>
      <c r="F658" t="s">
        <v>1</v>
      </c>
      <c r="G658" t="str">
        <f t="shared" si="10"/>
        <v>2023-07</v>
      </c>
    </row>
    <row r="659" spans="1:7" x14ac:dyDescent="0.3">
      <c r="A659">
        <v>4099</v>
      </c>
      <c r="B659" t="s">
        <v>36</v>
      </c>
      <c r="C659" s="7">
        <v>37</v>
      </c>
      <c r="D659" s="1">
        <v>45046</v>
      </c>
      <c r="E659" s="29">
        <v>2.8</v>
      </c>
      <c r="F659" t="s">
        <v>4</v>
      </c>
      <c r="G659" t="str">
        <f t="shared" si="10"/>
        <v>2023-04</v>
      </c>
    </row>
    <row r="660" spans="1:7" x14ac:dyDescent="0.3">
      <c r="A660">
        <v>3960</v>
      </c>
      <c r="B660" t="s">
        <v>18</v>
      </c>
      <c r="C660" s="7">
        <v>66</v>
      </c>
      <c r="D660" s="1">
        <v>44932</v>
      </c>
      <c r="E660" s="29">
        <v>3.8</v>
      </c>
      <c r="F660" t="s">
        <v>4</v>
      </c>
      <c r="G660" t="str">
        <f t="shared" si="10"/>
        <v>2023-01</v>
      </c>
    </row>
    <row r="661" spans="1:7" x14ac:dyDescent="0.3">
      <c r="A661">
        <v>4061</v>
      </c>
      <c r="B661" t="s">
        <v>17</v>
      </c>
      <c r="C661" s="7">
        <v>21</v>
      </c>
      <c r="D661" s="1">
        <v>45137</v>
      </c>
      <c r="E661" s="29">
        <v>3.4</v>
      </c>
      <c r="F661" t="s">
        <v>1</v>
      </c>
      <c r="G661" t="str">
        <f t="shared" si="10"/>
        <v>2023-07</v>
      </c>
    </row>
    <row r="662" spans="1:7" x14ac:dyDescent="0.3">
      <c r="A662">
        <v>4012</v>
      </c>
      <c r="B662" t="s">
        <v>34</v>
      </c>
      <c r="C662" s="7">
        <v>178</v>
      </c>
      <c r="D662" s="1">
        <v>44964</v>
      </c>
      <c r="E662" s="29">
        <v>1.6</v>
      </c>
      <c r="F662" t="s">
        <v>4</v>
      </c>
      <c r="G662" t="str">
        <f t="shared" si="10"/>
        <v>2023-02</v>
      </c>
    </row>
    <row r="663" spans="1:7" x14ac:dyDescent="0.3">
      <c r="A663">
        <v>3990</v>
      </c>
      <c r="B663" t="s">
        <v>41</v>
      </c>
      <c r="C663" s="7">
        <v>127</v>
      </c>
      <c r="D663" s="1">
        <v>44928</v>
      </c>
      <c r="E663" s="29">
        <v>1.9</v>
      </c>
      <c r="F663" t="s">
        <v>4</v>
      </c>
      <c r="G663" t="str">
        <f t="shared" si="10"/>
        <v>2023-01</v>
      </c>
    </row>
    <row r="664" spans="1:7" x14ac:dyDescent="0.3">
      <c r="A664">
        <v>4048</v>
      </c>
      <c r="B664" t="s">
        <v>41</v>
      </c>
      <c r="C664" s="7">
        <v>17</v>
      </c>
      <c r="D664" s="1">
        <v>45166</v>
      </c>
      <c r="E664" s="29">
        <v>2.5</v>
      </c>
      <c r="F664" t="s">
        <v>4</v>
      </c>
      <c r="G664" t="str">
        <f t="shared" si="10"/>
        <v>2023-08</v>
      </c>
    </row>
    <row r="665" spans="1:7" x14ac:dyDescent="0.3">
      <c r="A665">
        <v>4032</v>
      </c>
      <c r="B665" t="s">
        <v>42</v>
      </c>
      <c r="C665" s="7">
        <v>114.396551724137</v>
      </c>
      <c r="D665" s="1">
        <v>44842</v>
      </c>
      <c r="E665" s="29">
        <v>4.8</v>
      </c>
      <c r="F665" t="s">
        <v>1</v>
      </c>
      <c r="G665" t="str">
        <f t="shared" si="10"/>
        <v>2022-10</v>
      </c>
    </row>
    <row r="666" spans="1:7" x14ac:dyDescent="0.3">
      <c r="A666">
        <v>4018</v>
      </c>
      <c r="B666" t="s">
        <v>11</v>
      </c>
      <c r="C666" s="7">
        <v>112</v>
      </c>
      <c r="D666" s="1">
        <v>44882</v>
      </c>
      <c r="E666" s="29">
        <v>3.5</v>
      </c>
      <c r="F666" t="s">
        <v>1</v>
      </c>
      <c r="G666" t="str">
        <f t="shared" si="10"/>
        <v>2022-11</v>
      </c>
    </row>
    <row r="667" spans="1:7" x14ac:dyDescent="0.3">
      <c r="A667">
        <v>4122</v>
      </c>
      <c r="B667" t="s">
        <v>24</v>
      </c>
      <c r="C667" s="7">
        <v>37</v>
      </c>
      <c r="D667" s="1">
        <v>44922</v>
      </c>
      <c r="E667" s="29">
        <v>2.8</v>
      </c>
      <c r="F667" t="s">
        <v>4</v>
      </c>
      <c r="G667" t="str">
        <f t="shared" si="10"/>
        <v>2022-12</v>
      </c>
    </row>
    <row r="668" spans="1:7" x14ac:dyDescent="0.3">
      <c r="A668">
        <v>3980</v>
      </c>
      <c r="B668" t="s">
        <v>8</v>
      </c>
      <c r="C668" s="7">
        <v>123</v>
      </c>
      <c r="D668" s="1">
        <v>44919</v>
      </c>
      <c r="E668" s="29">
        <v>4</v>
      </c>
      <c r="F668" t="s">
        <v>1</v>
      </c>
      <c r="G668" t="str">
        <f t="shared" si="10"/>
        <v>2022-12</v>
      </c>
    </row>
    <row r="669" spans="1:7" x14ac:dyDescent="0.3">
      <c r="A669">
        <v>3961</v>
      </c>
      <c r="B669" t="s">
        <v>51</v>
      </c>
      <c r="C669" s="7">
        <v>105.1</v>
      </c>
      <c r="D669" s="1">
        <v>44961</v>
      </c>
      <c r="E669" s="29">
        <v>1.6</v>
      </c>
      <c r="F669" t="s">
        <v>1</v>
      </c>
      <c r="G669" t="str">
        <f t="shared" si="10"/>
        <v>2023-02</v>
      </c>
    </row>
    <row r="670" spans="1:7" x14ac:dyDescent="0.3">
      <c r="A670">
        <v>4079</v>
      </c>
      <c r="B670" t="s">
        <v>34</v>
      </c>
      <c r="C670" s="7">
        <v>110.431818181818</v>
      </c>
      <c r="D670" s="1">
        <v>44976</v>
      </c>
      <c r="E670" s="29">
        <v>2.5</v>
      </c>
      <c r="F670" t="s">
        <v>4</v>
      </c>
      <c r="G670" t="str">
        <f t="shared" si="10"/>
        <v>2023-02</v>
      </c>
    </row>
    <row r="671" spans="1:7" x14ac:dyDescent="0.3">
      <c r="A671">
        <v>4035</v>
      </c>
      <c r="B671" t="s">
        <v>26</v>
      </c>
      <c r="C671" s="7">
        <v>26</v>
      </c>
      <c r="D671" s="1">
        <v>44880</v>
      </c>
      <c r="E671" s="29">
        <v>1.1000000000000001</v>
      </c>
      <c r="F671" t="s">
        <v>1</v>
      </c>
      <c r="G671" t="str">
        <f t="shared" si="10"/>
        <v>2022-11</v>
      </c>
    </row>
    <row r="672" spans="1:7" x14ac:dyDescent="0.3">
      <c r="A672">
        <v>3998</v>
      </c>
      <c r="B672" t="s">
        <v>25</v>
      </c>
      <c r="C672" s="7">
        <v>112.745762711864</v>
      </c>
      <c r="D672" s="1">
        <v>44983</v>
      </c>
      <c r="E672" s="29">
        <v>2.2000000000000002</v>
      </c>
      <c r="F672" t="s">
        <v>4</v>
      </c>
      <c r="G672" t="str">
        <f t="shared" si="10"/>
        <v>2023-02</v>
      </c>
    </row>
    <row r="673" spans="1:7" x14ac:dyDescent="0.3">
      <c r="A673">
        <v>4074</v>
      </c>
      <c r="B673" t="s">
        <v>42</v>
      </c>
      <c r="C673" s="7">
        <v>159</v>
      </c>
      <c r="D673" s="1">
        <v>45127</v>
      </c>
      <c r="E673" s="29">
        <v>2</v>
      </c>
      <c r="F673" t="s">
        <v>1</v>
      </c>
      <c r="G673" t="str">
        <f t="shared" si="10"/>
        <v>2023-07</v>
      </c>
    </row>
    <row r="674" spans="1:7" x14ac:dyDescent="0.3">
      <c r="A674">
        <v>4103</v>
      </c>
      <c r="B674" t="s">
        <v>0</v>
      </c>
      <c r="C674" s="7">
        <v>93</v>
      </c>
      <c r="D674" s="1">
        <v>45129</v>
      </c>
      <c r="E674" s="29">
        <v>4</v>
      </c>
      <c r="F674" t="s">
        <v>1</v>
      </c>
      <c r="G674" t="str">
        <f t="shared" si="10"/>
        <v>2023-07</v>
      </c>
    </row>
    <row r="675" spans="1:7" x14ac:dyDescent="0.3">
      <c r="A675">
        <v>4106</v>
      </c>
      <c r="B675" t="s">
        <v>24</v>
      </c>
      <c r="C675" s="7">
        <v>162</v>
      </c>
      <c r="D675" s="1">
        <v>44925</v>
      </c>
      <c r="E675" s="29">
        <v>2.6</v>
      </c>
      <c r="F675" t="s">
        <v>4</v>
      </c>
      <c r="G675" t="str">
        <f t="shared" si="10"/>
        <v>2022-12</v>
      </c>
    </row>
    <row r="676" spans="1:7" x14ac:dyDescent="0.3">
      <c r="A676">
        <v>3963</v>
      </c>
      <c r="B676" t="s">
        <v>37</v>
      </c>
      <c r="C676" s="7">
        <v>126</v>
      </c>
      <c r="D676" s="1">
        <v>45140</v>
      </c>
      <c r="E676" s="29">
        <v>1.7</v>
      </c>
      <c r="F676" t="s">
        <v>1</v>
      </c>
      <c r="G676" t="str">
        <f t="shared" si="10"/>
        <v>2023-08</v>
      </c>
    </row>
    <row r="677" spans="1:7" x14ac:dyDescent="0.3">
      <c r="A677">
        <v>4073</v>
      </c>
      <c r="B677" t="s">
        <v>39</v>
      </c>
      <c r="C677" s="7">
        <v>120</v>
      </c>
      <c r="D677" s="1">
        <v>44841</v>
      </c>
      <c r="E677" s="29">
        <v>1.6</v>
      </c>
      <c r="F677" t="s">
        <v>4</v>
      </c>
      <c r="G677" t="str">
        <f t="shared" si="10"/>
        <v>2022-10</v>
      </c>
    </row>
    <row r="678" spans="1:7" x14ac:dyDescent="0.3">
      <c r="A678">
        <v>4075</v>
      </c>
      <c r="B678" t="s">
        <v>41</v>
      </c>
      <c r="C678" s="7">
        <v>93.135593220338905</v>
      </c>
      <c r="D678" s="1">
        <v>44842</v>
      </c>
      <c r="E678" s="29">
        <v>2.2999999999999998</v>
      </c>
      <c r="F678" t="s">
        <v>1</v>
      </c>
      <c r="G678" t="str">
        <f t="shared" si="10"/>
        <v>2022-10</v>
      </c>
    </row>
    <row r="679" spans="1:7" x14ac:dyDescent="0.3">
      <c r="A679">
        <v>3992</v>
      </c>
      <c r="B679" t="s">
        <v>10</v>
      </c>
      <c r="C679" s="7">
        <v>177</v>
      </c>
      <c r="D679" s="1">
        <v>45146</v>
      </c>
      <c r="E679" s="29">
        <v>4.5</v>
      </c>
      <c r="F679" t="s">
        <v>4</v>
      </c>
      <c r="G679" t="str">
        <f t="shared" si="10"/>
        <v>2023-08</v>
      </c>
    </row>
    <row r="680" spans="1:7" x14ac:dyDescent="0.3">
      <c r="A680">
        <v>4060</v>
      </c>
      <c r="B680" t="s">
        <v>51</v>
      </c>
      <c r="C680" s="7">
        <v>151</v>
      </c>
      <c r="D680" s="1">
        <v>45195</v>
      </c>
      <c r="E680" s="29">
        <v>1.7</v>
      </c>
      <c r="F680" t="s">
        <v>4</v>
      </c>
      <c r="G680" t="str">
        <f t="shared" si="10"/>
        <v>2023-09</v>
      </c>
    </row>
    <row r="681" spans="1:7" x14ac:dyDescent="0.3">
      <c r="A681">
        <v>4004</v>
      </c>
      <c r="B681" t="s">
        <v>12</v>
      </c>
      <c r="C681" s="7">
        <v>65</v>
      </c>
      <c r="D681" s="1">
        <v>45171</v>
      </c>
      <c r="E681" s="29">
        <v>1.7</v>
      </c>
      <c r="F681" t="s">
        <v>4</v>
      </c>
      <c r="G681" t="str">
        <f t="shared" si="10"/>
        <v>2023-09</v>
      </c>
    </row>
    <row r="682" spans="1:7" x14ac:dyDescent="0.3">
      <c r="A682">
        <v>4051</v>
      </c>
      <c r="B682" t="s">
        <v>29</v>
      </c>
      <c r="C682" s="7">
        <v>68</v>
      </c>
      <c r="D682" s="1">
        <v>45049</v>
      </c>
      <c r="E682" s="29">
        <v>1.1000000000000001</v>
      </c>
      <c r="F682" t="s">
        <v>1</v>
      </c>
      <c r="G682" t="str">
        <f t="shared" si="10"/>
        <v>2023-05</v>
      </c>
    </row>
    <row r="683" spans="1:7" x14ac:dyDescent="0.3">
      <c r="A683">
        <v>4117</v>
      </c>
      <c r="B683" t="s">
        <v>47</v>
      </c>
      <c r="C683" s="7">
        <v>126</v>
      </c>
      <c r="D683" s="1">
        <v>45037</v>
      </c>
      <c r="E683" s="29">
        <v>2.4</v>
      </c>
      <c r="F683" t="s">
        <v>1</v>
      </c>
      <c r="G683" t="str">
        <f t="shared" si="10"/>
        <v>2023-04</v>
      </c>
    </row>
    <row r="684" spans="1:7" x14ac:dyDescent="0.3">
      <c r="A684">
        <v>4075</v>
      </c>
      <c r="B684" t="s">
        <v>20</v>
      </c>
      <c r="C684" s="7">
        <v>196</v>
      </c>
      <c r="D684" s="1">
        <v>44923</v>
      </c>
      <c r="E684" s="29">
        <v>1.9</v>
      </c>
      <c r="F684" t="s">
        <v>1</v>
      </c>
      <c r="G684" t="str">
        <f t="shared" si="10"/>
        <v>2022-12</v>
      </c>
    </row>
    <row r="685" spans="1:7" x14ac:dyDescent="0.3">
      <c r="A685">
        <v>4119</v>
      </c>
      <c r="B685" t="s">
        <v>26</v>
      </c>
      <c r="C685" s="7">
        <v>103.267857142857</v>
      </c>
      <c r="D685" s="1">
        <v>45191</v>
      </c>
      <c r="E685" s="29">
        <v>4.0999999999999996</v>
      </c>
      <c r="F685" t="s">
        <v>1</v>
      </c>
      <c r="G685" t="str">
        <f t="shared" si="10"/>
        <v>2023-09</v>
      </c>
    </row>
    <row r="686" spans="1:7" x14ac:dyDescent="0.3">
      <c r="A686">
        <v>3957</v>
      </c>
      <c r="B686" t="s">
        <v>44</v>
      </c>
      <c r="C686" s="7">
        <v>180</v>
      </c>
      <c r="D686" s="1">
        <v>45063</v>
      </c>
      <c r="E686" s="29">
        <v>3.6</v>
      </c>
      <c r="F686" t="s">
        <v>4</v>
      </c>
      <c r="G686" t="str">
        <f t="shared" si="10"/>
        <v>2023-05</v>
      </c>
    </row>
    <row r="687" spans="1:7" x14ac:dyDescent="0.3">
      <c r="A687">
        <v>4117</v>
      </c>
      <c r="B687" t="s">
        <v>24</v>
      </c>
      <c r="C687" s="7">
        <v>49</v>
      </c>
      <c r="D687" s="1">
        <v>44856</v>
      </c>
      <c r="E687" s="29">
        <v>2.8</v>
      </c>
      <c r="F687" t="s">
        <v>1</v>
      </c>
      <c r="G687" t="str">
        <f t="shared" si="10"/>
        <v>2022-10</v>
      </c>
    </row>
    <row r="688" spans="1:7" x14ac:dyDescent="0.3">
      <c r="A688">
        <v>3975</v>
      </c>
      <c r="B688" t="s">
        <v>17</v>
      </c>
      <c r="C688" s="7">
        <v>131</v>
      </c>
      <c r="D688" s="1">
        <v>44904</v>
      </c>
      <c r="E688" s="29">
        <v>4.5999999999999996</v>
      </c>
      <c r="F688" t="s">
        <v>1</v>
      </c>
      <c r="G688" t="str">
        <f t="shared" si="10"/>
        <v>2022-12</v>
      </c>
    </row>
    <row r="689" spans="1:7" x14ac:dyDescent="0.3">
      <c r="A689">
        <v>4055</v>
      </c>
      <c r="B689" t="s">
        <v>44</v>
      </c>
      <c r="C689" s="7">
        <v>106.72413793103399</v>
      </c>
      <c r="D689" s="1">
        <v>45045</v>
      </c>
      <c r="E689" s="29">
        <v>4.4000000000000004</v>
      </c>
      <c r="F689" t="s">
        <v>1</v>
      </c>
      <c r="G689" t="str">
        <f t="shared" si="10"/>
        <v>2023-04</v>
      </c>
    </row>
    <row r="690" spans="1:7" x14ac:dyDescent="0.3">
      <c r="A690">
        <v>4042</v>
      </c>
      <c r="B690" t="s">
        <v>35</v>
      </c>
      <c r="C690" s="7">
        <v>33</v>
      </c>
      <c r="D690" s="1">
        <v>45040</v>
      </c>
      <c r="E690" s="29">
        <v>3.1</v>
      </c>
      <c r="F690" t="s">
        <v>1</v>
      </c>
      <c r="G690" t="str">
        <f t="shared" si="10"/>
        <v>2023-04</v>
      </c>
    </row>
    <row r="691" spans="1:7" x14ac:dyDescent="0.3">
      <c r="A691">
        <v>4092</v>
      </c>
      <c r="B691" t="s">
        <v>20</v>
      </c>
      <c r="C691" s="7">
        <v>200</v>
      </c>
      <c r="D691" s="1">
        <v>44836</v>
      </c>
      <c r="E691" s="29">
        <v>1.8</v>
      </c>
      <c r="F691" t="s">
        <v>1</v>
      </c>
      <c r="G691" t="str">
        <f t="shared" si="10"/>
        <v>2022-10</v>
      </c>
    </row>
    <row r="692" spans="1:7" x14ac:dyDescent="0.3">
      <c r="A692">
        <v>3965</v>
      </c>
      <c r="B692" t="s">
        <v>14</v>
      </c>
      <c r="C692" s="7">
        <v>43</v>
      </c>
      <c r="D692" s="1">
        <v>44970</v>
      </c>
      <c r="E692" s="29">
        <v>2.6</v>
      </c>
      <c r="F692" t="s">
        <v>4</v>
      </c>
      <c r="G692" t="str">
        <f t="shared" si="10"/>
        <v>2023-02</v>
      </c>
    </row>
    <row r="693" spans="1:7" x14ac:dyDescent="0.3">
      <c r="A693">
        <v>4032</v>
      </c>
      <c r="B693" t="s">
        <v>30</v>
      </c>
      <c r="C693" s="7">
        <v>160</v>
      </c>
      <c r="D693" s="1">
        <v>45011</v>
      </c>
      <c r="E693" s="29">
        <v>2.9636363636363598</v>
      </c>
      <c r="F693" t="s">
        <v>1</v>
      </c>
      <c r="G693" t="str">
        <f t="shared" si="10"/>
        <v>2023-03</v>
      </c>
    </row>
    <row r="694" spans="1:7" x14ac:dyDescent="0.3">
      <c r="A694">
        <v>4066</v>
      </c>
      <c r="B694" t="s">
        <v>29</v>
      </c>
      <c r="C694" s="7">
        <v>153</v>
      </c>
      <c r="D694" s="1">
        <v>44862</v>
      </c>
      <c r="E694" s="29">
        <v>1.3</v>
      </c>
      <c r="F694" t="s">
        <v>1</v>
      </c>
      <c r="G694" t="str">
        <f t="shared" si="10"/>
        <v>2022-10</v>
      </c>
    </row>
    <row r="695" spans="1:7" x14ac:dyDescent="0.3">
      <c r="A695">
        <v>4026</v>
      </c>
      <c r="B695" t="s">
        <v>14</v>
      </c>
      <c r="C695" s="7">
        <v>41</v>
      </c>
      <c r="D695" s="1">
        <v>45133</v>
      </c>
      <c r="E695" s="29">
        <v>3.1</v>
      </c>
      <c r="F695" t="s">
        <v>1</v>
      </c>
      <c r="G695" t="str">
        <f t="shared" si="10"/>
        <v>2023-07</v>
      </c>
    </row>
    <row r="696" spans="1:7" x14ac:dyDescent="0.3">
      <c r="A696">
        <v>4113</v>
      </c>
      <c r="B696" t="s">
        <v>34</v>
      </c>
      <c r="C696" s="7">
        <v>180</v>
      </c>
      <c r="D696" s="1">
        <v>45020</v>
      </c>
      <c r="E696" s="29">
        <v>4.5</v>
      </c>
      <c r="F696" t="s">
        <v>1</v>
      </c>
      <c r="G696" t="str">
        <f t="shared" si="10"/>
        <v>2023-04</v>
      </c>
    </row>
    <row r="697" spans="1:7" x14ac:dyDescent="0.3">
      <c r="A697">
        <v>4095</v>
      </c>
      <c r="B697" t="s">
        <v>20</v>
      </c>
      <c r="C697" s="7">
        <v>118</v>
      </c>
      <c r="D697" s="1">
        <v>45056</v>
      </c>
      <c r="E697" s="29">
        <v>1.2</v>
      </c>
      <c r="F697" t="s">
        <v>1</v>
      </c>
      <c r="G697" t="str">
        <f t="shared" si="10"/>
        <v>2023-05</v>
      </c>
    </row>
    <row r="698" spans="1:7" x14ac:dyDescent="0.3">
      <c r="A698">
        <v>4104</v>
      </c>
      <c r="B698" t="s">
        <v>47</v>
      </c>
      <c r="C698" s="7">
        <v>194</v>
      </c>
      <c r="D698" s="1">
        <v>44935</v>
      </c>
      <c r="E698" s="29">
        <v>2</v>
      </c>
      <c r="F698" t="s">
        <v>4</v>
      </c>
      <c r="G698" t="str">
        <f t="shared" si="10"/>
        <v>2023-01</v>
      </c>
    </row>
    <row r="699" spans="1:7" x14ac:dyDescent="0.3">
      <c r="A699">
        <v>4010</v>
      </c>
      <c r="B699" t="s">
        <v>0</v>
      </c>
      <c r="C699" s="7">
        <v>112.145454545454</v>
      </c>
      <c r="D699" s="1">
        <v>44930</v>
      </c>
      <c r="E699" s="29">
        <v>4</v>
      </c>
      <c r="F699" t="s">
        <v>1</v>
      </c>
      <c r="G699" t="str">
        <f t="shared" si="10"/>
        <v>2023-01</v>
      </c>
    </row>
    <row r="700" spans="1:7" x14ac:dyDescent="0.3">
      <c r="A700">
        <v>3977</v>
      </c>
      <c r="B700" t="s">
        <v>48</v>
      </c>
      <c r="C700" s="7">
        <v>89</v>
      </c>
      <c r="D700" s="1">
        <v>44870</v>
      </c>
      <c r="E700" s="29">
        <v>3.6</v>
      </c>
      <c r="F700" t="s">
        <v>4</v>
      </c>
      <c r="G700" t="str">
        <f t="shared" si="10"/>
        <v>2022-11</v>
      </c>
    </row>
    <row r="701" spans="1:7" x14ac:dyDescent="0.3">
      <c r="A701">
        <v>4115</v>
      </c>
      <c r="B701" t="s">
        <v>13</v>
      </c>
      <c r="C701" s="7">
        <v>157</v>
      </c>
      <c r="D701" s="1">
        <v>45080</v>
      </c>
      <c r="E701" s="29">
        <v>3.8</v>
      </c>
      <c r="F701" t="s">
        <v>4</v>
      </c>
      <c r="G701" t="str">
        <f t="shared" si="10"/>
        <v>2023-06</v>
      </c>
    </row>
    <row r="702" spans="1:7" x14ac:dyDescent="0.3">
      <c r="A702">
        <v>4042</v>
      </c>
      <c r="B702" t="s">
        <v>13</v>
      </c>
      <c r="C702" s="7">
        <v>49</v>
      </c>
      <c r="D702" s="1">
        <v>44981</v>
      </c>
      <c r="E702" s="29">
        <v>1.2</v>
      </c>
      <c r="F702" t="s">
        <v>4</v>
      </c>
      <c r="G702" t="str">
        <f t="shared" si="10"/>
        <v>2023-02</v>
      </c>
    </row>
    <row r="703" spans="1:7" x14ac:dyDescent="0.3">
      <c r="A703">
        <v>3971</v>
      </c>
      <c r="B703" t="s">
        <v>19</v>
      </c>
      <c r="C703" s="7">
        <v>67</v>
      </c>
      <c r="D703" s="1">
        <v>45167</v>
      </c>
      <c r="E703" s="29">
        <v>3.2</v>
      </c>
      <c r="F703" t="s">
        <v>4</v>
      </c>
      <c r="G703" t="str">
        <f t="shared" si="10"/>
        <v>2023-08</v>
      </c>
    </row>
    <row r="704" spans="1:7" x14ac:dyDescent="0.3">
      <c r="A704">
        <v>4088</v>
      </c>
      <c r="B704" t="s">
        <v>22</v>
      </c>
      <c r="C704" s="7">
        <v>99</v>
      </c>
      <c r="D704" s="1">
        <v>44856</v>
      </c>
      <c r="E704" s="29">
        <v>3.1651515151515102</v>
      </c>
      <c r="F704" t="s">
        <v>1</v>
      </c>
      <c r="G704" t="str">
        <f t="shared" si="10"/>
        <v>2022-10</v>
      </c>
    </row>
    <row r="705" spans="1:7" x14ac:dyDescent="0.3">
      <c r="A705">
        <v>4050</v>
      </c>
      <c r="B705" t="s">
        <v>48</v>
      </c>
      <c r="C705" s="7">
        <v>104</v>
      </c>
      <c r="D705" s="1">
        <v>44845</v>
      </c>
      <c r="E705" s="29">
        <v>4.3</v>
      </c>
      <c r="F705" t="s">
        <v>1</v>
      </c>
      <c r="G705" t="str">
        <f t="shared" si="10"/>
        <v>2022-10</v>
      </c>
    </row>
    <row r="706" spans="1:7" x14ac:dyDescent="0.3">
      <c r="A706">
        <v>3970</v>
      </c>
      <c r="B706" t="s">
        <v>26</v>
      </c>
      <c r="C706" s="7">
        <v>103.267857142857</v>
      </c>
      <c r="D706" s="1">
        <v>44954</v>
      </c>
      <c r="E706" s="29">
        <v>2.88305084745762</v>
      </c>
      <c r="F706" t="s">
        <v>1</v>
      </c>
      <c r="G706" t="str">
        <f t="shared" si="10"/>
        <v>2023-01</v>
      </c>
    </row>
    <row r="707" spans="1:7" x14ac:dyDescent="0.3">
      <c r="A707">
        <v>3985</v>
      </c>
      <c r="B707" t="s">
        <v>6</v>
      </c>
      <c r="C707" s="7">
        <v>67</v>
      </c>
      <c r="D707" s="1">
        <v>45150</v>
      </c>
      <c r="E707" s="29">
        <v>3.1</v>
      </c>
      <c r="F707" t="s">
        <v>1</v>
      </c>
      <c r="G707" t="str">
        <f t="shared" ref="G707:G770" si="11">TEXT(D707,"ГГГГ-ММ")</f>
        <v>2023-08</v>
      </c>
    </row>
    <row r="708" spans="1:7" x14ac:dyDescent="0.3">
      <c r="A708">
        <v>4055</v>
      </c>
      <c r="B708" t="s">
        <v>24</v>
      </c>
      <c r="C708" s="7">
        <v>153</v>
      </c>
      <c r="D708" s="1">
        <v>44874</v>
      </c>
      <c r="E708" s="29">
        <v>3.1712328767123199</v>
      </c>
      <c r="F708" t="s">
        <v>4</v>
      </c>
      <c r="G708" t="str">
        <f t="shared" si="11"/>
        <v>2022-11</v>
      </c>
    </row>
    <row r="709" spans="1:7" x14ac:dyDescent="0.3">
      <c r="A709">
        <v>4050</v>
      </c>
      <c r="B709" t="s">
        <v>26</v>
      </c>
      <c r="C709" s="7">
        <v>169</v>
      </c>
      <c r="D709" s="1">
        <v>44861</v>
      </c>
      <c r="E709" s="29">
        <v>3.3</v>
      </c>
      <c r="F709" t="s">
        <v>4</v>
      </c>
      <c r="G709" t="str">
        <f t="shared" si="11"/>
        <v>2022-10</v>
      </c>
    </row>
    <row r="710" spans="1:7" x14ac:dyDescent="0.3">
      <c r="A710">
        <v>4076</v>
      </c>
      <c r="B710" t="s">
        <v>28</v>
      </c>
      <c r="C710" s="7">
        <v>174</v>
      </c>
      <c r="D710" s="1">
        <v>44879</v>
      </c>
      <c r="E710" s="29">
        <v>2.9</v>
      </c>
      <c r="F710" t="s">
        <v>1</v>
      </c>
      <c r="G710" t="str">
        <f t="shared" si="11"/>
        <v>2022-11</v>
      </c>
    </row>
    <row r="711" spans="1:7" x14ac:dyDescent="0.3">
      <c r="A711">
        <v>4115</v>
      </c>
      <c r="B711" t="s">
        <v>35</v>
      </c>
      <c r="C711" s="7">
        <v>165</v>
      </c>
      <c r="D711" s="1">
        <v>45130</v>
      </c>
      <c r="E711" s="29">
        <v>4.0999999999999996</v>
      </c>
      <c r="F711" t="s">
        <v>1</v>
      </c>
      <c r="G711" t="str">
        <f t="shared" si="11"/>
        <v>2023-07</v>
      </c>
    </row>
    <row r="712" spans="1:7" x14ac:dyDescent="0.3">
      <c r="A712">
        <v>3967</v>
      </c>
      <c r="B712" t="s">
        <v>7</v>
      </c>
      <c r="C712" s="7">
        <v>187</v>
      </c>
      <c r="D712" s="1">
        <v>44948</v>
      </c>
      <c r="E712" s="29">
        <v>3.5</v>
      </c>
      <c r="F712" t="s">
        <v>1</v>
      </c>
      <c r="G712" t="str">
        <f t="shared" si="11"/>
        <v>2023-01</v>
      </c>
    </row>
    <row r="713" spans="1:7" x14ac:dyDescent="0.3">
      <c r="A713">
        <v>4050</v>
      </c>
      <c r="B713" t="s">
        <v>12</v>
      </c>
      <c r="C713" s="7">
        <v>56</v>
      </c>
      <c r="D713" s="1">
        <v>44961</v>
      </c>
      <c r="E713" s="29">
        <v>1.5</v>
      </c>
      <c r="F713" t="s">
        <v>1</v>
      </c>
      <c r="G713" t="str">
        <f t="shared" si="11"/>
        <v>2023-02</v>
      </c>
    </row>
    <row r="714" spans="1:7" x14ac:dyDescent="0.3">
      <c r="A714">
        <v>4050</v>
      </c>
      <c r="B714" t="s">
        <v>48</v>
      </c>
      <c r="C714" s="7">
        <v>89</v>
      </c>
      <c r="D714" s="1">
        <v>45025</v>
      </c>
      <c r="E714" s="29">
        <v>2.9</v>
      </c>
      <c r="F714" t="s">
        <v>1</v>
      </c>
      <c r="G714" t="str">
        <f t="shared" si="11"/>
        <v>2023-04</v>
      </c>
    </row>
    <row r="715" spans="1:7" x14ac:dyDescent="0.3">
      <c r="A715">
        <v>4001</v>
      </c>
      <c r="B715" t="s">
        <v>2</v>
      </c>
      <c r="C715" s="7">
        <v>99</v>
      </c>
      <c r="D715" s="1">
        <v>44938</v>
      </c>
      <c r="E715" s="29">
        <v>3.2</v>
      </c>
      <c r="F715" t="s">
        <v>1</v>
      </c>
      <c r="G715" t="str">
        <f t="shared" si="11"/>
        <v>2023-01</v>
      </c>
    </row>
    <row r="716" spans="1:7" x14ac:dyDescent="0.3">
      <c r="A716">
        <v>4122</v>
      </c>
      <c r="B716" t="s">
        <v>10</v>
      </c>
      <c r="C716" s="7">
        <v>120.375</v>
      </c>
      <c r="D716" s="1">
        <v>45111</v>
      </c>
      <c r="E716" s="29">
        <v>2.9</v>
      </c>
      <c r="F716" t="s">
        <v>1</v>
      </c>
      <c r="G716" t="str">
        <f t="shared" si="11"/>
        <v>2023-07</v>
      </c>
    </row>
    <row r="717" spans="1:7" x14ac:dyDescent="0.3">
      <c r="A717">
        <v>4100</v>
      </c>
      <c r="B717" t="s">
        <v>41</v>
      </c>
      <c r="C717" s="7">
        <v>154</v>
      </c>
      <c r="D717" s="1">
        <v>45153</v>
      </c>
      <c r="E717" s="29">
        <v>3.3</v>
      </c>
      <c r="F717" t="s">
        <v>1</v>
      </c>
      <c r="G717" t="str">
        <f t="shared" si="11"/>
        <v>2023-08</v>
      </c>
    </row>
    <row r="718" spans="1:7" x14ac:dyDescent="0.3">
      <c r="A718">
        <v>3974</v>
      </c>
      <c r="B718" t="s">
        <v>19</v>
      </c>
      <c r="C718" s="7">
        <v>27</v>
      </c>
      <c r="D718" s="1">
        <v>44926</v>
      </c>
      <c r="E718" s="29">
        <v>1.4</v>
      </c>
      <c r="F718" t="s">
        <v>4</v>
      </c>
      <c r="G718" t="str">
        <f t="shared" si="11"/>
        <v>2022-12</v>
      </c>
    </row>
    <row r="719" spans="1:7" x14ac:dyDescent="0.3">
      <c r="A719">
        <v>4100</v>
      </c>
      <c r="B719" t="s">
        <v>0</v>
      </c>
      <c r="C719" s="7">
        <v>112.145454545454</v>
      </c>
      <c r="D719" s="1">
        <v>44904</v>
      </c>
      <c r="E719" s="29">
        <v>4.0999999999999996</v>
      </c>
      <c r="F719" t="s">
        <v>1</v>
      </c>
      <c r="G719" t="str">
        <f t="shared" si="11"/>
        <v>2022-12</v>
      </c>
    </row>
    <row r="720" spans="1:7" x14ac:dyDescent="0.3">
      <c r="A720">
        <v>4009</v>
      </c>
      <c r="B720" t="s">
        <v>40</v>
      </c>
      <c r="C720" s="7">
        <v>17</v>
      </c>
      <c r="D720" s="1">
        <v>44918</v>
      </c>
      <c r="E720" s="29">
        <v>4.2</v>
      </c>
      <c r="F720" t="s">
        <v>1</v>
      </c>
      <c r="G720" t="str">
        <f t="shared" si="11"/>
        <v>2022-12</v>
      </c>
    </row>
    <row r="721" spans="1:7" x14ac:dyDescent="0.3">
      <c r="A721">
        <v>3992</v>
      </c>
      <c r="B721" t="s">
        <v>33</v>
      </c>
      <c r="C721" s="7">
        <v>113.54098360655701</v>
      </c>
      <c r="D721" s="1">
        <v>44988</v>
      </c>
      <c r="E721" s="29">
        <v>2.8</v>
      </c>
      <c r="F721" t="s">
        <v>1</v>
      </c>
      <c r="G721" t="str">
        <f t="shared" si="11"/>
        <v>2023-03</v>
      </c>
    </row>
    <row r="722" spans="1:7" x14ac:dyDescent="0.3">
      <c r="A722">
        <v>4042</v>
      </c>
      <c r="B722" t="s">
        <v>35</v>
      </c>
      <c r="C722" s="7">
        <v>106</v>
      </c>
      <c r="D722" s="1">
        <v>45073</v>
      </c>
      <c r="E722" s="29">
        <v>3.4933333333333301</v>
      </c>
      <c r="F722" t="s">
        <v>1</v>
      </c>
      <c r="G722" t="str">
        <f t="shared" si="11"/>
        <v>2023-05</v>
      </c>
    </row>
    <row r="723" spans="1:7" x14ac:dyDescent="0.3">
      <c r="A723">
        <v>4018</v>
      </c>
      <c r="B723" t="s">
        <v>46</v>
      </c>
      <c r="C723" s="7">
        <v>97</v>
      </c>
      <c r="D723" s="1">
        <v>44883</v>
      </c>
      <c r="E723" s="29">
        <v>3.4</v>
      </c>
      <c r="F723" t="s">
        <v>4</v>
      </c>
      <c r="G723" t="str">
        <f t="shared" si="11"/>
        <v>2022-11</v>
      </c>
    </row>
    <row r="724" spans="1:7" x14ac:dyDescent="0.3">
      <c r="A724">
        <v>4095</v>
      </c>
      <c r="B724" t="s">
        <v>13</v>
      </c>
      <c r="C724" s="7">
        <v>112.64705882352899</v>
      </c>
      <c r="D724" s="1">
        <v>44880</v>
      </c>
      <c r="E724" s="29">
        <v>1.7</v>
      </c>
      <c r="F724" t="s">
        <v>4</v>
      </c>
      <c r="G724" t="str">
        <f t="shared" si="11"/>
        <v>2022-11</v>
      </c>
    </row>
    <row r="725" spans="1:7" x14ac:dyDescent="0.3">
      <c r="A725">
        <v>3986</v>
      </c>
      <c r="B725" t="s">
        <v>2</v>
      </c>
      <c r="C725" s="7">
        <v>93</v>
      </c>
      <c r="D725" s="1">
        <v>45139</v>
      </c>
      <c r="E725" s="29">
        <v>3.1</v>
      </c>
      <c r="F725" t="s">
        <v>4</v>
      </c>
      <c r="G725" t="str">
        <f t="shared" si="11"/>
        <v>2023-08</v>
      </c>
    </row>
    <row r="726" spans="1:7" x14ac:dyDescent="0.3">
      <c r="A726">
        <v>4079</v>
      </c>
      <c r="B726" t="s">
        <v>33</v>
      </c>
      <c r="C726" s="7">
        <v>155</v>
      </c>
      <c r="D726" s="1">
        <v>44949</v>
      </c>
      <c r="E726" s="29">
        <v>2.2000000000000002</v>
      </c>
      <c r="F726" t="s">
        <v>1</v>
      </c>
      <c r="G726" t="str">
        <f t="shared" si="11"/>
        <v>2023-01</v>
      </c>
    </row>
    <row r="727" spans="1:7" x14ac:dyDescent="0.3">
      <c r="A727">
        <v>4105</v>
      </c>
      <c r="B727" t="s">
        <v>48</v>
      </c>
      <c r="C727" s="7">
        <v>23</v>
      </c>
      <c r="D727" s="1">
        <v>45031</v>
      </c>
      <c r="E727" s="29">
        <v>2</v>
      </c>
      <c r="F727" t="s">
        <v>1</v>
      </c>
      <c r="G727" t="str">
        <f t="shared" si="11"/>
        <v>2023-04</v>
      </c>
    </row>
    <row r="728" spans="1:7" x14ac:dyDescent="0.3">
      <c r="A728">
        <v>4010</v>
      </c>
      <c r="B728" t="s">
        <v>36</v>
      </c>
      <c r="C728" s="7">
        <v>90.925925925925895</v>
      </c>
      <c r="D728" s="1">
        <v>44838</v>
      </c>
      <c r="E728" s="29">
        <v>3.2</v>
      </c>
      <c r="F728" t="s">
        <v>1</v>
      </c>
      <c r="G728" t="str">
        <f t="shared" si="11"/>
        <v>2022-10</v>
      </c>
    </row>
    <row r="729" spans="1:7" x14ac:dyDescent="0.3">
      <c r="A729">
        <v>4014</v>
      </c>
      <c r="B729" t="s">
        <v>39</v>
      </c>
      <c r="C729" s="7">
        <v>22</v>
      </c>
      <c r="D729" s="1">
        <v>45191</v>
      </c>
      <c r="E729" s="29">
        <v>2.8</v>
      </c>
      <c r="F729" t="s">
        <v>4</v>
      </c>
      <c r="G729" t="str">
        <f t="shared" si="11"/>
        <v>2023-09</v>
      </c>
    </row>
    <row r="730" spans="1:7" x14ac:dyDescent="0.3">
      <c r="A730">
        <v>4039</v>
      </c>
      <c r="B730" t="s">
        <v>43</v>
      </c>
      <c r="C730" s="7">
        <v>79</v>
      </c>
      <c r="D730" s="1">
        <v>44859</v>
      </c>
      <c r="E730" s="29">
        <v>4.8</v>
      </c>
      <c r="F730" t="s">
        <v>1</v>
      </c>
      <c r="G730" t="str">
        <f t="shared" si="11"/>
        <v>2022-10</v>
      </c>
    </row>
    <row r="731" spans="1:7" x14ac:dyDescent="0.3">
      <c r="A731">
        <v>4047</v>
      </c>
      <c r="B731" t="s">
        <v>20</v>
      </c>
      <c r="C731" s="7">
        <v>118</v>
      </c>
      <c r="D731" s="1">
        <v>45050</v>
      </c>
      <c r="E731" s="29">
        <v>2.2999999999999998</v>
      </c>
      <c r="F731" t="s">
        <v>1</v>
      </c>
      <c r="G731" t="str">
        <f t="shared" si="11"/>
        <v>2023-05</v>
      </c>
    </row>
    <row r="732" spans="1:7" x14ac:dyDescent="0.3">
      <c r="A732">
        <v>4025</v>
      </c>
      <c r="B732" t="s">
        <v>40</v>
      </c>
      <c r="C732" s="7">
        <v>123</v>
      </c>
      <c r="D732" s="1">
        <v>44846</v>
      </c>
      <c r="E732" s="29">
        <v>2.9</v>
      </c>
      <c r="F732" t="s">
        <v>1</v>
      </c>
      <c r="G732" t="str">
        <f t="shared" si="11"/>
        <v>2022-10</v>
      </c>
    </row>
    <row r="733" spans="1:7" x14ac:dyDescent="0.3">
      <c r="A733">
        <v>4085</v>
      </c>
      <c r="B733" t="s">
        <v>37</v>
      </c>
      <c r="C733" s="7">
        <v>65</v>
      </c>
      <c r="D733" s="1">
        <v>45106</v>
      </c>
      <c r="E733" s="29">
        <v>1.3</v>
      </c>
      <c r="F733" t="s">
        <v>1</v>
      </c>
      <c r="G733" t="str">
        <f t="shared" si="11"/>
        <v>2023-06</v>
      </c>
    </row>
    <row r="734" spans="1:7" x14ac:dyDescent="0.3">
      <c r="A734">
        <v>4065</v>
      </c>
      <c r="B734" t="s">
        <v>22</v>
      </c>
      <c r="C734" s="7">
        <v>39</v>
      </c>
      <c r="D734" s="1">
        <v>44909</v>
      </c>
      <c r="E734" s="29">
        <v>2.2000000000000002</v>
      </c>
      <c r="F734" t="s">
        <v>4</v>
      </c>
      <c r="G734" t="str">
        <f t="shared" si="11"/>
        <v>2022-12</v>
      </c>
    </row>
    <row r="735" spans="1:7" x14ac:dyDescent="0.3">
      <c r="A735">
        <v>4027</v>
      </c>
      <c r="B735" t="s">
        <v>28</v>
      </c>
      <c r="C735" s="7">
        <v>38</v>
      </c>
      <c r="D735" s="1">
        <v>45072</v>
      </c>
      <c r="E735" s="29">
        <v>2.8</v>
      </c>
      <c r="F735" t="s">
        <v>4</v>
      </c>
      <c r="G735" t="str">
        <f t="shared" si="11"/>
        <v>2023-05</v>
      </c>
    </row>
    <row r="736" spans="1:7" x14ac:dyDescent="0.3">
      <c r="A736">
        <v>3970</v>
      </c>
      <c r="B736" t="s">
        <v>3</v>
      </c>
      <c r="C736" s="7">
        <v>183</v>
      </c>
      <c r="D736" s="1">
        <v>45084</v>
      </c>
      <c r="E736" s="29">
        <v>3.2</v>
      </c>
      <c r="F736" t="s">
        <v>1</v>
      </c>
      <c r="G736" t="str">
        <f t="shared" si="11"/>
        <v>2023-06</v>
      </c>
    </row>
    <row r="737" spans="1:7" x14ac:dyDescent="0.3">
      <c r="A737">
        <v>3973</v>
      </c>
      <c r="B737" t="s">
        <v>39</v>
      </c>
      <c r="C737" s="7">
        <v>144</v>
      </c>
      <c r="D737" s="1">
        <v>45173</v>
      </c>
      <c r="E737" s="29">
        <v>4.0999999999999996</v>
      </c>
      <c r="F737" t="s">
        <v>4</v>
      </c>
      <c r="G737" t="str">
        <f t="shared" si="11"/>
        <v>2023-09</v>
      </c>
    </row>
    <row r="738" spans="1:7" x14ac:dyDescent="0.3">
      <c r="A738">
        <v>4052</v>
      </c>
      <c r="B738" t="s">
        <v>2</v>
      </c>
      <c r="C738" s="7">
        <v>21</v>
      </c>
      <c r="D738" s="1">
        <v>44855</v>
      </c>
      <c r="E738" s="29">
        <v>1.9</v>
      </c>
      <c r="F738" t="s">
        <v>4</v>
      </c>
      <c r="G738" t="str">
        <f t="shared" si="11"/>
        <v>2022-10</v>
      </c>
    </row>
    <row r="739" spans="1:7" x14ac:dyDescent="0.3">
      <c r="A739">
        <v>4045</v>
      </c>
      <c r="B739" t="s">
        <v>14</v>
      </c>
      <c r="C739" s="7">
        <v>163</v>
      </c>
      <c r="D739" s="1">
        <v>45000</v>
      </c>
      <c r="E739" s="29">
        <v>2.2999999999999998</v>
      </c>
      <c r="F739" t="s">
        <v>4</v>
      </c>
      <c r="G739" t="str">
        <f t="shared" si="11"/>
        <v>2023-03</v>
      </c>
    </row>
    <row r="740" spans="1:7" x14ac:dyDescent="0.3">
      <c r="A740">
        <v>4072</v>
      </c>
      <c r="B740" t="s">
        <v>16</v>
      </c>
      <c r="C740" s="7">
        <v>110.56666666666599</v>
      </c>
      <c r="D740" s="1">
        <v>45040</v>
      </c>
      <c r="E740" s="29">
        <v>1.4</v>
      </c>
      <c r="F740" t="s">
        <v>1</v>
      </c>
      <c r="G740" t="str">
        <f t="shared" si="11"/>
        <v>2023-04</v>
      </c>
    </row>
    <row r="741" spans="1:7" x14ac:dyDescent="0.3">
      <c r="A741">
        <v>4081</v>
      </c>
      <c r="B741" t="s">
        <v>22</v>
      </c>
      <c r="C741" s="7">
        <v>64</v>
      </c>
      <c r="D741" s="1">
        <v>44979</v>
      </c>
      <c r="E741" s="29">
        <v>3.4</v>
      </c>
      <c r="F741" t="s">
        <v>1</v>
      </c>
      <c r="G741" t="str">
        <f t="shared" si="11"/>
        <v>2023-02</v>
      </c>
    </row>
    <row r="742" spans="1:7" x14ac:dyDescent="0.3">
      <c r="A742">
        <v>4085</v>
      </c>
      <c r="B742" t="s">
        <v>20</v>
      </c>
      <c r="C742" s="7">
        <v>75</v>
      </c>
      <c r="D742" s="1">
        <v>45040</v>
      </c>
      <c r="E742" s="29">
        <v>1.6</v>
      </c>
      <c r="F742" t="s">
        <v>1</v>
      </c>
      <c r="G742" t="str">
        <f t="shared" si="11"/>
        <v>2023-04</v>
      </c>
    </row>
    <row r="743" spans="1:7" x14ac:dyDescent="0.3">
      <c r="A743">
        <v>4091</v>
      </c>
      <c r="B743" t="s">
        <v>7</v>
      </c>
      <c r="C743" s="7">
        <v>40</v>
      </c>
      <c r="D743" s="1">
        <v>44892</v>
      </c>
      <c r="E743" s="29">
        <v>4.0999999999999996</v>
      </c>
      <c r="F743" t="s">
        <v>4</v>
      </c>
      <c r="G743" t="str">
        <f t="shared" si="11"/>
        <v>2022-11</v>
      </c>
    </row>
    <row r="744" spans="1:7" x14ac:dyDescent="0.3">
      <c r="A744">
        <v>3988</v>
      </c>
      <c r="B744" t="s">
        <v>10</v>
      </c>
      <c r="C744" s="7">
        <v>120.375</v>
      </c>
      <c r="D744" s="1">
        <v>45186</v>
      </c>
      <c r="E744" s="29">
        <v>4.4000000000000004</v>
      </c>
      <c r="F744" t="s">
        <v>1</v>
      </c>
      <c r="G744" t="str">
        <f t="shared" si="11"/>
        <v>2023-09</v>
      </c>
    </row>
    <row r="745" spans="1:7" x14ac:dyDescent="0.3">
      <c r="A745">
        <v>4077</v>
      </c>
      <c r="B745" t="s">
        <v>41</v>
      </c>
      <c r="C745" s="7">
        <v>54</v>
      </c>
      <c r="D745" s="1">
        <v>45050</v>
      </c>
      <c r="E745" s="29">
        <v>1.6</v>
      </c>
      <c r="F745" t="s">
        <v>4</v>
      </c>
      <c r="G745" t="str">
        <f t="shared" si="11"/>
        <v>2023-05</v>
      </c>
    </row>
    <row r="746" spans="1:7" x14ac:dyDescent="0.3">
      <c r="A746">
        <v>4093</v>
      </c>
      <c r="B746" t="s">
        <v>30</v>
      </c>
      <c r="C746" s="7">
        <v>99.866666666666603</v>
      </c>
      <c r="D746" s="1">
        <v>44864</v>
      </c>
      <c r="E746" s="29">
        <v>4.9000000000000004</v>
      </c>
      <c r="F746" t="s">
        <v>4</v>
      </c>
      <c r="G746" t="str">
        <f t="shared" si="11"/>
        <v>2022-10</v>
      </c>
    </row>
    <row r="747" spans="1:7" x14ac:dyDescent="0.3">
      <c r="A747">
        <v>4093</v>
      </c>
      <c r="B747" t="s">
        <v>24</v>
      </c>
      <c r="C747" s="7">
        <v>68</v>
      </c>
      <c r="D747" s="1">
        <v>45078</v>
      </c>
      <c r="E747" s="29">
        <v>4.2</v>
      </c>
      <c r="F747" t="s">
        <v>4</v>
      </c>
      <c r="G747" t="str">
        <f t="shared" si="11"/>
        <v>2023-06</v>
      </c>
    </row>
    <row r="748" spans="1:7" x14ac:dyDescent="0.3">
      <c r="A748">
        <v>4031</v>
      </c>
      <c r="B748" t="s">
        <v>12</v>
      </c>
      <c r="C748" s="7">
        <v>181</v>
      </c>
      <c r="D748" s="1">
        <v>45059</v>
      </c>
      <c r="E748" s="29">
        <v>2.1</v>
      </c>
      <c r="F748" t="s">
        <v>4</v>
      </c>
      <c r="G748" t="str">
        <f t="shared" si="11"/>
        <v>2023-05</v>
      </c>
    </row>
    <row r="749" spans="1:7" x14ac:dyDescent="0.3">
      <c r="A749">
        <v>4072</v>
      </c>
      <c r="B749" t="s">
        <v>14</v>
      </c>
      <c r="C749" s="7">
        <v>28</v>
      </c>
      <c r="D749" s="1">
        <v>44902</v>
      </c>
      <c r="E749" s="29">
        <v>2.9</v>
      </c>
      <c r="F749" t="s">
        <v>4</v>
      </c>
      <c r="G749" t="str">
        <f t="shared" si="11"/>
        <v>2022-12</v>
      </c>
    </row>
    <row r="750" spans="1:7" x14ac:dyDescent="0.3">
      <c r="A750">
        <v>4115</v>
      </c>
      <c r="B750" t="s">
        <v>50</v>
      </c>
      <c r="C750" s="7">
        <v>199</v>
      </c>
      <c r="D750" s="1">
        <v>45036</v>
      </c>
      <c r="E750" s="29">
        <v>2.2000000000000002</v>
      </c>
      <c r="F750" t="s">
        <v>1</v>
      </c>
      <c r="G750" t="str">
        <f t="shared" si="11"/>
        <v>2023-04</v>
      </c>
    </row>
    <row r="751" spans="1:7" x14ac:dyDescent="0.3">
      <c r="A751">
        <v>4051</v>
      </c>
      <c r="B751" t="s">
        <v>6</v>
      </c>
      <c r="C751" s="7">
        <v>114.77966101694901</v>
      </c>
      <c r="D751" s="1">
        <v>44980</v>
      </c>
      <c r="E751" s="29">
        <v>2.2999999999999998</v>
      </c>
      <c r="F751" t="s">
        <v>1</v>
      </c>
      <c r="G751" t="str">
        <f t="shared" si="11"/>
        <v>2023-02</v>
      </c>
    </row>
    <row r="752" spans="1:7" x14ac:dyDescent="0.3">
      <c r="A752">
        <v>3973</v>
      </c>
      <c r="B752" t="s">
        <v>20</v>
      </c>
      <c r="C752" s="7">
        <v>105.95348837209301</v>
      </c>
      <c r="D752" s="1">
        <v>44947</v>
      </c>
      <c r="E752" s="29">
        <v>4</v>
      </c>
      <c r="F752" t="s">
        <v>1</v>
      </c>
      <c r="G752" t="str">
        <f t="shared" si="11"/>
        <v>2023-01</v>
      </c>
    </row>
    <row r="753" spans="1:7" x14ac:dyDescent="0.3">
      <c r="A753">
        <v>4005</v>
      </c>
      <c r="B753" t="s">
        <v>36</v>
      </c>
      <c r="C753" s="7">
        <v>90</v>
      </c>
      <c r="D753" s="1">
        <v>45198</v>
      </c>
      <c r="E753" s="29">
        <v>2.7</v>
      </c>
      <c r="F753" t="s">
        <v>1</v>
      </c>
      <c r="G753" t="str">
        <f t="shared" si="11"/>
        <v>2023-09</v>
      </c>
    </row>
    <row r="754" spans="1:7" x14ac:dyDescent="0.3">
      <c r="A754">
        <v>4074</v>
      </c>
      <c r="B754" t="s">
        <v>19</v>
      </c>
      <c r="C754" s="7">
        <v>156</v>
      </c>
      <c r="D754" s="1">
        <v>45105</v>
      </c>
      <c r="E754" s="29">
        <v>2.7</v>
      </c>
      <c r="F754" t="s">
        <v>1</v>
      </c>
      <c r="G754" t="str">
        <f t="shared" si="11"/>
        <v>2023-06</v>
      </c>
    </row>
    <row r="755" spans="1:7" x14ac:dyDescent="0.3">
      <c r="A755">
        <v>3979</v>
      </c>
      <c r="B755" t="s">
        <v>24</v>
      </c>
      <c r="C755" s="7">
        <v>173</v>
      </c>
      <c r="D755" s="1">
        <v>45017</v>
      </c>
      <c r="E755" s="29">
        <v>2.6</v>
      </c>
      <c r="F755" t="s">
        <v>1</v>
      </c>
      <c r="G755" t="str">
        <f t="shared" si="11"/>
        <v>2023-04</v>
      </c>
    </row>
    <row r="756" spans="1:7" x14ac:dyDescent="0.3">
      <c r="A756">
        <v>3977</v>
      </c>
      <c r="B756" t="s">
        <v>51</v>
      </c>
      <c r="C756" s="7">
        <v>39</v>
      </c>
      <c r="D756" s="1">
        <v>44841</v>
      </c>
      <c r="E756" s="29">
        <v>2.4</v>
      </c>
      <c r="F756" t="s">
        <v>1</v>
      </c>
      <c r="G756" t="str">
        <f t="shared" si="11"/>
        <v>2022-10</v>
      </c>
    </row>
    <row r="757" spans="1:7" x14ac:dyDescent="0.3">
      <c r="A757">
        <v>4057</v>
      </c>
      <c r="B757" t="s">
        <v>22</v>
      </c>
      <c r="C757" s="7">
        <v>93</v>
      </c>
      <c r="D757" s="1">
        <v>44843</v>
      </c>
      <c r="E757" s="29">
        <v>4.9000000000000004</v>
      </c>
      <c r="F757" t="s">
        <v>4</v>
      </c>
      <c r="G757" t="str">
        <f t="shared" si="11"/>
        <v>2022-10</v>
      </c>
    </row>
    <row r="758" spans="1:7" x14ac:dyDescent="0.3">
      <c r="A758">
        <v>4002</v>
      </c>
      <c r="B758" t="s">
        <v>2</v>
      </c>
      <c r="C758" s="7">
        <v>93.340909090909093</v>
      </c>
      <c r="D758" s="1">
        <v>45129</v>
      </c>
      <c r="E758" s="29">
        <v>1.1000000000000001</v>
      </c>
      <c r="F758" t="s">
        <v>1</v>
      </c>
      <c r="G758" t="str">
        <f t="shared" si="11"/>
        <v>2023-07</v>
      </c>
    </row>
    <row r="759" spans="1:7" x14ac:dyDescent="0.3">
      <c r="A759">
        <v>4030</v>
      </c>
      <c r="B759" t="s">
        <v>3</v>
      </c>
      <c r="C759" s="7">
        <v>127</v>
      </c>
      <c r="D759" s="1">
        <v>45002</v>
      </c>
      <c r="E759" s="29">
        <v>1.8</v>
      </c>
      <c r="F759" t="s">
        <v>4</v>
      </c>
      <c r="G759" t="str">
        <f t="shared" si="11"/>
        <v>2023-03</v>
      </c>
    </row>
    <row r="760" spans="1:7" x14ac:dyDescent="0.3">
      <c r="A760">
        <v>3976</v>
      </c>
      <c r="B760" t="s">
        <v>2</v>
      </c>
      <c r="C760" s="7">
        <v>102</v>
      </c>
      <c r="D760" s="1">
        <v>44952</v>
      </c>
      <c r="E760" s="29">
        <v>2.2000000000000002</v>
      </c>
      <c r="F760" t="s">
        <v>4</v>
      </c>
      <c r="G760" t="str">
        <f t="shared" si="11"/>
        <v>2023-01</v>
      </c>
    </row>
    <row r="761" spans="1:7" x14ac:dyDescent="0.3">
      <c r="A761">
        <v>3984</v>
      </c>
      <c r="B761" t="s">
        <v>31</v>
      </c>
      <c r="C761" s="7">
        <v>88.827586206896498</v>
      </c>
      <c r="D761" s="1">
        <v>45073</v>
      </c>
      <c r="E761" s="29">
        <v>2.2999999999999998</v>
      </c>
      <c r="F761" t="s">
        <v>4</v>
      </c>
      <c r="G761" t="str">
        <f t="shared" si="11"/>
        <v>2023-05</v>
      </c>
    </row>
    <row r="762" spans="1:7" x14ac:dyDescent="0.3">
      <c r="A762">
        <v>3999</v>
      </c>
      <c r="B762" t="s">
        <v>32</v>
      </c>
      <c r="C762" s="7">
        <v>72</v>
      </c>
      <c r="D762" s="1">
        <v>44924</v>
      </c>
      <c r="E762" s="29">
        <v>2.2999999999999998</v>
      </c>
      <c r="F762" t="s">
        <v>1</v>
      </c>
      <c r="G762" t="str">
        <f t="shared" si="11"/>
        <v>2022-12</v>
      </c>
    </row>
    <row r="763" spans="1:7" x14ac:dyDescent="0.3">
      <c r="A763">
        <v>4027</v>
      </c>
      <c r="B763" t="s">
        <v>39</v>
      </c>
      <c r="C763" s="7">
        <v>112</v>
      </c>
      <c r="D763" s="1">
        <v>44938</v>
      </c>
      <c r="E763" s="29">
        <v>1.8</v>
      </c>
      <c r="F763" t="s">
        <v>1</v>
      </c>
      <c r="G763" t="str">
        <f t="shared" si="11"/>
        <v>2023-01</v>
      </c>
    </row>
    <row r="764" spans="1:7" x14ac:dyDescent="0.3">
      <c r="A764">
        <v>3985</v>
      </c>
      <c r="B764" t="s">
        <v>19</v>
      </c>
      <c r="C764" s="7">
        <v>111</v>
      </c>
      <c r="D764" s="1">
        <v>44974</v>
      </c>
      <c r="E764" s="29">
        <v>3</v>
      </c>
      <c r="F764" t="s">
        <v>1</v>
      </c>
      <c r="G764" t="str">
        <f t="shared" si="11"/>
        <v>2023-02</v>
      </c>
    </row>
    <row r="765" spans="1:7" x14ac:dyDescent="0.3">
      <c r="A765">
        <v>3994</v>
      </c>
      <c r="B765" t="s">
        <v>10</v>
      </c>
      <c r="C765" s="7">
        <v>200</v>
      </c>
      <c r="D765" s="1">
        <v>45052</v>
      </c>
      <c r="E765" s="29">
        <v>1.4</v>
      </c>
      <c r="F765" t="s">
        <v>1</v>
      </c>
      <c r="G765" t="str">
        <f t="shared" si="11"/>
        <v>2023-05</v>
      </c>
    </row>
    <row r="766" spans="1:7" x14ac:dyDescent="0.3">
      <c r="A766">
        <v>4084</v>
      </c>
      <c r="B766" t="s">
        <v>6</v>
      </c>
      <c r="C766" s="7">
        <v>95</v>
      </c>
      <c r="D766" s="1">
        <v>44882</v>
      </c>
      <c r="E766" s="29">
        <v>2.2999999999999998</v>
      </c>
      <c r="F766" t="s">
        <v>1</v>
      </c>
      <c r="G766" t="str">
        <f t="shared" si="11"/>
        <v>2022-11</v>
      </c>
    </row>
    <row r="767" spans="1:7" x14ac:dyDescent="0.3">
      <c r="A767">
        <v>3995</v>
      </c>
      <c r="B767" t="s">
        <v>35</v>
      </c>
      <c r="C767" s="7">
        <v>29</v>
      </c>
      <c r="D767" s="1">
        <v>45063</v>
      </c>
      <c r="E767" s="29">
        <v>3.9</v>
      </c>
      <c r="F767" t="s">
        <v>4</v>
      </c>
      <c r="G767" t="str">
        <f t="shared" si="11"/>
        <v>2023-05</v>
      </c>
    </row>
    <row r="768" spans="1:7" x14ac:dyDescent="0.3">
      <c r="A768">
        <v>4009</v>
      </c>
      <c r="B768" t="s">
        <v>19</v>
      </c>
      <c r="C768" s="7">
        <v>39</v>
      </c>
      <c r="D768" s="1">
        <v>45053</v>
      </c>
      <c r="E768" s="29">
        <v>4.9000000000000004</v>
      </c>
      <c r="F768" t="s">
        <v>1</v>
      </c>
      <c r="G768" t="str">
        <f t="shared" si="11"/>
        <v>2023-05</v>
      </c>
    </row>
    <row r="769" spans="1:7" x14ac:dyDescent="0.3">
      <c r="A769">
        <v>4090</v>
      </c>
      <c r="B769" t="s">
        <v>34</v>
      </c>
      <c r="C769" s="7">
        <v>59</v>
      </c>
      <c r="D769" s="1">
        <v>45173</v>
      </c>
      <c r="E769" s="29">
        <v>3.0125000000000002</v>
      </c>
      <c r="F769" t="s">
        <v>4</v>
      </c>
      <c r="G769" t="str">
        <f t="shared" si="11"/>
        <v>2023-09</v>
      </c>
    </row>
    <row r="770" spans="1:7" x14ac:dyDescent="0.3">
      <c r="A770">
        <v>4117</v>
      </c>
      <c r="B770" t="s">
        <v>50</v>
      </c>
      <c r="C770" s="7">
        <v>99</v>
      </c>
      <c r="D770" s="1">
        <v>44911</v>
      </c>
      <c r="E770" s="29">
        <v>3.8</v>
      </c>
      <c r="F770" t="s">
        <v>1</v>
      </c>
      <c r="G770" t="str">
        <f t="shared" si="11"/>
        <v>2022-12</v>
      </c>
    </row>
    <row r="771" spans="1:7" x14ac:dyDescent="0.3">
      <c r="A771">
        <v>3962</v>
      </c>
      <c r="B771" t="s">
        <v>11</v>
      </c>
      <c r="C771" s="7">
        <v>175</v>
      </c>
      <c r="D771" s="1">
        <v>44950</v>
      </c>
      <c r="E771" s="29">
        <v>2.9</v>
      </c>
      <c r="F771" t="s">
        <v>4</v>
      </c>
      <c r="G771" t="str">
        <f t="shared" ref="G771:G834" si="12">TEXT(D771,"ГГГГ-ММ")</f>
        <v>2023-01</v>
      </c>
    </row>
    <row r="772" spans="1:7" x14ac:dyDescent="0.3">
      <c r="A772">
        <v>4032</v>
      </c>
      <c r="B772" t="s">
        <v>10</v>
      </c>
      <c r="C772" s="7">
        <v>70</v>
      </c>
      <c r="D772" s="1">
        <v>45180</v>
      </c>
      <c r="E772" s="29">
        <v>3.4</v>
      </c>
      <c r="F772" t="s">
        <v>4</v>
      </c>
      <c r="G772" t="str">
        <f t="shared" si="12"/>
        <v>2023-09</v>
      </c>
    </row>
    <row r="773" spans="1:7" x14ac:dyDescent="0.3">
      <c r="A773">
        <v>4063</v>
      </c>
      <c r="B773" t="s">
        <v>5</v>
      </c>
      <c r="C773" s="7">
        <v>98.967741935483801</v>
      </c>
      <c r="D773" s="1">
        <v>44892</v>
      </c>
      <c r="E773" s="29">
        <v>1.4</v>
      </c>
      <c r="F773" t="s">
        <v>1</v>
      </c>
      <c r="G773" t="str">
        <f t="shared" si="12"/>
        <v>2022-11</v>
      </c>
    </row>
    <row r="774" spans="1:7" x14ac:dyDescent="0.3">
      <c r="A774">
        <v>4095</v>
      </c>
      <c r="B774" t="s">
        <v>45</v>
      </c>
      <c r="C774" s="7">
        <v>54</v>
      </c>
      <c r="D774" s="1">
        <v>44941</v>
      </c>
      <c r="E774" s="29">
        <v>2.1</v>
      </c>
      <c r="F774" t="s">
        <v>1</v>
      </c>
      <c r="G774" t="str">
        <f t="shared" si="12"/>
        <v>2023-01</v>
      </c>
    </row>
    <row r="775" spans="1:7" x14ac:dyDescent="0.3">
      <c r="A775">
        <v>3990</v>
      </c>
      <c r="B775" t="s">
        <v>37</v>
      </c>
      <c r="C775" s="7">
        <v>177</v>
      </c>
      <c r="D775" s="1">
        <v>44937</v>
      </c>
      <c r="E775" s="29">
        <v>4.7</v>
      </c>
      <c r="F775" t="s">
        <v>1</v>
      </c>
      <c r="G775" t="str">
        <f t="shared" si="12"/>
        <v>2023-01</v>
      </c>
    </row>
    <row r="776" spans="1:7" x14ac:dyDescent="0.3">
      <c r="A776">
        <v>4078</v>
      </c>
      <c r="B776" t="s">
        <v>29</v>
      </c>
      <c r="C776" s="7">
        <v>108.734693877551</v>
      </c>
      <c r="D776" s="1">
        <v>45046</v>
      </c>
      <c r="E776" s="29">
        <v>1.5</v>
      </c>
      <c r="F776" t="s">
        <v>1</v>
      </c>
      <c r="G776" t="str">
        <f t="shared" si="12"/>
        <v>2023-04</v>
      </c>
    </row>
    <row r="777" spans="1:7" x14ac:dyDescent="0.3">
      <c r="A777">
        <v>4045</v>
      </c>
      <c r="B777" t="s">
        <v>35</v>
      </c>
      <c r="C777" s="7">
        <v>170</v>
      </c>
      <c r="D777" s="1">
        <v>44894</v>
      </c>
      <c r="E777" s="29">
        <v>2.2999999999999998</v>
      </c>
      <c r="F777" t="s">
        <v>1</v>
      </c>
      <c r="G777" t="str">
        <f t="shared" si="12"/>
        <v>2022-11</v>
      </c>
    </row>
    <row r="778" spans="1:7" x14ac:dyDescent="0.3">
      <c r="A778">
        <v>4064</v>
      </c>
      <c r="B778" t="s">
        <v>46</v>
      </c>
      <c r="C778" s="7">
        <v>154</v>
      </c>
      <c r="D778" s="1">
        <v>44842</v>
      </c>
      <c r="E778" s="29">
        <v>2.7</v>
      </c>
      <c r="F778" t="s">
        <v>4</v>
      </c>
      <c r="G778" t="str">
        <f t="shared" si="12"/>
        <v>2022-10</v>
      </c>
    </row>
    <row r="779" spans="1:7" x14ac:dyDescent="0.3">
      <c r="A779">
        <v>4070</v>
      </c>
      <c r="B779" t="s">
        <v>46</v>
      </c>
      <c r="C779" s="7">
        <v>124</v>
      </c>
      <c r="D779" s="1">
        <v>45165</v>
      </c>
      <c r="E779" s="29">
        <v>1.6</v>
      </c>
      <c r="F779" t="s">
        <v>4</v>
      </c>
      <c r="G779" t="str">
        <f t="shared" si="12"/>
        <v>2023-08</v>
      </c>
    </row>
    <row r="780" spans="1:7" x14ac:dyDescent="0.3">
      <c r="A780">
        <v>4122</v>
      </c>
      <c r="B780" t="s">
        <v>25</v>
      </c>
      <c r="C780" s="7">
        <v>154</v>
      </c>
      <c r="D780" s="1">
        <v>45152</v>
      </c>
      <c r="E780" s="29">
        <v>1.8</v>
      </c>
      <c r="F780" t="s">
        <v>1</v>
      </c>
      <c r="G780" t="str">
        <f t="shared" si="12"/>
        <v>2023-08</v>
      </c>
    </row>
    <row r="781" spans="1:7" x14ac:dyDescent="0.3">
      <c r="A781">
        <v>3962</v>
      </c>
      <c r="B781" t="s">
        <v>0</v>
      </c>
      <c r="C781" s="7">
        <v>169</v>
      </c>
      <c r="D781" s="1">
        <v>44968</v>
      </c>
      <c r="E781" s="29">
        <v>3.0636363636363599</v>
      </c>
      <c r="F781" t="s">
        <v>1</v>
      </c>
      <c r="G781" t="str">
        <f t="shared" si="12"/>
        <v>2023-02</v>
      </c>
    </row>
    <row r="782" spans="1:7" x14ac:dyDescent="0.3">
      <c r="A782">
        <v>4031</v>
      </c>
      <c r="B782" t="s">
        <v>40</v>
      </c>
      <c r="C782" s="7">
        <v>170</v>
      </c>
      <c r="D782" s="1">
        <v>44980</v>
      </c>
      <c r="E782" s="29">
        <v>3.3</v>
      </c>
      <c r="F782" t="s">
        <v>4</v>
      </c>
      <c r="G782" t="str">
        <f t="shared" si="12"/>
        <v>2023-02</v>
      </c>
    </row>
    <row r="783" spans="1:7" x14ac:dyDescent="0.3">
      <c r="A783">
        <v>4005</v>
      </c>
      <c r="B783" t="s">
        <v>44</v>
      </c>
      <c r="C783" s="7">
        <v>122</v>
      </c>
      <c r="D783" s="1">
        <v>45200</v>
      </c>
      <c r="E783" s="29">
        <v>2</v>
      </c>
      <c r="F783" t="s">
        <v>4</v>
      </c>
      <c r="G783" t="str">
        <f t="shared" si="12"/>
        <v>2023-10</v>
      </c>
    </row>
    <row r="784" spans="1:7" x14ac:dyDescent="0.3">
      <c r="A784">
        <v>3973</v>
      </c>
      <c r="B784" t="s">
        <v>38</v>
      </c>
      <c r="C784" s="7">
        <v>103.222222222222</v>
      </c>
      <c r="D784" s="1">
        <v>44883</v>
      </c>
      <c r="E784" s="29">
        <v>2.2000000000000002</v>
      </c>
      <c r="F784" t="s">
        <v>4</v>
      </c>
      <c r="G784" t="str">
        <f t="shared" si="12"/>
        <v>2022-11</v>
      </c>
    </row>
    <row r="785" spans="1:7" x14ac:dyDescent="0.3">
      <c r="A785">
        <v>3962</v>
      </c>
      <c r="B785" t="s">
        <v>33</v>
      </c>
      <c r="C785" s="7">
        <v>87</v>
      </c>
      <c r="D785" s="1">
        <v>45058</v>
      </c>
      <c r="E785" s="29">
        <v>2.96470588235294</v>
      </c>
      <c r="F785" t="s">
        <v>4</v>
      </c>
      <c r="G785" t="str">
        <f t="shared" si="12"/>
        <v>2023-05</v>
      </c>
    </row>
    <row r="786" spans="1:7" x14ac:dyDescent="0.3">
      <c r="A786">
        <v>4016</v>
      </c>
      <c r="B786" t="s">
        <v>46</v>
      </c>
      <c r="C786" s="7">
        <v>161</v>
      </c>
      <c r="D786" s="1">
        <v>44989</v>
      </c>
      <c r="E786" s="29">
        <v>1.3</v>
      </c>
      <c r="F786" t="s">
        <v>4</v>
      </c>
      <c r="G786" t="str">
        <f t="shared" si="12"/>
        <v>2023-03</v>
      </c>
    </row>
    <row r="787" spans="1:7" x14ac:dyDescent="0.3">
      <c r="A787">
        <v>4090</v>
      </c>
      <c r="B787" t="s">
        <v>23</v>
      </c>
      <c r="C787" s="7">
        <v>107.68518518518501</v>
      </c>
      <c r="D787" s="1">
        <v>44906</v>
      </c>
      <c r="E787" s="29">
        <v>3.8</v>
      </c>
      <c r="F787" t="s">
        <v>4</v>
      </c>
      <c r="G787" t="str">
        <f t="shared" si="12"/>
        <v>2022-12</v>
      </c>
    </row>
    <row r="788" spans="1:7" x14ac:dyDescent="0.3">
      <c r="A788">
        <v>4122</v>
      </c>
      <c r="B788" t="s">
        <v>37</v>
      </c>
      <c r="C788" s="7">
        <v>89</v>
      </c>
      <c r="D788" s="1">
        <v>44938</v>
      </c>
      <c r="E788" s="29">
        <v>4.4000000000000004</v>
      </c>
      <c r="F788" t="s">
        <v>1</v>
      </c>
      <c r="G788" t="str">
        <f t="shared" si="12"/>
        <v>2023-01</v>
      </c>
    </row>
    <row r="789" spans="1:7" x14ac:dyDescent="0.3">
      <c r="A789">
        <v>4042</v>
      </c>
      <c r="B789" t="s">
        <v>24</v>
      </c>
      <c r="C789" s="7">
        <v>19</v>
      </c>
      <c r="D789" s="1">
        <v>44886</v>
      </c>
      <c r="E789" s="29">
        <v>2.8</v>
      </c>
      <c r="F789" t="s">
        <v>4</v>
      </c>
      <c r="G789" t="str">
        <f t="shared" si="12"/>
        <v>2022-11</v>
      </c>
    </row>
    <row r="790" spans="1:7" x14ac:dyDescent="0.3">
      <c r="A790">
        <v>4062</v>
      </c>
      <c r="B790" t="s">
        <v>32</v>
      </c>
      <c r="C790" s="7">
        <v>84.528571428571396</v>
      </c>
      <c r="D790" s="1">
        <v>45035</v>
      </c>
      <c r="E790" s="29">
        <v>1.7</v>
      </c>
      <c r="F790" t="s">
        <v>1</v>
      </c>
      <c r="G790" t="str">
        <f t="shared" si="12"/>
        <v>2023-04</v>
      </c>
    </row>
    <row r="791" spans="1:7" x14ac:dyDescent="0.3">
      <c r="A791">
        <v>4105</v>
      </c>
      <c r="B791" t="s">
        <v>20</v>
      </c>
      <c r="C791" s="7">
        <v>29</v>
      </c>
      <c r="D791" s="1">
        <v>45014</v>
      </c>
      <c r="E791" s="29">
        <v>2.8</v>
      </c>
      <c r="F791" t="s">
        <v>4</v>
      </c>
      <c r="G791" t="str">
        <f t="shared" si="12"/>
        <v>2023-03</v>
      </c>
    </row>
    <row r="792" spans="1:7" x14ac:dyDescent="0.3">
      <c r="A792">
        <v>4044</v>
      </c>
      <c r="B792" t="s">
        <v>19</v>
      </c>
      <c r="C792" s="7">
        <v>33</v>
      </c>
      <c r="D792" s="1">
        <v>44977</v>
      </c>
      <c r="E792" s="29">
        <v>3.7</v>
      </c>
      <c r="F792" t="s">
        <v>1</v>
      </c>
      <c r="G792" t="str">
        <f t="shared" si="12"/>
        <v>2023-02</v>
      </c>
    </row>
    <row r="793" spans="1:7" x14ac:dyDescent="0.3">
      <c r="A793">
        <v>4122</v>
      </c>
      <c r="B793" t="s">
        <v>29</v>
      </c>
      <c r="C793" s="7">
        <v>139</v>
      </c>
      <c r="D793" s="1">
        <v>44983</v>
      </c>
      <c r="E793" s="29">
        <v>2</v>
      </c>
      <c r="F793" t="s">
        <v>1</v>
      </c>
      <c r="G793" t="str">
        <f t="shared" si="12"/>
        <v>2023-02</v>
      </c>
    </row>
    <row r="794" spans="1:7" x14ac:dyDescent="0.3">
      <c r="A794">
        <v>4040</v>
      </c>
      <c r="B794" t="s">
        <v>27</v>
      </c>
      <c r="C794" s="7">
        <v>158</v>
      </c>
      <c r="D794" s="1">
        <v>44895</v>
      </c>
      <c r="E794" s="29">
        <v>1.1000000000000001</v>
      </c>
      <c r="F794" t="s">
        <v>4</v>
      </c>
      <c r="G794" t="str">
        <f t="shared" si="12"/>
        <v>2022-11</v>
      </c>
    </row>
    <row r="795" spans="1:7" x14ac:dyDescent="0.3">
      <c r="A795">
        <v>4081</v>
      </c>
      <c r="B795" t="s">
        <v>5</v>
      </c>
      <c r="C795" s="7">
        <v>199</v>
      </c>
      <c r="D795" s="1">
        <v>44936</v>
      </c>
      <c r="E795" s="29">
        <v>2.6</v>
      </c>
      <c r="F795" t="s">
        <v>4</v>
      </c>
      <c r="G795" t="str">
        <f t="shared" si="12"/>
        <v>2023-01</v>
      </c>
    </row>
    <row r="796" spans="1:7" x14ac:dyDescent="0.3">
      <c r="A796">
        <v>4108</v>
      </c>
      <c r="B796" t="s">
        <v>11</v>
      </c>
      <c r="C796" s="7">
        <v>125</v>
      </c>
      <c r="D796" s="1">
        <v>45071</v>
      </c>
      <c r="E796" s="29">
        <v>2.9</v>
      </c>
      <c r="F796" t="s">
        <v>4</v>
      </c>
      <c r="G796" t="str">
        <f t="shared" si="12"/>
        <v>2023-05</v>
      </c>
    </row>
    <row r="797" spans="1:7" x14ac:dyDescent="0.3">
      <c r="A797">
        <v>4092</v>
      </c>
      <c r="B797" t="s">
        <v>27</v>
      </c>
      <c r="C797" s="7">
        <v>156</v>
      </c>
      <c r="D797" s="1">
        <v>44927</v>
      </c>
      <c r="E797" s="29">
        <v>3.2016129032257998</v>
      </c>
      <c r="F797" t="s">
        <v>1</v>
      </c>
      <c r="G797" t="str">
        <f t="shared" si="12"/>
        <v>2023-01</v>
      </c>
    </row>
    <row r="798" spans="1:7" x14ac:dyDescent="0.3">
      <c r="A798">
        <v>4097</v>
      </c>
      <c r="B798" t="s">
        <v>24</v>
      </c>
      <c r="C798" s="7">
        <v>92</v>
      </c>
      <c r="D798" s="1">
        <v>45073</v>
      </c>
      <c r="E798" s="29">
        <v>4.7</v>
      </c>
      <c r="F798" t="s">
        <v>4</v>
      </c>
      <c r="G798" t="str">
        <f t="shared" si="12"/>
        <v>2023-05</v>
      </c>
    </row>
    <row r="799" spans="1:7" x14ac:dyDescent="0.3">
      <c r="A799">
        <v>4070</v>
      </c>
      <c r="B799" t="s">
        <v>0</v>
      </c>
      <c r="C799" s="7">
        <v>138</v>
      </c>
      <c r="D799" s="1">
        <v>45076</v>
      </c>
      <c r="E799" s="29">
        <v>1.1000000000000001</v>
      </c>
      <c r="F799" t="s">
        <v>4</v>
      </c>
      <c r="G799" t="str">
        <f t="shared" si="12"/>
        <v>2023-05</v>
      </c>
    </row>
    <row r="800" spans="1:7" x14ac:dyDescent="0.3">
      <c r="A800">
        <v>4074</v>
      </c>
      <c r="B800" t="s">
        <v>31</v>
      </c>
      <c r="C800" s="7">
        <v>88.827586206896498</v>
      </c>
      <c r="D800" s="1">
        <v>45173</v>
      </c>
      <c r="E800" s="29">
        <v>1.1000000000000001</v>
      </c>
      <c r="F800" t="s">
        <v>4</v>
      </c>
      <c r="G800" t="str">
        <f t="shared" si="12"/>
        <v>2023-09</v>
      </c>
    </row>
    <row r="801" spans="1:7" x14ac:dyDescent="0.3">
      <c r="A801">
        <v>4034</v>
      </c>
      <c r="B801" t="s">
        <v>47</v>
      </c>
      <c r="C801" s="7">
        <v>106.297872340425</v>
      </c>
      <c r="D801" s="1">
        <v>45034</v>
      </c>
      <c r="E801" s="29">
        <v>4.2</v>
      </c>
      <c r="F801" t="s">
        <v>4</v>
      </c>
      <c r="G801" t="str">
        <f t="shared" si="12"/>
        <v>2023-04</v>
      </c>
    </row>
    <row r="802" spans="1:7" x14ac:dyDescent="0.3">
      <c r="A802">
        <v>4102</v>
      </c>
      <c r="B802" t="s">
        <v>43</v>
      </c>
      <c r="C802" s="7">
        <v>117.354166666666</v>
      </c>
      <c r="D802" s="1">
        <v>45103</v>
      </c>
      <c r="E802" s="29">
        <v>3</v>
      </c>
      <c r="F802" t="s">
        <v>1</v>
      </c>
      <c r="G802" t="str">
        <f t="shared" si="12"/>
        <v>2023-06</v>
      </c>
    </row>
    <row r="803" spans="1:7" x14ac:dyDescent="0.3">
      <c r="A803">
        <v>3990</v>
      </c>
      <c r="B803" t="s">
        <v>41</v>
      </c>
      <c r="C803" s="7">
        <v>97</v>
      </c>
      <c r="D803" s="1">
        <v>45021</v>
      </c>
      <c r="E803" s="29">
        <v>3.5</v>
      </c>
      <c r="F803" t="s">
        <v>4</v>
      </c>
      <c r="G803" t="str">
        <f t="shared" si="12"/>
        <v>2023-04</v>
      </c>
    </row>
    <row r="804" spans="1:7" x14ac:dyDescent="0.3">
      <c r="A804">
        <v>4035</v>
      </c>
      <c r="B804" t="s">
        <v>22</v>
      </c>
      <c r="C804" s="7">
        <v>31</v>
      </c>
      <c r="D804" s="1">
        <v>45080</v>
      </c>
      <c r="E804" s="29">
        <v>3.3</v>
      </c>
      <c r="F804" t="s">
        <v>4</v>
      </c>
      <c r="G804" t="str">
        <f t="shared" si="12"/>
        <v>2023-06</v>
      </c>
    </row>
    <row r="805" spans="1:7" x14ac:dyDescent="0.3">
      <c r="A805">
        <v>4000</v>
      </c>
      <c r="B805" t="s">
        <v>0</v>
      </c>
      <c r="C805" s="7">
        <v>54</v>
      </c>
      <c r="D805" s="1">
        <v>45051</v>
      </c>
      <c r="E805" s="29">
        <v>4.0999999999999996</v>
      </c>
      <c r="F805" t="s">
        <v>4</v>
      </c>
      <c r="G805" t="str">
        <f t="shared" si="12"/>
        <v>2023-05</v>
      </c>
    </row>
    <row r="806" spans="1:7" x14ac:dyDescent="0.3">
      <c r="A806">
        <v>4023</v>
      </c>
      <c r="B806" t="s">
        <v>36</v>
      </c>
      <c r="C806" s="7">
        <v>90.925925925925895</v>
      </c>
      <c r="D806" s="1">
        <v>44852</v>
      </c>
      <c r="E806" s="29">
        <v>4.2</v>
      </c>
      <c r="F806" t="s">
        <v>1</v>
      </c>
      <c r="G806" t="str">
        <f t="shared" si="12"/>
        <v>2022-10</v>
      </c>
    </row>
    <row r="807" spans="1:7" x14ac:dyDescent="0.3">
      <c r="A807">
        <v>4015</v>
      </c>
      <c r="B807" t="s">
        <v>6</v>
      </c>
      <c r="C807" s="7">
        <v>122</v>
      </c>
      <c r="D807" s="1">
        <v>45052</v>
      </c>
      <c r="E807" s="29">
        <v>1.4</v>
      </c>
      <c r="F807" t="s">
        <v>4</v>
      </c>
      <c r="G807" t="str">
        <f t="shared" si="12"/>
        <v>2023-05</v>
      </c>
    </row>
    <row r="808" spans="1:7" x14ac:dyDescent="0.3">
      <c r="A808">
        <v>4080</v>
      </c>
      <c r="B808" t="s">
        <v>40</v>
      </c>
      <c r="C808" s="7">
        <v>166</v>
      </c>
      <c r="D808" s="1">
        <v>45190</v>
      </c>
      <c r="E808" s="29">
        <v>3.4</v>
      </c>
      <c r="F808" t="s">
        <v>1</v>
      </c>
      <c r="G808" t="str">
        <f t="shared" si="12"/>
        <v>2023-09</v>
      </c>
    </row>
    <row r="809" spans="1:7" x14ac:dyDescent="0.3">
      <c r="A809">
        <v>4052</v>
      </c>
      <c r="B809" t="s">
        <v>15</v>
      </c>
      <c r="C809" s="7">
        <v>103.108695652173</v>
      </c>
      <c r="D809" s="1">
        <v>44942</v>
      </c>
      <c r="E809" s="29">
        <v>4</v>
      </c>
      <c r="F809" t="s">
        <v>1</v>
      </c>
      <c r="G809" t="str">
        <f t="shared" si="12"/>
        <v>2023-01</v>
      </c>
    </row>
    <row r="810" spans="1:7" x14ac:dyDescent="0.3">
      <c r="A810">
        <v>4030</v>
      </c>
      <c r="B810" t="s">
        <v>32</v>
      </c>
      <c r="C810" s="7">
        <v>82</v>
      </c>
      <c r="D810" s="1">
        <v>44964</v>
      </c>
      <c r="E810" s="29">
        <v>2.7</v>
      </c>
      <c r="F810" t="s">
        <v>4</v>
      </c>
      <c r="G810" t="str">
        <f t="shared" si="12"/>
        <v>2023-02</v>
      </c>
    </row>
    <row r="811" spans="1:7" x14ac:dyDescent="0.3">
      <c r="A811">
        <v>3969</v>
      </c>
      <c r="B811" t="s">
        <v>12</v>
      </c>
      <c r="C811" s="7">
        <v>96</v>
      </c>
      <c r="D811" s="1">
        <v>45145</v>
      </c>
      <c r="E811" s="29">
        <v>2.8</v>
      </c>
      <c r="F811" t="s">
        <v>4</v>
      </c>
      <c r="G811" t="str">
        <f t="shared" si="12"/>
        <v>2023-08</v>
      </c>
    </row>
    <row r="812" spans="1:7" x14ac:dyDescent="0.3">
      <c r="A812">
        <v>3994</v>
      </c>
      <c r="B812" t="s">
        <v>37</v>
      </c>
      <c r="C812" s="7">
        <v>23</v>
      </c>
      <c r="D812" s="1">
        <v>44985</v>
      </c>
      <c r="E812" s="29">
        <v>4</v>
      </c>
      <c r="F812" t="s">
        <v>1</v>
      </c>
      <c r="G812" t="str">
        <f t="shared" si="12"/>
        <v>2023-02</v>
      </c>
    </row>
    <row r="813" spans="1:7" x14ac:dyDescent="0.3">
      <c r="A813">
        <v>4047</v>
      </c>
      <c r="B813" t="s">
        <v>25</v>
      </c>
      <c r="C813" s="7">
        <v>175</v>
      </c>
      <c r="D813" s="1">
        <v>44928</v>
      </c>
      <c r="E813" s="29">
        <v>1.3</v>
      </c>
      <c r="F813" t="s">
        <v>4</v>
      </c>
      <c r="G813" t="str">
        <f t="shared" si="12"/>
        <v>2023-01</v>
      </c>
    </row>
    <row r="814" spans="1:7" x14ac:dyDescent="0.3">
      <c r="A814">
        <v>4029</v>
      </c>
      <c r="B814" t="s">
        <v>17</v>
      </c>
      <c r="C814" s="7">
        <v>94</v>
      </c>
      <c r="D814" s="1">
        <v>45155</v>
      </c>
      <c r="E814" s="29">
        <v>2.4</v>
      </c>
      <c r="F814" t="s">
        <v>4</v>
      </c>
      <c r="G814" t="str">
        <f t="shared" si="12"/>
        <v>2023-08</v>
      </c>
    </row>
    <row r="815" spans="1:7" x14ac:dyDescent="0.3">
      <c r="A815">
        <v>4073</v>
      </c>
      <c r="B815" t="s">
        <v>6</v>
      </c>
      <c r="C815" s="7">
        <v>114.77966101694901</v>
      </c>
      <c r="D815" s="1">
        <v>44859</v>
      </c>
      <c r="E815" s="29">
        <v>3.8</v>
      </c>
      <c r="F815" t="s">
        <v>1</v>
      </c>
      <c r="G815" t="str">
        <f t="shared" si="12"/>
        <v>2022-10</v>
      </c>
    </row>
    <row r="816" spans="1:7" x14ac:dyDescent="0.3">
      <c r="A816">
        <v>3999</v>
      </c>
      <c r="B816" t="s">
        <v>3</v>
      </c>
      <c r="C816" s="7">
        <v>82</v>
      </c>
      <c r="D816" s="1">
        <v>44978</v>
      </c>
      <c r="E816" s="29">
        <v>2.7</v>
      </c>
      <c r="F816" t="s">
        <v>4</v>
      </c>
      <c r="G816" t="str">
        <f t="shared" si="12"/>
        <v>2023-02</v>
      </c>
    </row>
    <row r="817" spans="1:7" x14ac:dyDescent="0.3">
      <c r="A817">
        <v>4115</v>
      </c>
      <c r="B817" t="s">
        <v>29</v>
      </c>
      <c r="C817" s="7">
        <v>178</v>
      </c>
      <c r="D817" s="1">
        <v>45055</v>
      </c>
      <c r="E817" s="29">
        <v>2.69137931034482</v>
      </c>
      <c r="F817" t="s">
        <v>1</v>
      </c>
      <c r="G817" t="str">
        <f t="shared" si="12"/>
        <v>2023-05</v>
      </c>
    </row>
    <row r="818" spans="1:7" x14ac:dyDescent="0.3">
      <c r="A818">
        <v>3998</v>
      </c>
      <c r="B818" t="s">
        <v>11</v>
      </c>
      <c r="C818" s="7">
        <v>164</v>
      </c>
      <c r="D818" s="1">
        <v>44871</v>
      </c>
      <c r="E818" s="29">
        <v>1</v>
      </c>
      <c r="F818" t="s">
        <v>1</v>
      </c>
      <c r="G818" t="str">
        <f t="shared" si="12"/>
        <v>2022-11</v>
      </c>
    </row>
    <row r="819" spans="1:7" x14ac:dyDescent="0.3">
      <c r="A819">
        <v>4094</v>
      </c>
      <c r="B819" t="s">
        <v>48</v>
      </c>
      <c r="C819" s="7">
        <v>95</v>
      </c>
      <c r="D819" s="1">
        <v>45078</v>
      </c>
      <c r="E819" s="29">
        <v>1.1000000000000001</v>
      </c>
      <c r="F819" t="s">
        <v>1</v>
      </c>
      <c r="G819" t="str">
        <f t="shared" si="12"/>
        <v>2023-06</v>
      </c>
    </row>
    <row r="820" spans="1:7" x14ac:dyDescent="0.3">
      <c r="A820">
        <v>4030</v>
      </c>
      <c r="B820" t="s">
        <v>20</v>
      </c>
      <c r="C820" s="7">
        <v>105.95348837209301</v>
      </c>
      <c r="D820" s="1">
        <v>45003</v>
      </c>
      <c r="E820" s="29">
        <v>2.7</v>
      </c>
      <c r="F820" t="s">
        <v>4</v>
      </c>
      <c r="G820" t="str">
        <f t="shared" si="12"/>
        <v>2023-03</v>
      </c>
    </row>
    <row r="821" spans="1:7" x14ac:dyDescent="0.3">
      <c r="A821">
        <v>4003</v>
      </c>
      <c r="B821" t="s">
        <v>48</v>
      </c>
      <c r="C821" s="7">
        <v>99</v>
      </c>
      <c r="D821" s="1">
        <v>45010</v>
      </c>
      <c r="E821" s="29">
        <v>1.9</v>
      </c>
      <c r="F821" t="s">
        <v>1</v>
      </c>
      <c r="G821" t="str">
        <f t="shared" si="12"/>
        <v>2023-03</v>
      </c>
    </row>
    <row r="822" spans="1:7" x14ac:dyDescent="0.3">
      <c r="A822">
        <v>4001</v>
      </c>
      <c r="B822" t="s">
        <v>23</v>
      </c>
      <c r="C822" s="7">
        <v>177</v>
      </c>
      <c r="D822" s="1">
        <v>44887</v>
      </c>
      <c r="E822" s="29">
        <v>2.2999999999999998</v>
      </c>
      <c r="F822" t="s">
        <v>4</v>
      </c>
      <c r="G822" t="str">
        <f t="shared" si="12"/>
        <v>2022-11</v>
      </c>
    </row>
    <row r="823" spans="1:7" x14ac:dyDescent="0.3">
      <c r="A823">
        <v>3996</v>
      </c>
      <c r="B823" t="s">
        <v>35</v>
      </c>
      <c r="C823" s="7">
        <v>110</v>
      </c>
      <c r="D823" s="1">
        <v>45097</v>
      </c>
      <c r="E823" s="29">
        <v>3.7</v>
      </c>
      <c r="F823" t="s">
        <v>1</v>
      </c>
      <c r="G823" t="str">
        <f t="shared" si="12"/>
        <v>2023-06</v>
      </c>
    </row>
    <row r="824" spans="1:7" x14ac:dyDescent="0.3">
      <c r="A824">
        <v>3998</v>
      </c>
      <c r="B824" t="s">
        <v>15</v>
      </c>
      <c r="C824" s="7">
        <v>103.108695652173</v>
      </c>
      <c r="D824" s="1">
        <v>45117</v>
      </c>
      <c r="E824" s="29">
        <v>3.3</v>
      </c>
      <c r="F824" t="s">
        <v>1</v>
      </c>
      <c r="G824" t="str">
        <f t="shared" si="12"/>
        <v>2023-07</v>
      </c>
    </row>
    <row r="825" spans="1:7" x14ac:dyDescent="0.3">
      <c r="A825">
        <v>4017</v>
      </c>
      <c r="B825" t="s">
        <v>29</v>
      </c>
      <c r="C825" s="7">
        <v>31</v>
      </c>
      <c r="D825" s="1">
        <v>45061</v>
      </c>
      <c r="E825" s="29">
        <v>4.5</v>
      </c>
      <c r="F825" t="s">
        <v>4</v>
      </c>
      <c r="G825" t="str">
        <f t="shared" si="12"/>
        <v>2023-05</v>
      </c>
    </row>
    <row r="826" spans="1:7" x14ac:dyDescent="0.3">
      <c r="A826">
        <v>3986</v>
      </c>
      <c r="B826" t="s">
        <v>9</v>
      </c>
      <c r="C826" s="7">
        <v>106</v>
      </c>
      <c r="D826" s="1">
        <v>44846</v>
      </c>
      <c r="E826" s="29">
        <v>1.6</v>
      </c>
      <c r="F826" t="s">
        <v>1</v>
      </c>
      <c r="G826" t="str">
        <f t="shared" si="12"/>
        <v>2022-10</v>
      </c>
    </row>
    <row r="827" spans="1:7" x14ac:dyDescent="0.3">
      <c r="A827">
        <v>3967</v>
      </c>
      <c r="B827" t="s">
        <v>27</v>
      </c>
      <c r="C827" s="7">
        <v>94</v>
      </c>
      <c r="D827" s="1">
        <v>44880</v>
      </c>
      <c r="E827" s="29">
        <v>1.8</v>
      </c>
      <c r="F827" t="s">
        <v>4</v>
      </c>
      <c r="G827" t="str">
        <f t="shared" si="12"/>
        <v>2022-11</v>
      </c>
    </row>
    <row r="828" spans="1:7" x14ac:dyDescent="0.3">
      <c r="A828">
        <v>4038</v>
      </c>
      <c r="B828" t="s">
        <v>33</v>
      </c>
      <c r="C828" s="7">
        <v>181</v>
      </c>
      <c r="D828" s="1">
        <v>45089</v>
      </c>
      <c r="E828" s="29">
        <v>1.1000000000000001</v>
      </c>
      <c r="F828" t="s">
        <v>1</v>
      </c>
      <c r="G828" t="str">
        <f t="shared" si="12"/>
        <v>2023-06</v>
      </c>
    </row>
    <row r="829" spans="1:7" x14ac:dyDescent="0.3">
      <c r="A829">
        <v>4104</v>
      </c>
      <c r="B829" t="s">
        <v>43</v>
      </c>
      <c r="C829" s="7">
        <v>199</v>
      </c>
      <c r="D829" s="1">
        <v>45153</v>
      </c>
      <c r="E829" s="29">
        <v>4.4000000000000004</v>
      </c>
      <c r="F829" t="s">
        <v>4</v>
      </c>
      <c r="G829" t="str">
        <f t="shared" si="12"/>
        <v>2023-08</v>
      </c>
    </row>
    <row r="830" spans="1:7" x14ac:dyDescent="0.3">
      <c r="A830">
        <v>3989</v>
      </c>
      <c r="B830" t="s">
        <v>9</v>
      </c>
      <c r="C830" s="7">
        <v>144</v>
      </c>
      <c r="D830" s="1">
        <v>45151</v>
      </c>
      <c r="E830" s="29">
        <v>3.2</v>
      </c>
      <c r="F830" t="s">
        <v>1</v>
      </c>
      <c r="G830" t="str">
        <f t="shared" si="12"/>
        <v>2023-08</v>
      </c>
    </row>
    <row r="831" spans="1:7" x14ac:dyDescent="0.3">
      <c r="A831">
        <v>4069</v>
      </c>
      <c r="B831" t="s">
        <v>49</v>
      </c>
      <c r="C831" s="7">
        <v>114.217391304347</v>
      </c>
      <c r="D831" s="1">
        <v>45125</v>
      </c>
      <c r="E831" s="29">
        <v>2.2999999999999998</v>
      </c>
      <c r="F831" t="s">
        <v>4</v>
      </c>
      <c r="G831" t="str">
        <f t="shared" si="12"/>
        <v>2023-07</v>
      </c>
    </row>
    <row r="832" spans="1:7" x14ac:dyDescent="0.3">
      <c r="A832">
        <v>4023</v>
      </c>
      <c r="B832" t="s">
        <v>11</v>
      </c>
      <c r="C832" s="7">
        <v>140</v>
      </c>
      <c r="D832" s="1">
        <v>44932</v>
      </c>
      <c r="E832" s="29">
        <v>1.9</v>
      </c>
      <c r="F832" t="s">
        <v>4</v>
      </c>
      <c r="G832" t="str">
        <f t="shared" si="12"/>
        <v>2023-01</v>
      </c>
    </row>
    <row r="833" spans="1:7" x14ac:dyDescent="0.3">
      <c r="A833">
        <v>4051</v>
      </c>
      <c r="B833" t="s">
        <v>32</v>
      </c>
      <c r="C833" s="7">
        <v>102</v>
      </c>
      <c r="D833" s="1">
        <v>44924</v>
      </c>
      <c r="E833" s="29">
        <v>2.2000000000000002</v>
      </c>
      <c r="F833" t="s">
        <v>4</v>
      </c>
      <c r="G833" t="str">
        <f t="shared" si="12"/>
        <v>2022-12</v>
      </c>
    </row>
    <row r="834" spans="1:7" x14ac:dyDescent="0.3">
      <c r="A834">
        <v>4004</v>
      </c>
      <c r="B834" t="s">
        <v>18</v>
      </c>
      <c r="C834" s="7">
        <v>64</v>
      </c>
      <c r="D834" s="1">
        <v>44989</v>
      </c>
      <c r="E834" s="29">
        <v>2.1</v>
      </c>
      <c r="F834" t="s">
        <v>1</v>
      </c>
      <c r="G834" t="str">
        <f t="shared" si="12"/>
        <v>2023-03</v>
      </c>
    </row>
    <row r="835" spans="1:7" x14ac:dyDescent="0.3">
      <c r="A835">
        <v>4009</v>
      </c>
      <c r="B835" t="s">
        <v>11</v>
      </c>
      <c r="C835" s="7">
        <v>134</v>
      </c>
      <c r="D835" s="1">
        <v>45193</v>
      </c>
      <c r="E835" s="29">
        <v>1.9</v>
      </c>
      <c r="F835" t="s">
        <v>1</v>
      </c>
      <c r="G835" t="str">
        <f t="shared" ref="G835:G898" si="13">TEXT(D835,"ГГГГ-ММ")</f>
        <v>2023-09</v>
      </c>
    </row>
    <row r="836" spans="1:7" x14ac:dyDescent="0.3">
      <c r="A836">
        <v>4100</v>
      </c>
      <c r="B836" t="s">
        <v>28</v>
      </c>
      <c r="C836" s="7">
        <v>111.854838709677</v>
      </c>
      <c r="D836" s="1">
        <v>44929</v>
      </c>
      <c r="E836" s="29">
        <v>1.5</v>
      </c>
      <c r="F836" t="s">
        <v>1</v>
      </c>
      <c r="G836" t="str">
        <f t="shared" si="13"/>
        <v>2023-01</v>
      </c>
    </row>
    <row r="837" spans="1:7" x14ac:dyDescent="0.3">
      <c r="A837">
        <v>3965</v>
      </c>
      <c r="B837" t="s">
        <v>51</v>
      </c>
      <c r="C837" s="7">
        <v>49</v>
      </c>
      <c r="D837" s="1">
        <v>44857</v>
      </c>
      <c r="E837" s="29">
        <v>2.8</v>
      </c>
      <c r="F837" t="s">
        <v>4</v>
      </c>
      <c r="G837" t="str">
        <f t="shared" si="13"/>
        <v>2022-10</v>
      </c>
    </row>
    <row r="838" spans="1:7" x14ac:dyDescent="0.3">
      <c r="A838">
        <v>4038</v>
      </c>
      <c r="B838" t="s">
        <v>25</v>
      </c>
      <c r="C838" s="7">
        <v>112.745762711864</v>
      </c>
      <c r="D838" s="1">
        <v>44922</v>
      </c>
      <c r="E838" s="29">
        <v>2.5</v>
      </c>
      <c r="F838" t="s">
        <v>1</v>
      </c>
      <c r="G838" t="str">
        <f t="shared" si="13"/>
        <v>2022-12</v>
      </c>
    </row>
    <row r="839" spans="1:7" x14ac:dyDescent="0.3">
      <c r="A839">
        <v>4045</v>
      </c>
      <c r="B839" t="s">
        <v>18</v>
      </c>
      <c r="C839" s="7">
        <v>35</v>
      </c>
      <c r="D839" s="1">
        <v>44982</v>
      </c>
      <c r="E839" s="29">
        <v>4</v>
      </c>
      <c r="F839" t="s">
        <v>4</v>
      </c>
      <c r="G839" t="str">
        <f t="shared" si="13"/>
        <v>2023-02</v>
      </c>
    </row>
    <row r="840" spans="1:7" x14ac:dyDescent="0.3">
      <c r="A840">
        <v>3994</v>
      </c>
      <c r="B840" t="s">
        <v>25</v>
      </c>
      <c r="C840" s="7">
        <v>148</v>
      </c>
      <c r="D840" s="1">
        <v>45122</v>
      </c>
      <c r="E840" s="29">
        <v>2.5</v>
      </c>
      <c r="F840" t="s">
        <v>1</v>
      </c>
      <c r="G840" t="str">
        <f t="shared" si="13"/>
        <v>2023-07</v>
      </c>
    </row>
    <row r="841" spans="1:7" x14ac:dyDescent="0.3">
      <c r="A841">
        <v>4052</v>
      </c>
      <c r="B841" t="s">
        <v>51</v>
      </c>
      <c r="C841" s="7">
        <v>144</v>
      </c>
      <c r="D841" s="1">
        <v>44948</v>
      </c>
      <c r="E841" s="29">
        <v>2.6</v>
      </c>
      <c r="F841" t="s">
        <v>1</v>
      </c>
      <c r="G841" t="str">
        <f t="shared" si="13"/>
        <v>2023-01</v>
      </c>
    </row>
    <row r="842" spans="1:7" x14ac:dyDescent="0.3">
      <c r="A842">
        <v>4071</v>
      </c>
      <c r="B842" t="s">
        <v>48</v>
      </c>
      <c r="C842" s="7">
        <v>107.26027397260199</v>
      </c>
      <c r="D842" s="1">
        <v>45063</v>
      </c>
      <c r="E842" s="29">
        <v>2.5</v>
      </c>
      <c r="F842" t="s">
        <v>4</v>
      </c>
      <c r="G842" t="str">
        <f t="shared" si="13"/>
        <v>2023-05</v>
      </c>
    </row>
    <row r="843" spans="1:7" x14ac:dyDescent="0.3">
      <c r="A843">
        <v>4095</v>
      </c>
      <c r="B843" t="s">
        <v>26</v>
      </c>
      <c r="C843" s="7">
        <v>168</v>
      </c>
      <c r="D843" s="1">
        <v>44993</v>
      </c>
      <c r="E843" s="29">
        <v>1.4</v>
      </c>
      <c r="F843" t="s">
        <v>1</v>
      </c>
      <c r="G843" t="str">
        <f t="shared" si="13"/>
        <v>2023-03</v>
      </c>
    </row>
    <row r="844" spans="1:7" x14ac:dyDescent="0.3">
      <c r="A844">
        <v>3998</v>
      </c>
      <c r="B844" t="s">
        <v>14</v>
      </c>
      <c r="C844" s="7">
        <v>102.377358490566</v>
      </c>
      <c r="D844" s="1">
        <v>44972</v>
      </c>
      <c r="E844" s="29">
        <v>4.7</v>
      </c>
      <c r="F844" t="s">
        <v>4</v>
      </c>
      <c r="G844" t="str">
        <f t="shared" si="13"/>
        <v>2023-02</v>
      </c>
    </row>
    <row r="845" spans="1:7" x14ac:dyDescent="0.3">
      <c r="A845">
        <v>4093</v>
      </c>
      <c r="B845" t="s">
        <v>5</v>
      </c>
      <c r="C845" s="7">
        <v>51</v>
      </c>
      <c r="D845" s="1">
        <v>44972</v>
      </c>
      <c r="E845" s="29">
        <v>1.5</v>
      </c>
      <c r="F845" t="s">
        <v>4</v>
      </c>
      <c r="G845" t="str">
        <f t="shared" si="13"/>
        <v>2023-02</v>
      </c>
    </row>
    <row r="846" spans="1:7" x14ac:dyDescent="0.3">
      <c r="A846">
        <v>4034</v>
      </c>
      <c r="B846" t="s">
        <v>39</v>
      </c>
      <c r="C846" s="7">
        <v>108.54716981132</v>
      </c>
      <c r="D846" s="1">
        <v>44875</v>
      </c>
      <c r="E846" s="29">
        <v>1.5</v>
      </c>
      <c r="F846" t="s">
        <v>1</v>
      </c>
      <c r="G846" t="str">
        <f t="shared" si="13"/>
        <v>2022-11</v>
      </c>
    </row>
    <row r="847" spans="1:7" x14ac:dyDescent="0.3">
      <c r="A847">
        <v>3988</v>
      </c>
      <c r="B847" t="s">
        <v>34</v>
      </c>
      <c r="C847" s="7">
        <v>169</v>
      </c>
      <c r="D847" s="1">
        <v>45090</v>
      </c>
      <c r="E847" s="29">
        <v>3.4</v>
      </c>
      <c r="F847" t="s">
        <v>1</v>
      </c>
      <c r="G847" t="str">
        <f t="shared" si="13"/>
        <v>2023-06</v>
      </c>
    </row>
    <row r="848" spans="1:7" x14ac:dyDescent="0.3">
      <c r="A848">
        <v>3963</v>
      </c>
      <c r="B848" t="s">
        <v>30</v>
      </c>
      <c r="C848" s="7">
        <v>52</v>
      </c>
      <c r="D848" s="1">
        <v>44922</v>
      </c>
      <c r="E848" s="29">
        <v>2.2999999999999998</v>
      </c>
      <c r="F848" t="s">
        <v>4</v>
      </c>
      <c r="G848" t="str">
        <f t="shared" si="13"/>
        <v>2022-12</v>
      </c>
    </row>
    <row r="849" spans="1:7" x14ac:dyDescent="0.3">
      <c r="A849">
        <v>4060</v>
      </c>
      <c r="B849" t="s">
        <v>51</v>
      </c>
      <c r="C849" s="7">
        <v>21</v>
      </c>
      <c r="D849" s="1">
        <v>44948</v>
      </c>
      <c r="E849" s="29">
        <v>4.9000000000000004</v>
      </c>
      <c r="F849" t="s">
        <v>1</v>
      </c>
      <c r="G849" t="str">
        <f t="shared" si="13"/>
        <v>2023-01</v>
      </c>
    </row>
    <row r="850" spans="1:7" x14ac:dyDescent="0.3">
      <c r="A850">
        <v>4084</v>
      </c>
      <c r="B850" t="s">
        <v>14</v>
      </c>
      <c r="C850" s="7">
        <v>183</v>
      </c>
      <c r="D850" s="1">
        <v>44973</v>
      </c>
      <c r="E850" s="29">
        <v>2.4</v>
      </c>
      <c r="F850" t="s">
        <v>1</v>
      </c>
      <c r="G850" t="str">
        <f t="shared" si="13"/>
        <v>2023-02</v>
      </c>
    </row>
    <row r="851" spans="1:7" x14ac:dyDescent="0.3">
      <c r="A851">
        <v>3994</v>
      </c>
      <c r="B851" t="s">
        <v>50</v>
      </c>
      <c r="C851" s="7">
        <v>123</v>
      </c>
      <c r="D851" s="1">
        <v>45012</v>
      </c>
      <c r="E851" s="29">
        <v>1.4</v>
      </c>
      <c r="F851" t="s">
        <v>4</v>
      </c>
      <c r="G851" t="str">
        <f t="shared" si="13"/>
        <v>2023-03</v>
      </c>
    </row>
    <row r="852" spans="1:7" x14ac:dyDescent="0.3">
      <c r="A852">
        <v>4074</v>
      </c>
      <c r="B852" t="s">
        <v>24</v>
      </c>
      <c r="C852" s="7">
        <v>124</v>
      </c>
      <c r="D852" s="1">
        <v>45055</v>
      </c>
      <c r="E852" s="29">
        <v>1</v>
      </c>
      <c r="F852" t="s">
        <v>4</v>
      </c>
      <c r="G852" t="str">
        <f t="shared" si="13"/>
        <v>2023-05</v>
      </c>
    </row>
    <row r="853" spans="1:7" x14ac:dyDescent="0.3">
      <c r="A853">
        <v>4038</v>
      </c>
      <c r="B853" t="s">
        <v>41</v>
      </c>
      <c r="C853" s="7">
        <v>71</v>
      </c>
      <c r="D853" s="1">
        <v>45007</v>
      </c>
      <c r="E853" s="29">
        <v>2.6</v>
      </c>
      <c r="F853" t="s">
        <v>1</v>
      </c>
      <c r="G853" t="str">
        <f t="shared" si="13"/>
        <v>2023-03</v>
      </c>
    </row>
    <row r="854" spans="1:7" x14ac:dyDescent="0.3">
      <c r="A854">
        <v>3996</v>
      </c>
      <c r="B854" t="s">
        <v>16</v>
      </c>
      <c r="C854" s="7">
        <v>130</v>
      </c>
      <c r="D854" s="1">
        <v>44936</v>
      </c>
      <c r="E854" s="29">
        <v>2.4</v>
      </c>
      <c r="F854" t="s">
        <v>4</v>
      </c>
      <c r="G854" t="str">
        <f t="shared" si="13"/>
        <v>2023-01</v>
      </c>
    </row>
    <row r="855" spans="1:7" x14ac:dyDescent="0.3">
      <c r="A855">
        <v>3958</v>
      </c>
      <c r="B855" t="s">
        <v>35</v>
      </c>
      <c r="C855" s="7">
        <v>59</v>
      </c>
      <c r="D855" s="1">
        <v>45092</v>
      </c>
      <c r="E855" s="29">
        <v>4.3</v>
      </c>
      <c r="F855" t="s">
        <v>1</v>
      </c>
      <c r="G855" t="str">
        <f t="shared" si="13"/>
        <v>2023-06</v>
      </c>
    </row>
    <row r="856" spans="1:7" x14ac:dyDescent="0.3">
      <c r="A856">
        <v>4096</v>
      </c>
      <c r="B856" t="s">
        <v>11</v>
      </c>
      <c r="C856" s="7">
        <v>156</v>
      </c>
      <c r="D856" s="1">
        <v>45035</v>
      </c>
      <c r="E856" s="29">
        <v>4.4000000000000004</v>
      </c>
      <c r="F856" t="s">
        <v>4</v>
      </c>
      <c r="G856" t="str">
        <f t="shared" si="13"/>
        <v>2023-04</v>
      </c>
    </row>
    <row r="857" spans="1:7" x14ac:dyDescent="0.3">
      <c r="A857">
        <v>4086</v>
      </c>
      <c r="B857" t="s">
        <v>6</v>
      </c>
      <c r="C857" s="7">
        <v>128</v>
      </c>
      <c r="D857" s="1">
        <v>45129</v>
      </c>
      <c r="E857" s="29">
        <v>5</v>
      </c>
      <c r="F857" t="s">
        <v>1</v>
      </c>
      <c r="G857" t="str">
        <f t="shared" si="13"/>
        <v>2023-07</v>
      </c>
    </row>
    <row r="858" spans="1:7" x14ac:dyDescent="0.3">
      <c r="A858">
        <v>4041</v>
      </c>
      <c r="B858" t="s">
        <v>51</v>
      </c>
      <c r="C858" s="7">
        <v>107</v>
      </c>
      <c r="D858" s="1">
        <v>44966</v>
      </c>
      <c r="E858" s="29">
        <v>3.19629629629629</v>
      </c>
      <c r="F858" t="s">
        <v>1</v>
      </c>
      <c r="G858" t="str">
        <f t="shared" si="13"/>
        <v>2023-02</v>
      </c>
    </row>
    <row r="859" spans="1:7" x14ac:dyDescent="0.3">
      <c r="A859">
        <v>4122</v>
      </c>
      <c r="B859" t="s">
        <v>21</v>
      </c>
      <c r="C859" s="7">
        <v>117</v>
      </c>
      <c r="D859" s="1">
        <v>45065</v>
      </c>
      <c r="E859" s="29">
        <v>2.6</v>
      </c>
      <c r="F859" t="s">
        <v>1</v>
      </c>
      <c r="G859" t="str">
        <f t="shared" si="13"/>
        <v>2023-05</v>
      </c>
    </row>
    <row r="860" spans="1:7" x14ac:dyDescent="0.3">
      <c r="A860">
        <v>4032</v>
      </c>
      <c r="B860" t="s">
        <v>40</v>
      </c>
      <c r="C860" s="7">
        <v>61</v>
      </c>
      <c r="D860" s="1">
        <v>45127</v>
      </c>
      <c r="E860" s="29">
        <v>4.8</v>
      </c>
      <c r="F860" t="s">
        <v>4</v>
      </c>
      <c r="G860" t="str">
        <f t="shared" si="13"/>
        <v>2023-07</v>
      </c>
    </row>
    <row r="861" spans="1:7" x14ac:dyDescent="0.3">
      <c r="A861">
        <v>4078</v>
      </c>
      <c r="B861" t="s">
        <v>12</v>
      </c>
      <c r="C861" s="7">
        <v>45</v>
      </c>
      <c r="D861" s="1">
        <v>44841</v>
      </c>
      <c r="E861" s="29">
        <v>3.6</v>
      </c>
      <c r="F861" t="s">
        <v>1</v>
      </c>
      <c r="G861" t="str">
        <f t="shared" si="13"/>
        <v>2022-10</v>
      </c>
    </row>
    <row r="862" spans="1:7" x14ac:dyDescent="0.3">
      <c r="A862">
        <v>4031</v>
      </c>
      <c r="B862" t="s">
        <v>13</v>
      </c>
      <c r="C862" s="7">
        <v>23</v>
      </c>
      <c r="D862" s="1">
        <v>44920</v>
      </c>
      <c r="E862" s="29">
        <v>1.6</v>
      </c>
      <c r="F862" t="s">
        <v>1</v>
      </c>
      <c r="G862" t="str">
        <f t="shared" si="13"/>
        <v>2022-12</v>
      </c>
    </row>
    <row r="863" spans="1:7" x14ac:dyDescent="0.3">
      <c r="A863">
        <v>4103</v>
      </c>
      <c r="B863" t="s">
        <v>25</v>
      </c>
      <c r="C863" s="7">
        <v>105</v>
      </c>
      <c r="D863" s="1">
        <v>45019</v>
      </c>
      <c r="E863" s="29">
        <v>3.3</v>
      </c>
      <c r="F863" t="s">
        <v>1</v>
      </c>
      <c r="G863" t="str">
        <f t="shared" si="13"/>
        <v>2023-04</v>
      </c>
    </row>
    <row r="864" spans="1:7" x14ac:dyDescent="0.3">
      <c r="A864">
        <v>3994</v>
      </c>
      <c r="B864" t="s">
        <v>26</v>
      </c>
      <c r="C864" s="7">
        <v>36</v>
      </c>
      <c r="D864" s="1">
        <v>44986</v>
      </c>
      <c r="E864" s="29">
        <v>1.6</v>
      </c>
      <c r="F864" t="s">
        <v>1</v>
      </c>
      <c r="G864" t="str">
        <f t="shared" si="13"/>
        <v>2023-03</v>
      </c>
    </row>
    <row r="865" spans="1:7" x14ac:dyDescent="0.3">
      <c r="A865">
        <v>4101</v>
      </c>
      <c r="B865" t="s">
        <v>50</v>
      </c>
      <c r="C865" s="7">
        <v>142</v>
      </c>
      <c r="D865" s="1">
        <v>45110</v>
      </c>
      <c r="E865" s="29">
        <v>4</v>
      </c>
      <c r="F865" t="s">
        <v>1</v>
      </c>
      <c r="G865" t="str">
        <f t="shared" si="13"/>
        <v>2023-07</v>
      </c>
    </row>
    <row r="866" spans="1:7" x14ac:dyDescent="0.3">
      <c r="A866">
        <v>4070</v>
      </c>
      <c r="B866" t="s">
        <v>8</v>
      </c>
      <c r="C866" s="7">
        <v>82</v>
      </c>
      <c r="D866" s="1">
        <v>45025</v>
      </c>
      <c r="E866" s="29">
        <v>2.9230769230769198</v>
      </c>
      <c r="F866" t="s">
        <v>4</v>
      </c>
      <c r="G866" t="str">
        <f t="shared" si="13"/>
        <v>2023-04</v>
      </c>
    </row>
    <row r="867" spans="1:7" x14ac:dyDescent="0.3">
      <c r="A867">
        <v>4043</v>
      </c>
      <c r="B867" t="s">
        <v>23</v>
      </c>
      <c r="C867" s="7">
        <v>107.68518518518501</v>
      </c>
      <c r="D867" s="1">
        <v>44951</v>
      </c>
      <c r="E867" s="29">
        <v>4.5</v>
      </c>
      <c r="F867" t="s">
        <v>4</v>
      </c>
      <c r="G867" t="str">
        <f t="shared" si="13"/>
        <v>2023-01</v>
      </c>
    </row>
    <row r="868" spans="1:7" x14ac:dyDescent="0.3">
      <c r="A868">
        <v>3985</v>
      </c>
      <c r="B868" t="s">
        <v>20</v>
      </c>
      <c r="C868" s="7">
        <v>105.95348837209301</v>
      </c>
      <c r="D868" s="1">
        <v>45029</v>
      </c>
      <c r="E868" s="29">
        <v>2.5</v>
      </c>
      <c r="F868" t="s">
        <v>4</v>
      </c>
      <c r="G868" t="str">
        <f t="shared" si="13"/>
        <v>2023-04</v>
      </c>
    </row>
    <row r="869" spans="1:7" x14ac:dyDescent="0.3">
      <c r="A869">
        <v>4079</v>
      </c>
      <c r="B869" t="s">
        <v>35</v>
      </c>
      <c r="C869" s="7">
        <v>141</v>
      </c>
      <c r="D869" s="1">
        <v>44906</v>
      </c>
      <c r="E869" s="29">
        <v>1.6</v>
      </c>
      <c r="F869" t="s">
        <v>1</v>
      </c>
      <c r="G869" t="str">
        <f t="shared" si="13"/>
        <v>2022-12</v>
      </c>
    </row>
    <row r="870" spans="1:7" x14ac:dyDescent="0.3">
      <c r="A870">
        <v>3967</v>
      </c>
      <c r="B870" t="s">
        <v>6</v>
      </c>
      <c r="C870" s="7">
        <v>114.77966101694901</v>
      </c>
      <c r="D870" s="1">
        <v>45050</v>
      </c>
      <c r="E870" s="29">
        <v>4.7</v>
      </c>
      <c r="F870" t="s">
        <v>4</v>
      </c>
      <c r="G870" t="str">
        <f t="shared" si="13"/>
        <v>2023-05</v>
      </c>
    </row>
    <row r="871" spans="1:7" x14ac:dyDescent="0.3">
      <c r="A871">
        <v>3992</v>
      </c>
      <c r="B871" t="s">
        <v>44</v>
      </c>
      <c r="C871" s="7">
        <v>66</v>
      </c>
      <c r="D871" s="1">
        <v>45122</v>
      </c>
      <c r="E871" s="29">
        <v>4</v>
      </c>
      <c r="F871" t="s">
        <v>4</v>
      </c>
      <c r="G871" t="str">
        <f t="shared" si="13"/>
        <v>2023-07</v>
      </c>
    </row>
    <row r="872" spans="1:7" x14ac:dyDescent="0.3">
      <c r="A872">
        <v>4098</v>
      </c>
      <c r="B872" t="s">
        <v>42</v>
      </c>
      <c r="C872" s="7">
        <v>99</v>
      </c>
      <c r="D872" s="1">
        <v>45126</v>
      </c>
      <c r="E872" s="29">
        <v>1.7</v>
      </c>
      <c r="F872" t="s">
        <v>4</v>
      </c>
      <c r="G872" t="str">
        <f t="shared" si="13"/>
        <v>2023-07</v>
      </c>
    </row>
    <row r="873" spans="1:7" x14ac:dyDescent="0.3">
      <c r="A873">
        <v>3986</v>
      </c>
      <c r="B873" t="s">
        <v>34</v>
      </c>
      <c r="C873" s="7">
        <v>116</v>
      </c>
      <c r="D873" s="1">
        <v>44857</v>
      </c>
      <c r="E873" s="29">
        <v>1.4</v>
      </c>
      <c r="F873" t="s">
        <v>4</v>
      </c>
      <c r="G873" t="str">
        <f t="shared" si="13"/>
        <v>2022-10</v>
      </c>
    </row>
    <row r="874" spans="1:7" x14ac:dyDescent="0.3">
      <c r="A874">
        <v>4035</v>
      </c>
      <c r="B874" t="s">
        <v>10</v>
      </c>
      <c r="C874" s="7">
        <v>120.375</v>
      </c>
      <c r="D874" s="1">
        <v>44979</v>
      </c>
      <c r="E874" s="29">
        <v>3</v>
      </c>
      <c r="F874" t="s">
        <v>4</v>
      </c>
      <c r="G874" t="str">
        <f t="shared" si="13"/>
        <v>2023-02</v>
      </c>
    </row>
    <row r="875" spans="1:7" x14ac:dyDescent="0.3">
      <c r="A875">
        <v>3963</v>
      </c>
      <c r="B875" t="s">
        <v>46</v>
      </c>
      <c r="C875" s="7">
        <v>70</v>
      </c>
      <c r="D875" s="1">
        <v>45188</v>
      </c>
      <c r="E875" s="29">
        <v>3.5</v>
      </c>
      <c r="F875" t="s">
        <v>4</v>
      </c>
      <c r="G875" t="str">
        <f t="shared" si="13"/>
        <v>2023-09</v>
      </c>
    </row>
    <row r="876" spans="1:7" x14ac:dyDescent="0.3">
      <c r="A876">
        <v>4059</v>
      </c>
      <c r="B876" t="s">
        <v>28</v>
      </c>
      <c r="C876" s="7">
        <v>30</v>
      </c>
      <c r="D876" s="1">
        <v>45075</v>
      </c>
      <c r="E876" s="29">
        <v>2.1</v>
      </c>
      <c r="F876" t="s">
        <v>4</v>
      </c>
      <c r="G876" t="str">
        <f t="shared" si="13"/>
        <v>2023-05</v>
      </c>
    </row>
    <row r="877" spans="1:7" x14ac:dyDescent="0.3">
      <c r="A877">
        <v>4115</v>
      </c>
      <c r="B877" t="s">
        <v>23</v>
      </c>
      <c r="C877" s="7">
        <v>17</v>
      </c>
      <c r="D877" s="1">
        <v>44924</v>
      </c>
      <c r="E877" s="29">
        <v>4.0999999999999996</v>
      </c>
      <c r="F877" t="s">
        <v>4</v>
      </c>
      <c r="G877" t="str">
        <f t="shared" si="13"/>
        <v>2022-12</v>
      </c>
    </row>
    <row r="878" spans="1:7" x14ac:dyDescent="0.3">
      <c r="A878">
        <v>4013</v>
      </c>
      <c r="B878" t="s">
        <v>36</v>
      </c>
      <c r="C878" s="7">
        <v>35</v>
      </c>
      <c r="D878" s="1">
        <v>44937</v>
      </c>
      <c r="E878" s="29">
        <v>4.5999999999999996</v>
      </c>
      <c r="F878" t="s">
        <v>4</v>
      </c>
      <c r="G878" t="str">
        <f t="shared" si="13"/>
        <v>2023-01</v>
      </c>
    </row>
    <row r="879" spans="1:7" x14ac:dyDescent="0.3">
      <c r="A879">
        <v>4071</v>
      </c>
      <c r="B879" t="s">
        <v>47</v>
      </c>
      <c r="C879" s="7">
        <v>176</v>
      </c>
      <c r="D879" s="1">
        <v>45100</v>
      </c>
      <c r="E879" s="29">
        <v>3.1235294117647001</v>
      </c>
      <c r="F879" t="s">
        <v>4</v>
      </c>
      <c r="G879" t="str">
        <f t="shared" si="13"/>
        <v>2023-06</v>
      </c>
    </row>
    <row r="880" spans="1:7" x14ac:dyDescent="0.3">
      <c r="A880">
        <v>4048</v>
      </c>
      <c r="B880" t="s">
        <v>32</v>
      </c>
      <c r="C880" s="7">
        <v>47</v>
      </c>
      <c r="D880" s="1">
        <v>45058</v>
      </c>
      <c r="E880" s="29">
        <v>4.7</v>
      </c>
      <c r="F880" t="s">
        <v>4</v>
      </c>
      <c r="G880" t="str">
        <f t="shared" si="13"/>
        <v>2023-05</v>
      </c>
    </row>
    <row r="881" spans="1:7" x14ac:dyDescent="0.3">
      <c r="A881">
        <v>3980</v>
      </c>
      <c r="B881" t="s">
        <v>22</v>
      </c>
      <c r="C881" s="7">
        <v>107.949152542372</v>
      </c>
      <c r="D881" s="1">
        <v>45197</v>
      </c>
      <c r="E881" s="29">
        <v>3.1651515151515102</v>
      </c>
      <c r="F881" t="s">
        <v>4</v>
      </c>
      <c r="G881" t="str">
        <f t="shared" si="13"/>
        <v>2023-09</v>
      </c>
    </row>
    <row r="882" spans="1:7" x14ac:dyDescent="0.3">
      <c r="A882">
        <v>4040</v>
      </c>
      <c r="B882" t="s">
        <v>10</v>
      </c>
      <c r="C882" s="7">
        <v>130</v>
      </c>
      <c r="D882" s="1">
        <v>44972</v>
      </c>
      <c r="E882" s="29">
        <v>3.4</v>
      </c>
      <c r="F882" t="s">
        <v>1</v>
      </c>
      <c r="G882" t="str">
        <f t="shared" si="13"/>
        <v>2023-02</v>
      </c>
    </row>
    <row r="883" spans="1:7" x14ac:dyDescent="0.3">
      <c r="A883">
        <v>3971</v>
      </c>
      <c r="B883" t="s">
        <v>32</v>
      </c>
      <c r="C883" s="7">
        <v>45</v>
      </c>
      <c r="D883" s="1">
        <v>44868</v>
      </c>
      <c r="E883" s="29">
        <v>1.6</v>
      </c>
      <c r="F883" t="s">
        <v>4</v>
      </c>
      <c r="G883" t="str">
        <f t="shared" si="13"/>
        <v>2022-11</v>
      </c>
    </row>
    <row r="884" spans="1:7" x14ac:dyDescent="0.3">
      <c r="A884">
        <v>4112</v>
      </c>
      <c r="B884" t="s">
        <v>25</v>
      </c>
      <c r="C884" s="7">
        <v>130</v>
      </c>
      <c r="D884" s="1">
        <v>45170</v>
      </c>
      <c r="E884" s="29">
        <v>2.8291666666666599</v>
      </c>
      <c r="F884" t="s">
        <v>1</v>
      </c>
      <c r="G884" t="str">
        <f t="shared" si="13"/>
        <v>2023-09</v>
      </c>
    </row>
    <row r="885" spans="1:7" x14ac:dyDescent="0.3">
      <c r="A885">
        <v>4121</v>
      </c>
      <c r="B885" t="s">
        <v>41</v>
      </c>
      <c r="C885" s="7">
        <v>11</v>
      </c>
      <c r="D885" s="1">
        <v>44842</v>
      </c>
      <c r="E885" s="29">
        <v>1.4</v>
      </c>
      <c r="F885" t="s">
        <v>4</v>
      </c>
      <c r="G885" t="str">
        <f t="shared" si="13"/>
        <v>2022-10</v>
      </c>
    </row>
    <row r="886" spans="1:7" x14ac:dyDescent="0.3">
      <c r="A886">
        <v>4006</v>
      </c>
      <c r="B886" t="s">
        <v>8</v>
      </c>
      <c r="C886" s="7">
        <v>14</v>
      </c>
      <c r="D886" s="1">
        <v>44837</v>
      </c>
      <c r="E886" s="29">
        <v>1.4</v>
      </c>
      <c r="F886" t="s">
        <v>4</v>
      </c>
      <c r="G886" t="str">
        <f t="shared" si="13"/>
        <v>2022-10</v>
      </c>
    </row>
    <row r="887" spans="1:7" x14ac:dyDescent="0.3">
      <c r="A887">
        <v>4106</v>
      </c>
      <c r="B887" t="s">
        <v>11</v>
      </c>
      <c r="C887" s="7">
        <v>48</v>
      </c>
      <c r="D887" s="1">
        <v>45140</v>
      </c>
      <c r="E887" s="29">
        <v>4.9000000000000004</v>
      </c>
      <c r="F887" t="s">
        <v>4</v>
      </c>
      <c r="G887" t="str">
        <f t="shared" si="13"/>
        <v>2023-08</v>
      </c>
    </row>
    <row r="888" spans="1:7" x14ac:dyDescent="0.3">
      <c r="A888">
        <v>4091</v>
      </c>
      <c r="B888" t="s">
        <v>21</v>
      </c>
      <c r="C888" s="7">
        <v>196</v>
      </c>
      <c r="D888" s="1">
        <v>45009</v>
      </c>
      <c r="E888" s="29">
        <v>3.1</v>
      </c>
      <c r="F888" t="s">
        <v>4</v>
      </c>
      <c r="G888" t="str">
        <f t="shared" si="13"/>
        <v>2023-03</v>
      </c>
    </row>
    <row r="889" spans="1:7" x14ac:dyDescent="0.3">
      <c r="A889">
        <v>4013</v>
      </c>
      <c r="B889" t="s">
        <v>5</v>
      </c>
      <c r="C889" s="7">
        <v>118</v>
      </c>
      <c r="D889" s="1">
        <v>44952</v>
      </c>
      <c r="E889" s="29">
        <v>3.4</v>
      </c>
      <c r="F889" t="s">
        <v>4</v>
      </c>
      <c r="G889" t="str">
        <f t="shared" si="13"/>
        <v>2023-01</v>
      </c>
    </row>
    <row r="890" spans="1:7" x14ac:dyDescent="0.3">
      <c r="A890">
        <v>4028</v>
      </c>
      <c r="B890" t="s">
        <v>27</v>
      </c>
      <c r="C890" s="7">
        <v>103.98245614035</v>
      </c>
      <c r="D890" s="1">
        <v>45092</v>
      </c>
      <c r="E890" s="29">
        <v>2.2000000000000002</v>
      </c>
      <c r="F890" t="s">
        <v>4</v>
      </c>
      <c r="G890" t="str">
        <f t="shared" si="13"/>
        <v>2023-06</v>
      </c>
    </row>
    <row r="891" spans="1:7" x14ac:dyDescent="0.3">
      <c r="A891">
        <v>4007</v>
      </c>
      <c r="B891" t="s">
        <v>43</v>
      </c>
      <c r="C891" s="7">
        <v>87</v>
      </c>
      <c r="D891" s="1">
        <v>45008</v>
      </c>
      <c r="E891" s="29">
        <v>4.5999999999999996</v>
      </c>
      <c r="F891" t="s">
        <v>4</v>
      </c>
      <c r="G891" t="str">
        <f t="shared" si="13"/>
        <v>2023-03</v>
      </c>
    </row>
    <row r="892" spans="1:7" x14ac:dyDescent="0.3">
      <c r="A892">
        <v>3962</v>
      </c>
      <c r="B892" t="s">
        <v>47</v>
      </c>
      <c r="C892" s="7">
        <v>106.297872340425</v>
      </c>
      <c r="D892" s="1">
        <v>45156</v>
      </c>
      <c r="E892" s="29">
        <v>3.6</v>
      </c>
      <c r="F892" t="s">
        <v>1</v>
      </c>
      <c r="G892" t="str">
        <f t="shared" si="13"/>
        <v>2023-08</v>
      </c>
    </row>
    <row r="893" spans="1:7" x14ac:dyDescent="0.3">
      <c r="A893">
        <v>3978</v>
      </c>
      <c r="B893" t="s">
        <v>49</v>
      </c>
      <c r="C893" s="7">
        <v>173</v>
      </c>
      <c r="D893" s="1">
        <v>44996</v>
      </c>
      <c r="E893" s="29">
        <v>3.5</v>
      </c>
      <c r="F893" t="s">
        <v>4</v>
      </c>
      <c r="G893" t="str">
        <f t="shared" si="13"/>
        <v>2023-03</v>
      </c>
    </row>
    <row r="894" spans="1:7" x14ac:dyDescent="0.3">
      <c r="A894">
        <v>4094</v>
      </c>
      <c r="B894" t="s">
        <v>3</v>
      </c>
      <c r="C894" s="7">
        <v>127</v>
      </c>
      <c r="D894" s="1">
        <v>45082</v>
      </c>
      <c r="E894" s="29">
        <v>2.9</v>
      </c>
      <c r="F894" t="s">
        <v>1</v>
      </c>
      <c r="G894" t="str">
        <f t="shared" si="13"/>
        <v>2023-06</v>
      </c>
    </row>
    <row r="895" spans="1:7" x14ac:dyDescent="0.3">
      <c r="A895">
        <v>4071</v>
      </c>
      <c r="B895" t="s">
        <v>23</v>
      </c>
      <c r="C895" s="7">
        <v>107.68518518518501</v>
      </c>
      <c r="D895" s="1">
        <v>44973</v>
      </c>
      <c r="E895" s="29">
        <v>4.4000000000000004</v>
      </c>
      <c r="F895" t="s">
        <v>4</v>
      </c>
      <c r="G895" t="str">
        <f t="shared" si="13"/>
        <v>2023-02</v>
      </c>
    </row>
    <row r="896" spans="1:7" x14ac:dyDescent="0.3">
      <c r="A896">
        <v>3979</v>
      </c>
      <c r="B896" t="s">
        <v>6</v>
      </c>
      <c r="C896" s="7">
        <v>137</v>
      </c>
      <c r="D896" s="1">
        <v>44925</v>
      </c>
      <c r="E896" s="29">
        <v>1.9</v>
      </c>
      <c r="F896" t="s">
        <v>1</v>
      </c>
      <c r="G896" t="str">
        <f t="shared" si="13"/>
        <v>2022-12</v>
      </c>
    </row>
    <row r="897" spans="1:7" x14ac:dyDescent="0.3">
      <c r="A897">
        <v>4088</v>
      </c>
      <c r="B897" t="s">
        <v>15</v>
      </c>
      <c r="C897" s="7">
        <v>14</v>
      </c>
      <c r="D897" s="1">
        <v>44882</v>
      </c>
      <c r="E897" s="29">
        <v>4.8</v>
      </c>
      <c r="F897" t="s">
        <v>1</v>
      </c>
      <c r="G897" t="str">
        <f t="shared" si="13"/>
        <v>2022-11</v>
      </c>
    </row>
    <row r="898" spans="1:7" x14ac:dyDescent="0.3">
      <c r="A898">
        <v>4057</v>
      </c>
      <c r="B898" t="s">
        <v>47</v>
      </c>
      <c r="C898" s="7">
        <v>157</v>
      </c>
      <c r="D898" s="1">
        <v>45036</v>
      </c>
      <c r="E898" s="29">
        <v>1.3</v>
      </c>
      <c r="F898" t="s">
        <v>1</v>
      </c>
      <c r="G898" t="str">
        <f t="shared" si="13"/>
        <v>2023-04</v>
      </c>
    </row>
    <row r="899" spans="1:7" x14ac:dyDescent="0.3">
      <c r="A899">
        <v>4006</v>
      </c>
      <c r="B899" t="s">
        <v>38</v>
      </c>
      <c r="C899" s="7">
        <v>46</v>
      </c>
      <c r="D899" s="1">
        <v>44978</v>
      </c>
      <c r="E899" s="29">
        <v>3.0230769230769199</v>
      </c>
      <c r="F899" t="s">
        <v>4</v>
      </c>
      <c r="G899" t="str">
        <f t="shared" ref="G899:G962" si="14">TEXT(D899,"ГГГГ-ММ")</f>
        <v>2023-02</v>
      </c>
    </row>
    <row r="900" spans="1:7" x14ac:dyDescent="0.3">
      <c r="A900">
        <v>4082</v>
      </c>
      <c r="B900" t="s">
        <v>26</v>
      </c>
      <c r="C900" s="7">
        <v>10</v>
      </c>
      <c r="D900" s="1">
        <v>44956</v>
      </c>
      <c r="E900" s="29">
        <v>4.5</v>
      </c>
      <c r="F900" t="s">
        <v>4</v>
      </c>
      <c r="G900" t="str">
        <f t="shared" si="14"/>
        <v>2023-01</v>
      </c>
    </row>
    <row r="901" spans="1:7" x14ac:dyDescent="0.3">
      <c r="A901">
        <v>4038</v>
      </c>
      <c r="B901" t="s">
        <v>7</v>
      </c>
      <c r="C901" s="7">
        <v>71</v>
      </c>
      <c r="D901" s="1">
        <v>45000</v>
      </c>
      <c r="E901" s="29">
        <v>1.9</v>
      </c>
      <c r="F901" t="s">
        <v>4</v>
      </c>
      <c r="G901" t="str">
        <f t="shared" si="14"/>
        <v>2023-03</v>
      </c>
    </row>
    <row r="902" spans="1:7" x14ac:dyDescent="0.3">
      <c r="A902">
        <v>4111</v>
      </c>
      <c r="B902" t="s">
        <v>50</v>
      </c>
      <c r="C902" s="7">
        <v>57</v>
      </c>
      <c r="D902" s="1">
        <v>45138</v>
      </c>
      <c r="E902" s="29">
        <v>3.6</v>
      </c>
      <c r="F902" t="s">
        <v>1</v>
      </c>
      <c r="G902" t="str">
        <f t="shared" si="14"/>
        <v>2023-07</v>
      </c>
    </row>
    <row r="903" spans="1:7" x14ac:dyDescent="0.3">
      <c r="A903">
        <v>4111</v>
      </c>
      <c r="B903" t="s">
        <v>38</v>
      </c>
      <c r="C903" s="7">
        <v>31</v>
      </c>
      <c r="D903" s="1">
        <v>45144</v>
      </c>
      <c r="E903" s="29">
        <v>4.9000000000000004</v>
      </c>
      <c r="F903" t="s">
        <v>1</v>
      </c>
      <c r="G903" t="str">
        <f t="shared" si="14"/>
        <v>2023-08</v>
      </c>
    </row>
    <row r="904" spans="1:7" x14ac:dyDescent="0.3">
      <c r="A904">
        <v>4087</v>
      </c>
      <c r="B904" t="s">
        <v>36</v>
      </c>
      <c r="C904" s="7">
        <v>102</v>
      </c>
      <c r="D904" s="1">
        <v>44844</v>
      </c>
      <c r="E904" s="29">
        <v>3.1</v>
      </c>
      <c r="F904" t="s">
        <v>4</v>
      </c>
      <c r="G904" t="str">
        <f t="shared" si="14"/>
        <v>2022-10</v>
      </c>
    </row>
    <row r="905" spans="1:7" x14ac:dyDescent="0.3">
      <c r="A905">
        <v>3971</v>
      </c>
      <c r="B905" t="s">
        <v>16</v>
      </c>
      <c r="C905" s="7">
        <v>110.56666666666599</v>
      </c>
      <c r="D905" s="1">
        <v>44852</v>
      </c>
      <c r="E905" s="29">
        <v>4.5</v>
      </c>
      <c r="F905" t="s">
        <v>4</v>
      </c>
      <c r="G905" t="str">
        <f t="shared" si="14"/>
        <v>2022-10</v>
      </c>
    </row>
    <row r="906" spans="1:7" x14ac:dyDescent="0.3">
      <c r="A906">
        <v>4049</v>
      </c>
      <c r="B906" t="s">
        <v>11</v>
      </c>
      <c r="C906" s="7">
        <v>139</v>
      </c>
      <c r="D906" s="1">
        <v>45133</v>
      </c>
      <c r="E906" s="29">
        <v>1.5</v>
      </c>
      <c r="F906" t="s">
        <v>1</v>
      </c>
      <c r="G906" t="str">
        <f t="shared" si="14"/>
        <v>2023-07</v>
      </c>
    </row>
    <row r="907" spans="1:7" x14ac:dyDescent="0.3">
      <c r="A907">
        <v>4058</v>
      </c>
      <c r="B907" t="s">
        <v>37</v>
      </c>
      <c r="C907" s="7">
        <v>139</v>
      </c>
      <c r="D907" s="1">
        <v>44948</v>
      </c>
      <c r="E907" s="29">
        <v>3.6</v>
      </c>
      <c r="F907" t="s">
        <v>4</v>
      </c>
      <c r="G907" t="str">
        <f t="shared" si="14"/>
        <v>2023-01</v>
      </c>
    </row>
    <row r="908" spans="1:7" x14ac:dyDescent="0.3">
      <c r="A908">
        <v>3994</v>
      </c>
      <c r="B908" t="s">
        <v>14</v>
      </c>
      <c r="C908" s="7">
        <v>109</v>
      </c>
      <c r="D908" s="1">
        <v>45080</v>
      </c>
      <c r="E908" s="29">
        <v>4.7</v>
      </c>
      <c r="F908" t="s">
        <v>1</v>
      </c>
      <c r="G908" t="str">
        <f t="shared" si="14"/>
        <v>2023-06</v>
      </c>
    </row>
    <row r="909" spans="1:7" x14ac:dyDescent="0.3">
      <c r="A909">
        <v>4066</v>
      </c>
      <c r="B909" t="s">
        <v>47</v>
      </c>
      <c r="C909" s="7">
        <v>21</v>
      </c>
      <c r="D909" s="1">
        <v>45109</v>
      </c>
      <c r="E909" s="29">
        <v>3.1235294117647001</v>
      </c>
      <c r="F909" t="s">
        <v>4</v>
      </c>
      <c r="G909" t="str">
        <f t="shared" si="14"/>
        <v>2023-07</v>
      </c>
    </row>
    <row r="910" spans="1:7" x14ac:dyDescent="0.3">
      <c r="A910">
        <v>4051</v>
      </c>
      <c r="B910" t="s">
        <v>18</v>
      </c>
      <c r="C910" s="7">
        <v>105</v>
      </c>
      <c r="D910" s="1">
        <v>44875</v>
      </c>
      <c r="E910" s="29">
        <v>2.5</v>
      </c>
      <c r="F910" t="s">
        <v>1</v>
      </c>
      <c r="G910" t="str">
        <f t="shared" si="14"/>
        <v>2022-11</v>
      </c>
    </row>
    <row r="911" spans="1:7" x14ac:dyDescent="0.3">
      <c r="A911">
        <v>4055</v>
      </c>
      <c r="B911" t="s">
        <v>39</v>
      </c>
      <c r="C911" s="7">
        <v>14</v>
      </c>
      <c r="D911" s="1">
        <v>44970</v>
      </c>
      <c r="E911" s="29">
        <v>3.0546875</v>
      </c>
      <c r="F911" t="s">
        <v>4</v>
      </c>
      <c r="G911" t="str">
        <f t="shared" si="14"/>
        <v>2023-02</v>
      </c>
    </row>
    <row r="912" spans="1:7" x14ac:dyDescent="0.3">
      <c r="A912">
        <v>4052</v>
      </c>
      <c r="B912" t="s">
        <v>27</v>
      </c>
      <c r="C912" s="7">
        <v>27</v>
      </c>
      <c r="D912" s="1">
        <v>45180</v>
      </c>
      <c r="E912" s="29">
        <v>1.7</v>
      </c>
      <c r="F912" t="s">
        <v>4</v>
      </c>
      <c r="G912" t="str">
        <f t="shared" si="14"/>
        <v>2023-09</v>
      </c>
    </row>
    <row r="913" spans="1:7" x14ac:dyDescent="0.3">
      <c r="A913">
        <v>3960</v>
      </c>
      <c r="B913" t="s">
        <v>33</v>
      </c>
      <c r="C913" s="7">
        <v>197</v>
      </c>
      <c r="D913" s="1">
        <v>45054</v>
      </c>
      <c r="E913" s="29">
        <v>1.1000000000000001</v>
      </c>
      <c r="F913" t="s">
        <v>4</v>
      </c>
      <c r="G913" t="str">
        <f t="shared" si="14"/>
        <v>2023-05</v>
      </c>
    </row>
    <row r="914" spans="1:7" x14ac:dyDescent="0.3">
      <c r="A914">
        <v>4029</v>
      </c>
      <c r="B914" t="s">
        <v>39</v>
      </c>
      <c r="C914" s="7">
        <v>36</v>
      </c>
      <c r="D914" s="1">
        <v>44861</v>
      </c>
      <c r="E914" s="29">
        <v>1.6</v>
      </c>
      <c r="F914" t="s">
        <v>4</v>
      </c>
      <c r="G914" t="str">
        <f t="shared" si="14"/>
        <v>2022-10</v>
      </c>
    </row>
    <row r="915" spans="1:7" x14ac:dyDescent="0.3">
      <c r="A915">
        <v>4045</v>
      </c>
      <c r="B915" t="s">
        <v>15</v>
      </c>
      <c r="C915" s="7">
        <v>198</v>
      </c>
      <c r="D915" s="1">
        <v>44992</v>
      </c>
      <c r="E915" s="29">
        <v>3.3</v>
      </c>
      <c r="F915" t="s">
        <v>4</v>
      </c>
      <c r="G915" t="str">
        <f t="shared" si="14"/>
        <v>2023-03</v>
      </c>
    </row>
    <row r="916" spans="1:7" x14ac:dyDescent="0.3">
      <c r="A916">
        <v>4046</v>
      </c>
      <c r="B916" t="s">
        <v>49</v>
      </c>
      <c r="C916" s="7">
        <v>44</v>
      </c>
      <c r="D916" s="1">
        <v>45086</v>
      </c>
      <c r="E916" s="29">
        <v>2.4</v>
      </c>
      <c r="F916" t="s">
        <v>4</v>
      </c>
      <c r="G916" t="str">
        <f t="shared" si="14"/>
        <v>2023-06</v>
      </c>
    </row>
    <row r="917" spans="1:7" x14ac:dyDescent="0.3">
      <c r="A917">
        <v>4035</v>
      </c>
      <c r="B917" t="s">
        <v>12</v>
      </c>
      <c r="C917" s="7">
        <v>103.354166666666</v>
      </c>
      <c r="D917" s="1">
        <v>45167</v>
      </c>
      <c r="E917" s="29">
        <v>4.3</v>
      </c>
      <c r="F917" t="s">
        <v>1</v>
      </c>
      <c r="G917" t="str">
        <f t="shared" si="14"/>
        <v>2023-08</v>
      </c>
    </row>
    <row r="918" spans="1:7" x14ac:dyDescent="0.3">
      <c r="A918">
        <v>4071</v>
      </c>
      <c r="B918" t="s">
        <v>33</v>
      </c>
      <c r="C918" s="7">
        <v>174</v>
      </c>
      <c r="D918" s="1">
        <v>45161</v>
      </c>
      <c r="E918" s="29">
        <v>2.8</v>
      </c>
      <c r="F918" t="s">
        <v>1</v>
      </c>
      <c r="G918" t="str">
        <f t="shared" si="14"/>
        <v>2023-08</v>
      </c>
    </row>
    <row r="919" spans="1:7" x14ac:dyDescent="0.3">
      <c r="A919">
        <v>4100</v>
      </c>
      <c r="B919" t="s">
        <v>27</v>
      </c>
      <c r="C919" s="7">
        <v>103.98245614035</v>
      </c>
      <c r="D919" s="1">
        <v>45046</v>
      </c>
      <c r="E919" s="29">
        <v>3.5</v>
      </c>
      <c r="F919" t="s">
        <v>1</v>
      </c>
      <c r="G919" t="str">
        <f t="shared" si="14"/>
        <v>2023-04</v>
      </c>
    </row>
    <row r="920" spans="1:7" x14ac:dyDescent="0.3">
      <c r="A920">
        <v>3979</v>
      </c>
      <c r="B920" t="s">
        <v>33</v>
      </c>
      <c r="C920" s="7">
        <v>128</v>
      </c>
      <c r="D920" s="1">
        <v>44884</v>
      </c>
      <c r="E920" s="29">
        <v>1.5</v>
      </c>
      <c r="F920" t="s">
        <v>1</v>
      </c>
      <c r="G920" t="str">
        <f t="shared" si="14"/>
        <v>2022-11</v>
      </c>
    </row>
    <row r="921" spans="1:7" x14ac:dyDescent="0.3">
      <c r="A921">
        <v>4012</v>
      </c>
      <c r="B921" t="s">
        <v>29</v>
      </c>
      <c r="C921" s="7">
        <v>132</v>
      </c>
      <c r="D921" s="1">
        <v>44986</v>
      </c>
      <c r="E921" s="29">
        <v>4.0999999999999996</v>
      </c>
      <c r="F921" t="s">
        <v>4</v>
      </c>
      <c r="G921" t="str">
        <f t="shared" si="14"/>
        <v>2023-03</v>
      </c>
    </row>
    <row r="922" spans="1:7" x14ac:dyDescent="0.3">
      <c r="A922">
        <v>4070</v>
      </c>
      <c r="B922" t="s">
        <v>5</v>
      </c>
      <c r="C922" s="7">
        <v>44</v>
      </c>
      <c r="D922" s="1">
        <v>44949</v>
      </c>
      <c r="E922" s="29">
        <v>2.2999999999999998</v>
      </c>
      <c r="F922" t="s">
        <v>4</v>
      </c>
      <c r="G922" t="str">
        <f t="shared" si="14"/>
        <v>2023-01</v>
      </c>
    </row>
    <row r="923" spans="1:7" x14ac:dyDescent="0.3">
      <c r="A923">
        <v>4063</v>
      </c>
      <c r="B923" t="s">
        <v>3</v>
      </c>
      <c r="C923" s="7">
        <v>100.68</v>
      </c>
      <c r="D923" s="1">
        <v>45069</v>
      </c>
      <c r="E923" s="29">
        <v>2</v>
      </c>
      <c r="F923" t="s">
        <v>1</v>
      </c>
      <c r="G923" t="str">
        <f t="shared" si="14"/>
        <v>2023-05</v>
      </c>
    </row>
    <row r="924" spans="1:7" x14ac:dyDescent="0.3">
      <c r="A924">
        <v>4070</v>
      </c>
      <c r="B924" t="s">
        <v>33</v>
      </c>
      <c r="C924" s="7">
        <v>127</v>
      </c>
      <c r="D924" s="1">
        <v>45094</v>
      </c>
      <c r="E924" s="29">
        <v>2.9</v>
      </c>
      <c r="F924" t="s">
        <v>1</v>
      </c>
      <c r="G924" t="str">
        <f t="shared" si="14"/>
        <v>2023-06</v>
      </c>
    </row>
    <row r="925" spans="1:7" x14ac:dyDescent="0.3">
      <c r="A925">
        <v>4030</v>
      </c>
      <c r="B925" t="s">
        <v>40</v>
      </c>
      <c r="C925" s="7">
        <v>106.80769230769199</v>
      </c>
      <c r="D925" s="1">
        <v>45103</v>
      </c>
      <c r="E925" s="29">
        <v>3.7</v>
      </c>
      <c r="F925" t="s">
        <v>4</v>
      </c>
      <c r="G925" t="str">
        <f t="shared" si="14"/>
        <v>2023-06</v>
      </c>
    </row>
    <row r="926" spans="1:7" x14ac:dyDescent="0.3">
      <c r="A926">
        <v>3998</v>
      </c>
      <c r="B926" t="s">
        <v>41</v>
      </c>
      <c r="C926" s="7">
        <v>61</v>
      </c>
      <c r="D926" s="1">
        <v>44970</v>
      </c>
      <c r="E926" s="29">
        <v>2.4</v>
      </c>
      <c r="F926" t="s">
        <v>1</v>
      </c>
      <c r="G926" t="str">
        <f t="shared" si="14"/>
        <v>2023-02</v>
      </c>
    </row>
    <row r="927" spans="1:7" x14ac:dyDescent="0.3">
      <c r="A927">
        <v>4065</v>
      </c>
      <c r="B927" t="s">
        <v>21</v>
      </c>
      <c r="C927" s="7">
        <v>90</v>
      </c>
      <c r="D927" s="1">
        <v>44977</v>
      </c>
      <c r="E927" s="29">
        <v>1.3</v>
      </c>
      <c r="F927" t="s">
        <v>4</v>
      </c>
      <c r="G927" t="str">
        <f t="shared" si="14"/>
        <v>2023-02</v>
      </c>
    </row>
    <row r="928" spans="1:7" x14ac:dyDescent="0.3">
      <c r="A928">
        <v>4063</v>
      </c>
      <c r="B928" t="s">
        <v>33</v>
      </c>
      <c r="C928" s="7">
        <v>141</v>
      </c>
      <c r="D928" s="1">
        <v>44944</v>
      </c>
      <c r="E928" s="29">
        <v>3.6</v>
      </c>
      <c r="F928" t="s">
        <v>1</v>
      </c>
      <c r="G928" t="str">
        <f t="shared" si="14"/>
        <v>2023-01</v>
      </c>
    </row>
    <row r="929" spans="1:7" x14ac:dyDescent="0.3">
      <c r="A929">
        <v>3992</v>
      </c>
      <c r="B929" t="s">
        <v>8</v>
      </c>
      <c r="C929" s="7">
        <v>149</v>
      </c>
      <c r="D929" s="1">
        <v>45070</v>
      </c>
      <c r="E929" s="29">
        <v>1.5</v>
      </c>
      <c r="F929" t="s">
        <v>4</v>
      </c>
      <c r="G929" t="str">
        <f t="shared" si="14"/>
        <v>2023-05</v>
      </c>
    </row>
    <row r="930" spans="1:7" x14ac:dyDescent="0.3">
      <c r="A930">
        <v>4107</v>
      </c>
      <c r="B930" t="s">
        <v>16</v>
      </c>
      <c r="C930" s="7">
        <v>19</v>
      </c>
      <c r="D930" s="1">
        <v>44862</v>
      </c>
      <c r="E930" s="29">
        <v>2.8</v>
      </c>
      <c r="F930" t="s">
        <v>1</v>
      </c>
      <c r="G930" t="str">
        <f t="shared" si="14"/>
        <v>2022-10</v>
      </c>
    </row>
    <row r="931" spans="1:7" x14ac:dyDescent="0.3">
      <c r="A931">
        <v>4110</v>
      </c>
      <c r="B931" t="s">
        <v>35</v>
      </c>
      <c r="C931" s="7">
        <v>58</v>
      </c>
      <c r="D931" s="1">
        <v>45038</v>
      </c>
      <c r="E931" s="29">
        <v>3.2</v>
      </c>
      <c r="F931" t="s">
        <v>4</v>
      </c>
      <c r="G931" t="str">
        <f t="shared" si="14"/>
        <v>2023-04</v>
      </c>
    </row>
    <row r="932" spans="1:7" x14ac:dyDescent="0.3">
      <c r="A932">
        <v>3979</v>
      </c>
      <c r="B932" t="s">
        <v>30</v>
      </c>
      <c r="C932" s="7">
        <v>22</v>
      </c>
      <c r="D932" s="1">
        <v>45028</v>
      </c>
      <c r="E932" s="29">
        <v>4.5</v>
      </c>
      <c r="F932" t="s">
        <v>1</v>
      </c>
      <c r="G932" t="str">
        <f t="shared" si="14"/>
        <v>2023-04</v>
      </c>
    </row>
    <row r="933" spans="1:7" x14ac:dyDescent="0.3">
      <c r="A933">
        <v>3993</v>
      </c>
      <c r="B933" t="s">
        <v>28</v>
      </c>
      <c r="C933" s="7">
        <v>94</v>
      </c>
      <c r="D933" s="1">
        <v>44878</v>
      </c>
      <c r="E933" s="29">
        <v>2.7</v>
      </c>
      <c r="F933" t="s">
        <v>4</v>
      </c>
      <c r="G933" t="str">
        <f t="shared" si="14"/>
        <v>2022-11</v>
      </c>
    </row>
    <row r="934" spans="1:7" x14ac:dyDescent="0.3">
      <c r="A934">
        <v>4010</v>
      </c>
      <c r="B934" t="s">
        <v>37</v>
      </c>
      <c r="C934" s="7">
        <v>104</v>
      </c>
      <c r="D934" s="1">
        <v>45113</v>
      </c>
      <c r="E934" s="29">
        <v>1.3</v>
      </c>
      <c r="F934" t="s">
        <v>1</v>
      </c>
      <c r="G934" t="str">
        <f t="shared" si="14"/>
        <v>2023-07</v>
      </c>
    </row>
    <row r="935" spans="1:7" x14ac:dyDescent="0.3">
      <c r="A935">
        <v>4034</v>
      </c>
      <c r="B935" t="s">
        <v>23</v>
      </c>
      <c r="C935" s="7">
        <v>112</v>
      </c>
      <c r="D935" s="1">
        <v>45067</v>
      </c>
      <c r="E935" s="29">
        <v>3</v>
      </c>
      <c r="F935" t="s">
        <v>1</v>
      </c>
      <c r="G935" t="str">
        <f t="shared" si="14"/>
        <v>2023-05</v>
      </c>
    </row>
    <row r="936" spans="1:7" x14ac:dyDescent="0.3">
      <c r="A936">
        <v>4078</v>
      </c>
      <c r="B936" t="s">
        <v>36</v>
      </c>
      <c r="C936" s="7">
        <v>108</v>
      </c>
      <c r="D936" s="1">
        <v>45169</v>
      </c>
      <c r="E936" s="29">
        <v>4.8</v>
      </c>
      <c r="F936" t="s">
        <v>1</v>
      </c>
      <c r="G936" t="str">
        <f t="shared" si="14"/>
        <v>2023-08</v>
      </c>
    </row>
    <row r="937" spans="1:7" x14ac:dyDescent="0.3">
      <c r="A937">
        <v>4091</v>
      </c>
      <c r="B937" t="s">
        <v>5</v>
      </c>
      <c r="C937" s="7">
        <v>57</v>
      </c>
      <c r="D937" s="1">
        <v>45015</v>
      </c>
      <c r="E937" s="29">
        <v>1.8</v>
      </c>
      <c r="F937" t="s">
        <v>4</v>
      </c>
      <c r="G937" t="str">
        <f t="shared" si="14"/>
        <v>2023-03</v>
      </c>
    </row>
    <row r="938" spans="1:7" x14ac:dyDescent="0.3">
      <c r="A938">
        <v>4042</v>
      </c>
      <c r="B938" t="s">
        <v>10</v>
      </c>
      <c r="C938" s="7">
        <v>137</v>
      </c>
      <c r="D938" s="1">
        <v>45048</v>
      </c>
      <c r="E938" s="29">
        <v>1.9</v>
      </c>
      <c r="F938" t="s">
        <v>1</v>
      </c>
      <c r="G938" t="str">
        <f t="shared" si="14"/>
        <v>2023-05</v>
      </c>
    </row>
    <row r="939" spans="1:7" x14ac:dyDescent="0.3">
      <c r="A939">
        <v>3973</v>
      </c>
      <c r="B939" t="s">
        <v>42</v>
      </c>
      <c r="C939" s="7">
        <v>142</v>
      </c>
      <c r="D939" s="1">
        <v>44967</v>
      </c>
      <c r="E939" s="29">
        <v>2.9761904761904701</v>
      </c>
      <c r="F939" t="s">
        <v>4</v>
      </c>
      <c r="G939" t="str">
        <f t="shared" si="14"/>
        <v>2023-02</v>
      </c>
    </row>
    <row r="940" spans="1:7" x14ac:dyDescent="0.3">
      <c r="A940">
        <v>4108</v>
      </c>
      <c r="B940" t="s">
        <v>30</v>
      </c>
      <c r="C940" s="7">
        <v>31</v>
      </c>
      <c r="D940" s="1">
        <v>45048</v>
      </c>
      <c r="E940" s="29">
        <v>2.4</v>
      </c>
      <c r="F940" t="s">
        <v>4</v>
      </c>
      <c r="G940" t="str">
        <f t="shared" si="14"/>
        <v>2023-05</v>
      </c>
    </row>
    <row r="941" spans="1:7" x14ac:dyDescent="0.3">
      <c r="A941">
        <v>4053</v>
      </c>
      <c r="B941" t="s">
        <v>36</v>
      </c>
      <c r="C941" s="7">
        <v>30</v>
      </c>
      <c r="D941" s="1">
        <v>45075</v>
      </c>
      <c r="E941" s="29">
        <v>1.6</v>
      </c>
      <c r="F941" t="s">
        <v>4</v>
      </c>
      <c r="G941" t="str">
        <f t="shared" si="14"/>
        <v>2023-05</v>
      </c>
    </row>
    <row r="942" spans="1:7" x14ac:dyDescent="0.3">
      <c r="A942">
        <v>3979</v>
      </c>
      <c r="B942" t="s">
        <v>23</v>
      </c>
      <c r="C942" s="7">
        <v>56</v>
      </c>
      <c r="D942" s="1">
        <v>44903</v>
      </c>
      <c r="E942" s="29">
        <v>3.1</v>
      </c>
      <c r="F942" t="s">
        <v>1</v>
      </c>
      <c r="G942" t="str">
        <f t="shared" si="14"/>
        <v>2022-12</v>
      </c>
    </row>
    <row r="943" spans="1:7" x14ac:dyDescent="0.3">
      <c r="A943">
        <v>3958</v>
      </c>
      <c r="B943" t="s">
        <v>23</v>
      </c>
      <c r="C943" s="7">
        <v>92</v>
      </c>
      <c r="D943" s="1">
        <v>45183</v>
      </c>
      <c r="E943" s="29">
        <v>2.5</v>
      </c>
      <c r="F943" t="s">
        <v>1</v>
      </c>
      <c r="G943" t="str">
        <f t="shared" si="14"/>
        <v>2023-09</v>
      </c>
    </row>
    <row r="944" spans="1:7" x14ac:dyDescent="0.3">
      <c r="A944">
        <v>4061</v>
      </c>
      <c r="B944" t="s">
        <v>20</v>
      </c>
      <c r="C944" s="7">
        <v>105.95348837209301</v>
      </c>
      <c r="D944" s="1">
        <v>45034</v>
      </c>
      <c r="E944" s="29">
        <v>4.8</v>
      </c>
      <c r="F944" t="s">
        <v>4</v>
      </c>
      <c r="G944" t="str">
        <f t="shared" si="14"/>
        <v>2023-04</v>
      </c>
    </row>
    <row r="945" spans="1:7" x14ac:dyDescent="0.3">
      <c r="A945">
        <v>4120</v>
      </c>
      <c r="B945" t="s">
        <v>24</v>
      </c>
      <c r="C945" s="7">
        <v>85</v>
      </c>
      <c r="D945" s="1">
        <v>44955</v>
      </c>
      <c r="E945" s="29">
        <v>2.5</v>
      </c>
      <c r="F945" t="s">
        <v>4</v>
      </c>
      <c r="G945" t="str">
        <f t="shared" si="14"/>
        <v>2023-01</v>
      </c>
    </row>
    <row r="946" spans="1:7" x14ac:dyDescent="0.3">
      <c r="A946">
        <v>4026</v>
      </c>
      <c r="B946" t="s">
        <v>48</v>
      </c>
      <c r="C946" s="7">
        <v>164</v>
      </c>
      <c r="D946" s="1">
        <v>45042</v>
      </c>
      <c r="E946" s="29">
        <v>1.7</v>
      </c>
      <c r="F946" t="s">
        <v>1</v>
      </c>
      <c r="G946" t="str">
        <f t="shared" si="14"/>
        <v>2023-04</v>
      </c>
    </row>
    <row r="947" spans="1:7" x14ac:dyDescent="0.3">
      <c r="A947">
        <v>4063</v>
      </c>
      <c r="B947" t="s">
        <v>44</v>
      </c>
      <c r="C947" s="7">
        <v>52</v>
      </c>
      <c r="D947" s="1">
        <v>45119</v>
      </c>
      <c r="E947" s="29">
        <v>3.5</v>
      </c>
      <c r="F947" t="s">
        <v>4</v>
      </c>
      <c r="G947" t="str">
        <f t="shared" si="14"/>
        <v>2023-07</v>
      </c>
    </row>
    <row r="948" spans="1:7" x14ac:dyDescent="0.3">
      <c r="A948">
        <v>4001</v>
      </c>
      <c r="B948" t="s">
        <v>28</v>
      </c>
      <c r="C948" s="7">
        <v>99</v>
      </c>
      <c r="D948" s="1">
        <v>44870</v>
      </c>
      <c r="E948" s="29">
        <v>4</v>
      </c>
      <c r="F948" t="s">
        <v>1</v>
      </c>
      <c r="G948" t="str">
        <f t="shared" si="14"/>
        <v>2022-11</v>
      </c>
    </row>
    <row r="949" spans="1:7" x14ac:dyDescent="0.3">
      <c r="A949">
        <v>4099</v>
      </c>
      <c r="B949" t="s">
        <v>45</v>
      </c>
      <c r="C949" s="7">
        <v>196</v>
      </c>
      <c r="D949" s="1">
        <v>45024</v>
      </c>
      <c r="E949" s="29">
        <v>4.8</v>
      </c>
      <c r="F949" t="s">
        <v>1</v>
      </c>
      <c r="G949" t="str">
        <f t="shared" si="14"/>
        <v>2023-04</v>
      </c>
    </row>
    <row r="950" spans="1:7" x14ac:dyDescent="0.3">
      <c r="A950">
        <v>4075</v>
      </c>
      <c r="B950" t="s">
        <v>31</v>
      </c>
      <c r="C950" s="7">
        <v>100</v>
      </c>
      <c r="D950" s="1">
        <v>45173</v>
      </c>
      <c r="E950" s="29">
        <v>4.4000000000000004</v>
      </c>
      <c r="F950" t="s">
        <v>1</v>
      </c>
      <c r="G950" t="str">
        <f t="shared" si="14"/>
        <v>2023-09</v>
      </c>
    </row>
    <row r="951" spans="1:7" x14ac:dyDescent="0.3">
      <c r="A951">
        <v>4102</v>
      </c>
      <c r="B951" t="s">
        <v>8</v>
      </c>
      <c r="C951" s="7">
        <v>121</v>
      </c>
      <c r="D951" s="1">
        <v>44988</v>
      </c>
      <c r="E951" s="29">
        <v>4.8</v>
      </c>
      <c r="F951" t="s">
        <v>1</v>
      </c>
      <c r="G951" t="str">
        <f t="shared" si="14"/>
        <v>2023-03</v>
      </c>
    </row>
    <row r="952" spans="1:7" x14ac:dyDescent="0.3">
      <c r="A952">
        <v>3992</v>
      </c>
      <c r="B952" t="s">
        <v>28</v>
      </c>
      <c r="C952" s="7">
        <v>24</v>
      </c>
      <c r="D952" s="1">
        <v>45191</v>
      </c>
      <c r="E952" s="29">
        <v>2.2000000000000002</v>
      </c>
      <c r="F952" t="s">
        <v>1</v>
      </c>
      <c r="G952" t="str">
        <f t="shared" si="14"/>
        <v>2023-09</v>
      </c>
    </row>
    <row r="953" spans="1:7" x14ac:dyDescent="0.3">
      <c r="A953">
        <v>4008</v>
      </c>
      <c r="B953" t="s">
        <v>47</v>
      </c>
      <c r="C953" s="7">
        <v>106.297872340425</v>
      </c>
      <c r="D953" s="1">
        <v>44880</v>
      </c>
      <c r="E953" s="29">
        <v>4.9000000000000004</v>
      </c>
      <c r="F953" t="s">
        <v>4</v>
      </c>
      <c r="G953" t="str">
        <f t="shared" si="14"/>
        <v>2022-11</v>
      </c>
    </row>
    <row r="954" spans="1:7" x14ac:dyDescent="0.3">
      <c r="A954">
        <v>4004</v>
      </c>
      <c r="B954" t="s">
        <v>37</v>
      </c>
      <c r="C954" s="7">
        <v>103</v>
      </c>
      <c r="D954" s="1">
        <v>45101</v>
      </c>
      <c r="E954" s="29">
        <v>2.9</v>
      </c>
      <c r="F954" t="s">
        <v>4</v>
      </c>
      <c r="G954" t="str">
        <f t="shared" si="14"/>
        <v>2023-06</v>
      </c>
    </row>
    <row r="955" spans="1:7" x14ac:dyDescent="0.3">
      <c r="A955">
        <v>4054</v>
      </c>
      <c r="B955" t="s">
        <v>24</v>
      </c>
      <c r="C955" s="7">
        <v>183</v>
      </c>
      <c r="D955" s="1">
        <v>45026</v>
      </c>
      <c r="E955" s="29">
        <v>4.8</v>
      </c>
      <c r="F955" t="s">
        <v>1</v>
      </c>
      <c r="G955" t="str">
        <f t="shared" si="14"/>
        <v>2023-04</v>
      </c>
    </row>
    <row r="956" spans="1:7" x14ac:dyDescent="0.3">
      <c r="A956">
        <v>4031</v>
      </c>
      <c r="B956" t="s">
        <v>20</v>
      </c>
      <c r="C956" s="7">
        <v>105.95348837209301</v>
      </c>
      <c r="D956" s="1">
        <v>45100</v>
      </c>
      <c r="E956" s="29">
        <v>2.8545454545454501</v>
      </c>
      <c r="F956" t="s">
        <v>1</v>
      </c>
      <c r="G956" t="str">
        <f t="shared" si="14"/>
        <v>2023-06</v>
      </c>
    </row>
    <row r="957" spans="1:7" x14ac:dyDescent="0.3">
      <c r="A957">
        <v>4098</v>
      </c>
      <c r="B957" t="s">
        <v>8</v>
      </c>
      <c r="C957" s="7">
        <v>105.81034482758599</v>
      </c>
      <c r="D957" s="1">
        <v>45147</v>
      </c>
      <c r="E957" s="29">
        <v>3.2</v>
      </c>
      <c r="F957" t="s">
        <v>1</v>
      </c>
      <c r="G957" t="str">
        <f t="shared" si="14"/>
        <v>2023-08</v>
      </c>
    </row>
    <row r="958" spans="1:7" x14ac:dyDescent="0.3">
      <c r="A958">
        <v>4082</v>
      </c>
      <c r="B958" t="s">
        <v>50</v>
      </c>
      <c r="C958" s="7">
        <v>183</v>
      </c>
      <c r="D958" s="1">
        <v>45128</v>
      </c>
      <c r="E958" s="29">
        <v>4.7</v>
      </c>
      <c r="F958" t="s">
        <v>1</v>
      </c>
      <c r="G958" t="str">
        <f t="shared" si="14"/>
        <v>2023-07</v>
      </c>
    </row>
    <row r="959" spans="1:7" x14ac:dyDescent="0.3">
      <c r="A959">
        <v>3967</v>
      </c>
      <c r="B959" t="s">
        <v>3</v>
      </c>
      <c r="C959" s="7">
        <v>18</v>
      </c>
      <c r="D959" s="1">
        <v>44853</v>
      </c>
      <c r="E959" s="29">
        <v>4.8</v>
      </c>
      <c r="F959" t="s">
        <v>4</v>
      </c>
      <c r="G959" t="str">
        <f t="shared" si="14"/>
        <v>2022-10</v>
      </c>
    </row>
    <row r="960" spans="1:7" x14ac:dyDescent="0.3">
      <c r="A960">
        <v>4034</v>
      </c>
      <c r="B960" t="s">
        <v>8</v>
      </c>
      <c r="C960" s="7">
        <v>105.81034482758599</v>
      </c>
      <c r="D960" s="1">
        <v>44866</v>
      </c>
      <c r="E960" s="29">
        <v>2.9230769230769198</v>
      </c>
      <c r="F960" t="s">
        <v>4</v>
      </c>
      <c r="G960" t="str">
        <f t="shared" si="14"/>
        <v>2022-11</v>
      </c>
    </row>
    <row r="961" spans="1:7" x14ac:dyDescent="0.3">
      <c r="A961">
        <v>4106</v>
      </c>
      <c r="B961" t="s">
        <v>22</v>
      </c>
      <c r="C961" s="7">
        <v>175</v>
      </c>
      <c r="D961" s="1">
        <v>44912</v>
      </c>
      <c r="E961" s="29">
        <v>1.6</v>
      </c>
      <c r="F961" t="s">
        <v>1</v>
      </c>
      <c r="G961" t="str">
        <f t="shared" si="14"/>
        <v>2022-12</v>
      </c>
    </row>
    <row r="962" spans="1:7" x14ac:dyDescent="0.3">
      <c r="A962">
        <v>4034</v>
      </c>
      <c r="B962" t="s">
        <v>14</v>
      </c>
      <c r="C962" s="7">
        <v>108</v>
      </c>
      <c r="D962" s="1">
        <v>45067</v>
      </c>
      <c r="E962" s="29">
        <v>4.0999999999999996</v>
      </c>
      <c r="F962" t="s">
        <v>4</v>
      </c>
      <c r="G962" t="str">
        <f t="shared" si="14"/>
        <v>2023-05</v>
      </c>
    </row>
    <row r="963" spans="1:7" x14ac:dyDescent="0.3">
      <c r="A963">
        <v>4083</v>
      </c>
      <c r="B963" t="s">
        <v>23</v>
      </c>
      <c r="C963" s="7">
        <v>18</v>
      </c>
      <c r="D963" s="1">
        <v>45079</v>
      </c>
      <c r="E963" s="29">
        <v>4.8</v>
      </c>
      <c r="F963" t="s">
        <v>4</v>
      </c>
      <c r="G963" t="str">
        <f t="shared" ref="G963:G1026" si="15">TEXT(D963,"ГГГГ-ММ")</f>
        <v>2023-06</v>
      </c>
    </row>
    <row r="964" spans="1:7" x14ac:dyDescent="0.3">
      <c r="A964">
        <v>4100</v>
      </c>
      <c r="B964" t="s">
        <v>6</v>
      </c>
      <c r="C964" s="7">
        <v>183</v>
      </c>
      <c r="D964" s="1">
        <v>45192</v>
      </c>
      <c r="E964" s="29">
        <v>4.0999999999999996</v>
      </c>
      <c r="F964" t="s">
        <v>1</v>
      </c>
      <c r="G964" t="str">
        <f t="shared" si="15"/>
        <v>2023-09</v>
      </c>
    </row>
    <row r="965" spans="1:7" x14ac:dyDescent="0.3">
      <c r="A965">
        <v>4075</v>
      </c>
      <c r="B965" t="s">
        <v>2</v>
      </c>
      <c r="C965" s="7">
        <v>104</v>
      </c>
      <c r="D965" s="1">
        <v>44921</v>
      </c>
      <c r="E965" s="29">
        <v>2.6</v>
      </c>
      <c r="F965" t="s">
        <v>1</v>
      </c>
      <c r="G965" t="str">
        <f t="shared" si="15"/>
        <v>2022-12</v>
      </c>
    </row>
    <row r="966" spans="1:7" x14ac:dyDescent="0.3">
      <c r="A966">
        <v>4014</v>
      </c>
      <c r="B966" t="s">
        <v>6</v>
      </c>
      <c r="C966" s="7">
        <v>29</v>
      </c>
      <c r="D966" s="1">
        <v>45131</v>
      </c>
      <c r="E966" s="29">
        <v>4.3</v>
      </c>
      <c r="F966" t="s">
        <v>4</v>
      </c>
      <c r="G966" t="str">
        <f t="shared" si="15"/>
        <v>2023-07</v>
      </c>
    </row>
    <row r="967" spans="1:7" x14ac:dyDescent="0.3">
      <c r="A967">
        <v>3963</v>
      </c>
      <c r="B967" t="s">
        <v>7</v>
      </c>
      <c r="C967" s="7">
        <v>145</v>
      </c>
      <c r="D967" s="1">
        <v>44892</v>
      </c>
      <c r="E967" s="29">
        <v>2.8953488372092999</v>
      </c>
      <c r="F967" t="s">
        <v>4</v>
      </c>
      <c r="G967" t="str">
        <f t="shared" si="15"/>
        <v>2022-11</v>
      </c>
    </row>
    <row r="968" spans="1:7" x14ac:dyDescent="0.3">
      <c r="A968">
        <v>3957</v>
      </c>
      <c r="B968" t="s">
        <v>40</v>
      </c>
      <c r="C968" s="7">
        <v>90</v>
      </c>
      <c r="D968" s="1">
        <v>44841</v>
      </c>
      <c r="E968" s="29">
        <v>2.1</v>
      </c>
      <c r="F968" t="s">
        <v>1</v>
      </c>
      <c r="G968" t="str">
        <f t="shared" si="15"/>
        <v>2022-10</v>
      </c>
    </row>
    <row r="969" spans="1:7" x14ac:dyDescent="0.3">
      <c r="A969">
        <v>3996</v>
      </c>
      <c r="B969" t="s">
        <v>23</v>
      </c>
      <c r="C969" s="7">
        <v>73</v>
      </c>
      <c r="D969" s="1">
        <v>45100</v>
      </c>
      <c r="E969" s="29">
        <v>1.5</v>
      </c>
      <c r="F969" t="s">
        <v>4</v>
      </c>
      <c r="G969" t="str">
        <f t="shared" si="15"/>
        <v>2023-06</v>
      </c>
    </row>
    <row r="970" spans="1:7" x14ac:dyDescent="0.3">
      <c r="A970">
        <v>4024</v>
      </c>
      <c r="B970" t="s">
        <v>13</v>
      </c>
      <c r="C970" s="7">
        <v>16</v>
      </c>
      <c r="D970" s="1">
        <v>44993</v>
      </c>
      <c r="E970" s="29">
        <v>4.8</v>
      </c>
      <c r="F970" t="s">
        <v>4</v>
      </c>
      <c r="G970" t="str">
        <f t="shared" si="15"/>
        <v>2023-03</v>
      </c>
    </row>
    <row r="971" spans="1:7" x14ac:dyDescent="0.3">
      <c r="A971">
        <v>4033</v>
      </c>
      <c r="B971" t="s">
        <v>14</v>
      </c>
      <c r="C971" s="7">
        <v>137</v>
      </c>
      <c r="D971" s="1">
        <v>45007</v>
      </c>
      <c r="E971" s="29">
        <v>2.8</v>
      </c>
      <c r="F971" t="s">
        <v>4</v>
      </c>
      <c r="G971" t="str">
        <f t="shared" si="15"/>
        <v>2023-03</v>
      </c>
    </row>
    <row r="972" spans="1:7" x14ac:dyDescent="0.3">
      <c r="A972">
        <v>4120</v>
      </c>
      <c r="B972" t="s">
        <v>18</v>
      </c>
      <c r="C972" s="7">
        <v>153</v>
      </c>
      <c r="D972" s="1">
        <v>44856</v>
      </c>
      <c r="E972" s="29">
        <v>4</v>
      </c>
      <c r="F972" t="s">
        <v>4</v>
      </c>
      <c r="G972" t="str">
        <f t="shared" si="15"/>
        <v>2022-10</v>
      </c>
    </row>
    <row r="973" spans="1:7" x14ac:dyDescent="0.3">
      <c r="A973">
        <v>4119</v>
      </c>
      <c r="B973" t="s">
        <v>26</v>
      </c>
      <c r="C973" s="7">
        <v>103.267857142857</v>
      </c>
      <c r="D973" s="1">
        <v>45193</v>
      </c>
      <c r="E973" s="29">
        <v>2.88305084745762</v>
      </c>
      <c r="F973" t="s">
        <v>4</v>
      </c>
      <c r="G973" t="str">
        <f t="shared" si="15"/>
        <v>2023-09</v>
      </c>
    </row>
    <row r="974" spans="1:7" x14ac:dyDescent="0.3">
      <c r="A974">
        <v>4077</v>
      </c>
      <c r="B974" t="s">
        <v>29</v>
      </c>
      <c r="C974" s="7">
        <v>190</v>
      </c>
      <c r="D974" s="1">
        <v>45068</v>
      </c>
      <c r="E974" s="29">
        <v>2.2000000000000002</v>
      </c>
      <c r="F974" t="s">
        <v>1</v>
      </c>
      <c r="G974" t="str">
        <f t="shared" si="15"/>
        <v>2023-05</v>
      </c>
    </row>
    <row r="975" spans="1:7" x14ac:dyDescent="0.3">
      <c r="A975">
        <v>3988</v>
      </c>
      <c r="B975" t="s">
        <v>43</v>
      </c>
      <c r="C975" s="7">
        <v>166</v>
      </c>
      <c r="D975" s="1">
        <v>45168</v>
      </c>
      <c r="E975" s="29">
        <v>3.5</v>
      </c>
      <c r="F975" t="s">
        <v>1</v>
      </c>
      <c r="G975" t="str">
        <f t="shared" si="15"/>
        <v>2023-08</v>
      </c>
    </row>
    <row r="976" spans="1:7" x14ac:dyDescent="0.3">
      <c r="A976">
        <v>4030</v>
      </c>
      <c r="B976" t="s">
        <v>10</v>
      </c>
      <c r="C976" s="7">
        <v>135</v>
      </c>
      <c r="D976" s="1">
        <v>45123</v>
      </c>
      <c r="E976" s="29">
        <v>3.6</v>
      </c>
      <c r="F976" t="s">
        <v>4</v>
      </c>
      <c r="G976" t="str">
        <f t="shared" si="15"/>
        <v>2023-07</v>
      </c>
    </row>
    <row r="977" spans="1:7" x14ac:dyDescent="0.3">
      <c r="A977">
        <v>4063</v>
      </c>
      <c r="B977" t="s">
        <v>36</v>
      </c>
      <c r="C977" s="7">
        <v>44</v>
      </c>
      <c r="D977" s="1">
        <v>45033</v>
      </c>
      <c r="E977" s="29">
        <v>1.5</v>
      </c>
      <c r="F977" t="s">
        <v>1</v>
      </c>
      <c r="G977" t="str">
        <f t="shared" si="15"/>
        <v>2023-04</v>
      </c>
    </row>
    <row r="978" spans="1:7" x14ac:dyDescent="0.3">
      <c r="A978">
        <v>4002</v>
      </c>
      <c r="B978" t="s">
        <v>50</v>
      </c>
      <c r="C978" s="7">
        <v>125</v>
      </c>
      <c r="D978" s="1">
        <v>44846</v>
      </c>
      <c r="E978" s="29">
        <v>2.8</v>
      </c>
      <c r="F978" t="s">
        <v>1</v>
      </c>
      <c r="G978" t="str">
        <f t="shared" si="15"/>
        <v>2022-10</v>
      </c>
    </row>
    <row r="979" spans="1:7" x14ac:dyDescent="0.3">
      <c r="A979">
        <v>4082</v>
      </c>
      <c r="B979" t="s">
        <v>21</v>
      </c>
      <c r="C979" s="7">
        <v>120.22</v>
      </c>
      <c r="D979" s="1">
        <v>44984</v>
      </c>
      <c r="E979" s="29">
        <v>3.02830188679245</v>
      </c>
      <c r="F979" t="s">
        <v>1</v>
      </c>
      <c r="G979" t="str">
        <f t="shared" si="15"/>
        <v>2023-02</v>
      </c>
    </row>
    <row r="980" spans="1:7" x14ac:dyDescent="0.3">
      <c r="A980">
        <v>4122</v>
      </c>
      <c r="B980" t="s">
        <v>37</v>
      </c>
      <c r="C980" s="7">
        <v>32</v>
      </c>
      <c r="D980" s="1">
        <v>44956</v>
      </c>
      <c r="E980" s="29">
        <v>4.5999999999999996</v>
      </c>
      <c r="F980" t="s">
        <v>4</v>
      </c>
      <c r="G980" t="str">
        <f t="shared" si="15"/>
        <v>2023-01</v>
      </c>
    </row>
    <row r="981" spans="1:7" x14ac:dyDescent="0.3">
      <c r="A981">
        <v>4019</v>
      </c>
      <c r="B981" t="s">
        <v>30</v>
      </c>
      <c r="C981" s="7">
        <v>91</v>
      </c>
      <c r="D981" s="1">
        <v>45022</v>
      </c>
      <c r="E981" s="29">
        <v>2.1</v>
      </c>
      <c r="F981" t="s">
        <v>4</v>
      </c>
      <c r="G981" t="str">
        <f t="shared" si="15"/>
        <v>2023-04</v>
      </c>
    </row>
    <row r="982" spans="1:7" x14ac:dyDescent="0.3">
      <c r="A982">
        <v>3964</v>
      </c>
      <c r="B982" t="s">
        <v>25</v>
      </c>
      <c r="C982" s="7">
        <v>191</v>
      </c>
      <c r="D982" s="1">
        <v>45046</v>
      </c>
      <c r="E982" s="29">
        <v>2.5</v>
      </c>
      <c r="F982" t="s">
        <v>1</v>
      </c>
      <c r="G982" t="str">
        <f t="shared" si="15"/>
        <v>2023-04</v>
      </c>
    </row>
    <row r="983" spans="1:7" x14ac:dyDescent="0.3">
      <c r="A983">
        <v>3987</v>
      </c>
      <c r="B983" t="s">
        <v>40</v>
      </c>
      <c r="C983" s="7">
        <v>106.80769230769199</v>
      </c>
      <c r="D983" s="1">
        <v>45055</v>
      </c>
      <c r="E983" s="29">
        <v>1.5</v>
      </c>
      <c r="F983" t="s">
        <v>1</v>
      </c>
      <c r="G983" t="str">
        <f t="shared" si="15"/>
        <v>2023-05</v>
      </c>
    </row>
    <row r="984" spans="1:7" x14ac:dyDescent="0.3">
      <c r="A984">
        <v>4027</v>
      </c>
      <c r="B984" t="s">
        <v>43</v>
      </c>
      <c r="C984" s="7">
        <v>86</v>
      </c>
      <c r="D984" s="1">
        <v>44853</v>
      </c>
      <c r="E984" s="29">
        <v>3.3</v>
      </c>
      <c r="F984" t="s">
        <v>4</v>
      </c>
      <c r="G984" t="str">
        <f t="shared" si="15"/>
        <v>2022-10</v>
      </c>
    </row>
    <row r="985" spans="1:7" x14ac:dyDescent="0.3">
      <c r="A985">
        <v>4083</v>
      </c>
      <c r="B985" t="s">
        <v>48</v>
      </c>
      <c r="C985" s="7">
        <v>192</v>
      </c>
      <c r="D985" s="1">
        <v>45008</v>
      </c>
      <c r="E985" s="29">
        <v>3.8</v>
      </c>
      <c r="F985" t="s">
        <v>4</v>
      </c>
      <c r="G985" t="str">
        <f t="shared" si="15"/>
        <v>2023-03</v>
      </c>
    </row>
    <row r="986" spans="1:7" x14ac:dyDescent="0.3">
      <c r="A986">
        <v>3974</v>
      </c>
      <c r="B986" t="s">
        <v>9</v>
      </c>
      <c r="C986" s="7">
        <v>189</v>
      </c>
      <c r="D986" s="1">
        <v>44854</v>
      </c>
      <c r="E986" s="29">
        <v>4</v>
      </c>
      <c r="F986" t="s">
        <v>4</v>
      </c>
      <c r="G986" t="str">
        <f t="shared" si="15"/>
        <v>2022-10</v>
      </c>
    </row>
    <row r="987" spans="1:7" x14ac:dyDescent="0.3">
      <c r="A987">
        <v>4110</v>
      </c>
      <c r="B987" t="s">
        <v>23</v>
      </c>
      <c r="C987" s="7">
        <v>102</v>
      </c>
      <c r="D987" s="1">
        <v>44952</v>
      </c>
      <c r="E987" s="29">
        <v>1.4</v>
      </c>
      <c r="F987" t="s">
        <v>1</v>
      </c>
      <c r="G987" t="str">
        <f t="shared" si="15"/>
        <v>2023-01</v>
      </c>
    </row>
    <row r="988" spans="1:7" x14ac:dyDescent="0.3">
      <c r="A988">
        <v>4049</v>
      </c>
      <c r="B988" t="s">
        <v>3</v>
      </c>
      <c r="C988" s="7">
        <v>41</v>
      </c>
      <c r="D988" s="1">
        <v>45197</v>
      </c>
      <c r="E988" s="29">
        <v>3.4</v>
      </c>
      <c r="F988" t="s">
        <v>4</v>
      </c>
      <c r="G988" t="str">
        <f t="shared" si="15"/>
        <v>2023-09</v>
      </c>
    </row>
    <row r="989" spans="1:7" x14ac:dyDescent="0.3">
      <c r="A989">
        <v>4105</v>
      </c>
      <c r="B989" t="s">
        <v>20</v>
      </c>
      <c r="C989" s="7">
        <v>45</v>
      </c>
      <c r="D989" s="1">
        <v>44962</v>
      </c>
      <c r="E989" s="29">
        <v>2.5</v>
      </c>
      <c r="F989" t="s">
        <v>4</v>
      </c>
      <c r="G989" t="str">
        <f t="shared" si="15"/>
        <v>2023-02</v>
      </c>
    </row>
    <row r="990" spans="1:7" x14ac:dyDescent="0.3">
      <c r="A990">
        <v>4080</v>
      </c>
      <c r="B990" t="s">
        <v>49</v>
      </c>
      <c r="C990" s="7">
        <v>136</v>
      </c>
      <c r="D990" s="1">
        <v>45063</v>
      </c>
      <c r="E990" s="29">
        <v>3.7</v>
      </c>
      <c r="F990" t="s">
        <v>4</v>
      </c>
      <c r="G990" t="str">
        <f t="shared" si="15"/>
        <v>2023-05</v>
      </c>
    </row>
    <row r="991" spans="1:7" x14ac:dyDescent="0.3">
      <c r="A991">
        <v>4101</v>
      </c>
      <c r="B991" t="s">
        <v>48</v>
      </c>
      <c r="C991" s="7">
        <v>107.26027397260199</v>
      </c>
      <c r="D991" s="1">
        <v>44972</v>
      </c>
      <c r="E991" s="29">
        <v>4.9000000000000004</v>
      </c>
      <c r="F991" t="s">
        <v>4</v>
      </c>
      <c r="G991" t="str">
        <f t="shared" si="15"/>
        <v>2023-02</v>
      </c>
    </row>
    <row r="992" spans="1:7" x14ac:dyDescent="0.3">
      <c r="A992">
        <v>4068</v>
      </c>
      <c r="B992" t="s">
        <v>16</v>
      </c>
      <c r="C992" s="7">
        <v>104</v>
      </c>
      <c r="D992" s="1">
        <v>45053</v>
      </c>
      <c r="E992" s="29">
        <v>3.6</v>
      </c>
      <c r="F992" t="s">
        <v>1</v>
      </c>
      <c r="G992" t="str">
        <f t="shared" si="15"/>
        <v>2023-05</v>
      </c>
    </row>
    <row r="993" spans="1:7" x14ac:dyDescent="0.3">
      <c r="A993">
        <v>4023</v>
      </c>
      <c r="B993" t="s">
        <v>39</v>
      </c>
      <c r="C993" s="7">
        <v>151</v>
      </c>
      <c r="D993" s="1">
        <v>45139</v>
      </c>
      <c r="E993" s="29">
        <v>2.1</v>
      </c>
      <c r="F993" t="s">
        <v>1</v>
      </c>
      <c r="G993" t="str">
        <f t="shared" si="15"/>
        <v>2023-08</v>
      </c>
    </row>
    <row r="994" spans="1:7" x14ac:dyDescent="0.3">
      <c r="A994">
        <v>4117</v>
      </c>
      <c r="B994" t="s">
        <v>42</v>
      </c>
      <c r="C994" s="7">
        <v>114.396551724137</v>
      </c>
      <c r="D994" s="1">
        <v>45096</v>
      </c>
      <c r="E994" s="29">
        <v>2.1</v>
      </c>
      <c r="F994" t="s">
        <v>4</v>
      </c>
      <c r="G994" t="str">
        <f t="shared" si="15"/>
        <v>2023-06</v>
      </c>
    </row>
    <row r="995" spans="1:7" x14ac:dyDescent="0.3">
      <c r="A995">
        <v>4078</v>
      </c>
      <c r="B995" t="s">
        <v>16</v>
      </c>
      <c r="C995" s="7">
        <v>26</v>
      </c>
      <c r="D995" s="1">
        <v>44961</v>
      </c>
      <c r="E995" s="29">
        <v>3</v>
      </c>
      <c r="F995" t="s">
        <v>1</v>
      </c>
      <c r="G995" t="str">
        <f t="shared" si="15"/>
        <v>2023-02</v>
      </c>
    </row>
    <row r="996" spans="1:7" x14ac:dyDescent="0.3">
      <c r="A996">
        <v>3987</v>
      </c>
      <c r="B996" t="s">
        <v>46</v>
      </c>
      <c r="C996" s="7">
        <v>193</v>
      </c>
      <c r="D996" s="1">
        <v>44944</v>
      </c>
      <c r="E996" s="29">
        <v>4.3</v>
      </c>
      <c r="F996" t="s">
        <v>1</v>
      </c>
      <c r="G996" t="str">
        <f t="shared" si="15"/>
        <v>2023-01</v>
      </c>
    </row>
    <row r="997" spans="1:7" x14ac:dyDescent="0.3">
      <c r="A997">
        <v>4052</v>
      </c>
      <c r="B997" t="s">
        <v>19</v>
      </c>
      <c r="C997" s="7">
        <v>144</v>
      </c>
      <c r="D997" s="1">
        <v>44849</v>
      </c>
      <c r="E997" s="29">
        <v>1.3</v>
      </c>
      <c r="F997" t="s">
        <v>4</v>
      </c>
      <c r="G997" t="str">
        <f t="shared" si="15"/>
        <v>2022-10</v>
      </c>
    </row>
    <row r="998" spans="1:7" x14ac:dyDescent="0.3">
      <c r="A998">
        <v>4088</v>
      </c>
      <c r="B998" t="s">
        <v>28</v>
      </c>
      <c r="C998" s="7">
        <v>114</v>
      </c>
      <c r="D998" s="1">
        <v>45038</v>
      </c>
      <c r="E998" s="29">
        <v>4.2</v>
      </c>
      <c r="F998" t="s">
        <v>1</v>
      </c>
      <c r="G998" t="str">
        <f t="shared" si="15"/>
        <v>2023-04</v>
      </c>
    </row>
    <row r="999" spans="1:7" x14ac:dyDescent="0.3">
      <c r="A999">
        <v>4104</v>
      </c>
      <c r="B999" t="s">
        <v>8</v>
      </c>
      <c r="C999" s="7">
        <v>28</v>
      </c>
      <c r="D999" s="1">
        <v>45083</v>
      </c>
      <c r="E999" s="29">
        <v>3</v>
      </c>
      <c r="F999" t="s">
        <v>1</v>
      </c>
      <c r="G999" t="str">
        <f t="shared" si="15"/>
        <v>2023-06</v>
      </c>
    </row>
    <row r="1000" spans="1:7" x14ac:dyDescent="0.3">
      <c r="A1000">
        <v>3961</v>
      </c>
      <c r="B1000" t="s">
        <v>27</v>
      </c>
      <c r="C1000" s="7">
        <v>103.98245614035</v>
      </c>
      <c r="D1000" s="1">
        <v>45166</v>
      </c>
      <c r="E1000" s="29">
        <v>3.7</v>
      </c>
      <c r="F1000" t="s">
        <v>4</v>
      </c>
      <c r="G1000" t="str">
        <f t="shared" si="15"/>
        <v>2023-08</v>
      </c>
    </row>
    <row r="1001" spans="1:7" x14ac:dyDescent="0.3">
      <c r="A1001">
        <v>4023</v>
      </c>
      <c r="B1001" t="s">
        <v>41</v>
      </c>
      <c r="C1001" s="7">
        <v>28</v>
      </c>
      <c r="D1001" s="1">
        <v>45061</v>
      </c>
      <c r="E1001" s="29">
        <v>4.0999999999999996</v>
      </c>
      <c r="F1001" t="s">
        <v>1</v>
      </c>
      <c r="G1001" t="str">
        <f t="shared" si="15"/>
        <v>2023-05</v>
      </c>
    </row>
    <row r="1002" spans="1:7" x14ac:dyDescent="0.3">
      <c r="A1002">
        <v>3998</v>
      </c>
      <c r="B1002" t="s">
        <v>44</v>
      </c>
      <c r="C1002" s="7">
        <v>184</v>
      </c>
      <c r="D1002" s="1">
        <v>45176</v>
      </c>
      <c r="E1002" s="29">
        <v>3.2</v>
      </c>
      <c r="F1002" t="s">
        <v>4</v>
      </c>
      <c r="G1002" t="str">
        <f t="shared" si="15"/>
        <v>2023-09</v>
      </c>
    </row>
    <row r="1003" spans="1:7" x14ac:dyDescent="0.3">
      <c r="A1003">
        <v>4105</v>
      </c>
      <c r="B1003" t="s">
        <v>19</v>
      </c>
      <c r="C1003" s="7">
        <v>42</v>
      </c>
      <c r="D1003" s="1">
        <v>44944</v>
      </c>
      <c r="E1003" s="29">
        <v>2.5</v>
      </c>
      <c r="F1003" t="s">
        <v>1</v>
      </c>
      <c r="G1003" t="str">
        <f t="shared" si="15"/>
        <v>2023-01</v>
      </c>
    </row>
    <row r="1004" spans="1:7" x14ac:dyDescent="0.3">
      <c r="A1004">
        <v>3971</v>
      </c>
      <c r="B1004" t="s">
        <v>39</v>
      </c>
      <c r="C1004" s="7">
        <v>151</v>
      </c>
      <c r="D1004" s="1">
        <v>44847</v>
      </c>
      <c r="E1004" s="29">
        <v>4.7</v>
      </c>
      <c r="F1004" t="s">
        <v>1</v>
      </c>
      <c r="G1004" t="str">
        <f t="shared" si="15"/>
        <v>2022-10</v>
      </c>
    </row>
    <row r="1005" spans="1:7" x14ac:dyDescent="0.3">
      <c r="A1005">
        <v>3994</v>
      </c>
      <c r="B1005" t="s">
        <v>0</v>
      </c>
      <c r="C1005" s="7">
        <v>56</v>
      </c>
      <c r="D1005" s="1">
        <v>45043</v>
      </c>
      <c r="E1005" s="29">
        <v>3.4</v>
      </c>
      <c r="F1005" t="s">
        <v>4</v>
      </c>
      <c r="G1005" t="str">
        <f t="shared" si="15"/>
        <v>2023-04</v>
      </c>
    </row>
    <row r="1006" spans="1:7" x14ac:dyDescent="0.3">
      <c r="A1006">
        <v>4038</v>
      </c>
      <c r="B1006" t="s">
        <v>36</v>
      </c>
      <c r="C1006" s="7">
        <v>43</v>
      </c>
      <c r="D1006" s="1">
        <v>45077</v>
      </c>
      <c r="E1006" s="29">
        <v>4.2</v>
      </c>
      <c r="F1006" t="s">
        <v>4</v>
      </c>
      <c r="G1006" t="str">
        <f t="shared" si="15"/>
        <v>2023-05</v>
      </c>
    </row>
    <row r="1007" spans="1:7" x14ac:dyDescent="0.3">
      <c r="A1007">
        <v>4075</v>
      </c>
      <c r="B1007" t="s">
        <v>2</v>
      </c>
      <c r="C1007" s="7">
        <v>24</v>
      </c>
      <c r="D1007" s="1">
        <v>45194</v>
      </c>
      <c r="E1007" s="29">
        <v>3.3</v>
      </c>
      <c r="F1007" t="s">
        <v>1</v>
      </c>
      <c r="G1007" t="str">
        <f t="shared" si="15"/>
        <v>2023-09</v>
      </c>
    </row>
    <row r="1008" spans="1:7" x14ac:dyDescent="0.3">
      <c r="A1008">
        <v>3991</v>
      </c>
      <c r="B1008" t="s">
        <v>38</v>
      </c>
      <c r="C1008" s="7">
        <v>142</v>
      </c>
      <c r="D1008" s="1">
        <v>44897</v>
      </c>
      <c r="E1008" s="29">
        <v>4.0999999999999996</v>
      </c>
      <c r="F1008" t="s">
        <v>1</v>
      </c>
      <c r="G1008" t="str">
        <f t="shared" si="15"/>
        <v>2022-12</v>
      </c>
    </row>
    <row r="1009" spans="1:7" x14ac:dyDescent="0.3">
      <c r="A1009">
        <v>4048</v>
      </c>
      <c r="B1009" t="s">
        <v>45</v>
      </c>
      <c r="C1009" s="7">
        <v>111.564102564102</v>
      </c>
      <c r="D1009" s="1">
        <v>45116</v>
      </c>
      <c r="E1009" s="29">
        <v>3.7</v>
      </c>
      <c r="F1009" t="s">
        <v>1</v>
      </c>
      <c r="G1009" t="str">
        <f t="shared" si="15"/>
        <v>2023-07</v>
      </c>
    </row>
    <row r="1010" spans="1:7" x14ac:dyDescent="0.3">
      <c r="A1010">
        <v>3998</v>
      </c>
      <c r="B1010" t="s">
        <v>30</v>
      </c>
      <c r="C1010" s="7">
        <v>99.866666666666603</v>
      </c>
      <c r="D1010" s="1">
        <v>44905</v>
      </c>
      <c r="E1010" s="29">
        <v>2.7</v>
      </c>
      <c r="F1010" t="s">
        <v>1</v>
      </c>
      <c r="G1010" t="str">
        <f t="shared" si="15"/>
        <v>2022-12</v>
      </c>
    </row>
    <row r="1011" spans="1:7" x14ac:dyDescent="0.3">
      <c r="A1011">
        <v>3970</v>
      </c>
      <c r="B1011" t="s">
        <v>21</v>
      </c>
      <c r="C1011" s="7">
        <v>191</v>
      </c>
      <c r="D1011" s="1">
        <v>44929</v>
      </c>
      <c r="E1011" s="29">
        <v>4</v>
      </c>
      <c r="F1011" t="s">
        <v>4</v>
      </c>
      <c r="G1011" t="str">
        <f t="shared" si="15"/>
        <v>2023-01</v>
      </c>
    </row>
    <row r="1012" spans="1:7" x14ac:dyDescent="0.3">
      <c r="A1012">
        <v>4026</v>
      </c>
      <c r="B1012" t="s">
        <v>50</v>
      </c>
      <c r="C1012" s="7">
        <v>142</v>
      </c>
      <c r="D1012" s="1">
        <v>44929</v>
      </c>
      <c r="E1012" s="29">
        <v>4.2</v>
      </c>
      <c r="F1012" t="s">
        <v>1</v>
      </c>
      <c r="G1012" t="str">
        <f t="shared" si="15"/>
        <v>2023-01</v>
      </c>
    </row>
    <row r="1013" spans="1:7" x14ac:dyDescent="0.3">
      <c r="A1013">
        <v>4049</v>
      </c>
      <c r="B1013" t="s">
        <v>28</v>
      </c>
      <c r="C1013" s="7">
        <v>30</v>
      </c>
      <c r="D1013" s="1">
        <v>45051</v>
      </c>
      <c r="E1013" s="29">
        <v>3.3</v>
      </c>
      <c r="F1013" t="s">
        <v>1</v>
      </c>
      <c r="G1013" t="str">
        <f t="shared" si="15"/>
        <v>2023-05</v>
      </c>
    </row>
    <row r="1014" spans="1:7" x14ac:dyDescent="0.3">
      <c r="A1014">
        <v>4064</v>
      </c>
      <c r="B1014" t="s">
        <v>45</v>
      </c>
      <c r="C1014" s="7">
        <v>172</v>
      </c>
      <c r="D1014" s="1">
        <v>45046</v>
      </c>
      <c r="E1014" s="29">
        <v>4.8</v>
      </c>
      <c r="F1014" t="s">
        <v>1</v>
      </c>
      <c r="G1014" t="str">
        <f t="shared" si="15"/>
        <v>2023-04</v>
      </c>
    </row>
    <row r="1015" spans="1:7" x14ac:dyDescent="0.3">
      <c r="A1015">
        <v>4119</v>
      </c>
      <c r="B1015" t="s">
        <v>38</v>
      </c>
      <c r="C1015" s="7">
        <v>80</v>
      </c>
      <c r="D1015" s="1">
        <v>45079</v>
      </c>
      <c r="E1015" s="29">
        <v>3.5</v>
      </c>
      <c r="F1015" t="s">
        <v>4</v>
      </c>
      <c r="G1015" t="str">
        <f t="shared" si="15"/>
        <v>2023-06</v>
      </c>
    </row>
    <row r="1016" spans="1:7" x14ac:dyDescent="0.3">
      <c r="A1016">
        <v>4048</v>
      </c>
      <c r="B1016" t="s">
        <v>9</v>
      </c>
      <c r="C1016" s="7">
        <v>103.564102564102</v>
      </c>
      <c r="D1016" s="1">
        <v>45130</v>
      </c>
      <c r="E1016" s="29">
        <v>3.7</v>
      </c>
      <c r="F1016" t="s">
        <v>1</v>
      </c>
      <c r="G1016" t="str">
        <f t="shared" si="15"/>
        <v>2023-07</v>
      </c>
    </row>
    <row r="1017" spans="1:7" x14ac:dyDescent="0.3">
      <c r="A1017">
        <v>3969</v>
      </c>
      <c r="B1017" t="s">
        <v>39</v>
      </c>
      <c r="C1017" s="7">
        <v>146</v>
      </c>
      <c r="D1017" s="1">
        <v>45164</v>
      </c>
      <c r="E1017" s="29">
        <v>3.0546875</v>
      </c>
      <c r="F1017" t="s">
        <v>4</v>
      </c>
      <c r="G1017" t="str">
        <f t="shared" si="15"/>
        <v>2023-08</v>
      </c>
    </row>
    <row r="1018" spans="1:7" x14ac:dyDescent="0.3">
      <c r="A1018">
        <v>4031</v>
      </c>
      <c r="B1018" t="s">
        <v>50</v>
      </c>
      <c r="C1018" s="7">
        <v>123.21818181818099</v>
      </c>
      <c r="D1018" s="1">
        <v>44979</v>
      </c>
      <c r="E1018" s="29">
        <v>1.1000000000000001</v>
      </c>
      <c r="F1018" t="s">
        <v>4</v>
      </c>
      <c r="G1018" t="str">
        <f t="shared" si="15"/>
        <v>2023-02</v>
      </c>
    </row>
    <row r="1019" spans="1:7" x14ac:dyDescent="0.3">
      <c r="A1019">
        <v>4031</v>
      </c>
      <c r="B1019" t="s">
        <v>51</v>
      </c>
      <c r="C1019" s="7">
        <v>161</v>
      </c>
      <c r="D1019" s="1">
        <v>44877</v>
      </c>
      <c r="E1019" s="29">
        <v>1.4</v>
      </c>
      <c r="F1019" t="s">
        <v>1</v>
      </c>
      <c r="G1019" t="str">
        <f t="shared" si="15"/>
        <v>2022-11</v>
      </c>
    </row>
    <row r="1020" spans="1:7" x14ac:dyDescent="0.3">
      <c r="A1020">
        <v>4092</v>
      </c>
      <c r="B1020" t="s">
        <v>28</v>
      </c>
      <c r="C1020" s="7">
        <v>49</v>
      </c>
      <c r="D1020" s="1">
        <v>45150</v>
      </c>
      <c r="E1020" s="29">
        <v>4.2</v>
      </c>
      <c r="F1020" t="s">
        <v>1</v>
      </c>
      <c r="G1020" t="str">
        <f t="shared" si="15"/>
        <v>2023-08</v>
      </c>
    </row>
    <row r="1021" spans="1:7" x14ac:dyDescent="0.3">
      <c r="A1021">
        <v>4120</v>
      </c>
      <c r="B1021" t="s">
        <v>50</v>
      </c>
      <c r="C1021" s="7">
        <v>123.21818181818099</v>
      </c>
      <c r="D1021" s="1">
        <v>44844</v>
      </c>
      <c r="E1021" s="29">
        <v>4.4000000000000004</v>
      </c>
      <c r="F1021" t="s">
        <v>4</v>
      </c>
      <c r="G1021" t="str">
        <f t="shared" si="15"/>
        <v>2022-10</v>
      </c>
    </row>
    <row r="1022" spans="1:7" x14ac:dyDescent="0.3">
      <c r="A1022">
        <v>3976</v>
      </c>
      <c r="B1022" t="s">
        <v>5</v>
      </c>
      <c r="C1022" s="7">
        <v>164</v>
      </c>
      <c r="D1022" s="1">
        <v>45098</v>
      </c>
      <c r="E1022" s="29">
        <v>4.3</v>
      </c>
      <c r="F1022" t="s">
        <v>1</v>
      </c>
      <c r="G1022" t="str">
        <f t="shared" si="15"/>
        <v>2023-06</v>
      </c>
    </row>
    <row r="1023" spans="1:7" x14ac:dyDescent="0.3">
      <c r="A1023">
        <v>4088</v>
      </c>
      <c r="B1023" t="s">
        <v>26</v>
      </c>
      <c r="C1023" s="7">
        <v>154</v>
      </c>
      <c r="D1023" s="1">
        <v>45067</v>
      </c>
      <c r="E1023" s="29">
        <v>4.9000000000000004</v>
      </c>
      <c r="F1023" t="s">
        <v>4</v>
      </c>
      <c r="G1023" t="str">
        <f t="shared" si="15"/>
        <v>2023-05</v>
      </c>
    </row>
    <row r="1024" spans="1:7" x14ac:dyDescent="0.3">
      <c r="A1024">
        <v>4006</v>
      </c>
      <c r="B1024" t="s">
        <v>44</v>
      </c>
      <c r="C1024" s="7">
        <v>106.72413793103399</v>
      </c>
      <c r="D1024" s="1">
        <v>45096</v>
      </c>
      <c r="E1024" s="29">
        <v>2.8</v>
      </c>
      <c r="F1024" t="s">
        <v>1</v>
      </c>
      <c r="G1024" t="str">
        <f t="shared" si="15"/>
        <v>2023-06</v>
      </c>
    </row>
    <row r="1025" spans="1:7" x14ac:dyDescent="0.3">
      <c r="A1025">
        <v>4117</v>
      </c>
      <c r="B1025" t="s">
        <v>50</v>
      </c>
      <c r="C1025" s="7">
        <v>30</v>
      </c>
      <c r="D1025" s="1">
        <v>45167</v>
      </c>
      <c r="E1025" s="29">
        <v>3</v>
      </c>
      <c r="F1025" t="s">
        <v>1</v>
      </c>
      <c r="G1025" t="str">
        <f t="shared" si="15"/>
        <v>2023-08</v>
      </c>
    </row>
    <row r="1026" spans="1:7" x14ac:dyDescent="0.3">
      <c r="A1026">
        <v>4003</v>
      </c>
      <c r="B1026" t="s">
        <v>28</v>
      </c>
      <c r="C1026" s="7">
        <v>111.854838709677</v>
      </c>
      <c r="D1026" s="1">
        <v>45095</v>
      </c>
      <c r="E1026" s="29">
        <v>5</v>
      </c>
      <c r="F1026" t="s">
        <v>1</v>
      </c>
      <c r="G1026" t="str">
        <f t="shared" si="15"/>
        <v>2023-06</v>
      </c>
    </row>
    <row r="1027" spans="1:7" x14ac:dyDescent="0.3">
      <c r="A1027">
        <v>3981</v>
      </c>
      <c r="B1027" t="s">
        <v>51</v>
      </c>
      <c r="C1027" s="7">
        <v>157</v>
      </c>
      <c r="D1027" s="1">
        <v>45056</v>
      </c>
      <c r="E1027" s="29">
        <v>4.2</v>
      </c>
      <c r="F1027" t="s">
        <v>4</v>
      </c>
      <c r="G1027" t="str">
        <f t="shared" ref="G1027:G1090" si="16">TEXT(D1027,"ГГГГ-ММ")</f>
        <v>2023-05</v>
      </c>
    </row>
    <row r="1028" spans="1:7" x14ac:dyDescent="0.3">
      <c r="A1028">
        <v>4110</v>
      </c>
      <c r="B1028" t="s">
        <v>37</v>
      </c>
      <c r="C1028" s="7">
        <v>63</v>
      </c>
      <c r="D1028" s="1">
        <v>45004</v>
      </c>
      <c r="E1028" s="29">
        <v>4.0999999999999996</v>
      </c>
      <c r="F1028" t="s">
        <v>1</v>
      </c>
      <c r="G1028" t="str">
        <f t="shared" si="16"/>
        <v>2023-03</v>
      </c>
    </row>
    <row r="1029" spans="1:7" x14ac:dyDescent="0.3">
      <c r="A1029">
        <v>3999</v>
      </c>
      <c r="B1029" t="s">
        <v>30</v>
      </c>
      <c r="C1029" s="7">
        <v>116</v>
      </c>
      <c r="D1029" s="1">
        <v>44947</v>
      </c>
      <c r="E1029" s="29">
        <v>2.2999999999999998</v>
      </c>
      <c r="F1029" t="s">
        <v>4</v>
      </c>
      <c r="G1029" t="str">
        <f t="shared" si="16"/>
        <v>2023-01</v>
      </c>
    </row>
    <row r="1030" spans="1:7" x14ac:dyDescent="0.3">
      <c r="A1030">
        <v>4096</v>
      </c>
      <c r="B1030" t="s">
        <v>31</v>
      </c>
      <c r="C1030" s="7">
        <v>17</v>
      </c>
      <c r="D1030" s="1">
        <v>45093</v>
      </c>
      <c r="E1030" s="29">
        <v>2.4</v>
      </c>
      <c r="F1030" t="s">
        <v>1</v>
      </c>
      <c r="G1030" t="str">
        <f t="shared" si="16"/>
        <v>2023-06</v>
      </c>
    </row>
    <row r="1031" spans="1:7" x14ac:dyDescent="0.3">
      <c r="A1031">
        <v>4039</v>
      </c>
      <c r="B1031" t="s">
        <v>33</v>
      </c>
      <c r="C1031" s="7">
        <v>170</v>
      </c>
      <c r="D1031" s="1">
        <v>45004</v>
      </c>
      <c r="E1031" s="29">
        <v>4.4000000000000004</v>
      </c>
      <c r="F1031" t="s">
        <v>1</v>
      </c>
      <c r="G1031" t="str">
        <f t="shared" si="16"/>
        <v>2023-03</v>
      </c>
    </row>
    <row r="1032" spans="1:7" x14ac:dyDescent="0.3">
      <c r="A1032">
        <v>4037</v>
      </c>
      <c r="B1032" t="s">
        <v>14</v>
      </c>
      <c r="C1032" s="7">
        <v>174</v>
      </c>
      <c r="D1032" s="1">
        <v>45182</v>
      </c>
      <c r="E1032" s="29">
        <v>2.2999999999999998</v>
      </c>
      <c r="F1032" t="s">
        <v>1</v>
      </c>
      <c r="G1032" t="str">
        <f t="shared" si="16"/>
        <v>2023-09</v>
      </c>
    </row>
    <row r="1033" spans="1:7" x14ac:dyDescent="0.3">
      <c r="A1033">
        <v>4034</v>
      </c>
      <c r="B1033" t="s">
        <v>36</v>
      </c>
      <c r="C1033" s="7">
        <v>133</v>
      </c>
      <c r="D1033" s="1">
        <v>45142</v>
      </c>
      <c r="E1033" s="29">
        <v>4</v>
      </c>
      <c r="F1033" t="s">
        <v>1</v>
      </c>
      <c r="G1033" t="str">
        <f t="shared" si="16"/>
        <v>2023-08</v>
      </c>
    </row>
    <row r="1034" spans="1:7" x14ac:dyDescent="0.3">
      <c r="A1034">
        <v>4026</v>
      </c>
      <c r="B1034" t="s">
        <v>32</v>
      </c>
      <c r="C1034" s="7">
        <v>185</v>
      </c>
      <c r="D1034" s="1">
        <v>44859</v>
      </c>
      <c r="E1034" s="29">
        <v>1.9</v>
      </c>
      <c r="F1034" t="s">
        <v>1</v>
      </c>
      <c r="G1034" t="str">
        <f t="shared" si="16"/>
        <v>2022-10</v>
      </c>
    </row>
    <row r="1035" spans="1:7" x14ac:dyDescent="0.3">
      <c r="A1035">
        <v>4049</v>
      </c>
      <c r="B1035" t="s">
        <v>15</v>
      </c>
      <c r="C1035" s="7">
        <v>126</v>
      </c>
      <c r="D1035" s="1">
        <v>45034</v>
      </c>
      <c r="E1035" s="29">
        <v>1.4</v>
      </c>
      <c r="F1035" t="s">
        <v>4</v>
      </c>
      <c r="G1035" t="str">
        <f t="shared" si="16"/>
        <v>2023-04</v>
      </c>
    </row>
    <row r="1036" spans="1:7" x14ac:dyDescent="0.3">
      <c r="A1036">
        <v>3981</v>
      </c>
      <c r="B1036" t="s">
        <v>48</v>
      </c>
      <c r="C1036" s="7">
        <v>107.26027397260199</v>
      </c>
      <c r="D1036" s="1">
        <v>45077</v>
      </c>
      <c r="E1036" s="29">
        <v>3.6</v>
      </c>
      <c r="F1036" t="s">
        <v>4</v>
      </c>
      <c r="G1036" t="str">
        <f t="shared" si="16"/>
        <v>2023-05</v>
      </c>
    </row>
    <row r="1037" spans="1:7" x14ac:dyDescent="0.3">
      <c r="A1037">
        <v>4093</v>
      </c>
      <c r="B1037" t="s">
        <v>30</v>
      </c>
      <c r="C1037" s="7">
        <v>99.866666666666603</v>
      </c>
      <c r="D1037" s="1">
        <v>44941</v>
      </c>
      <c r="E1037" s="29">
        <v>3</v>
      </c>
      <c r="F1037" t="s">
        <v>4</v>
      </c>
      <c r="G1037" t="str">
        <f t="shared" si="16"/>
        <v>2023-01</v>
      </c>
    </row>
    <row r="1038" spans="1:7" x14ac:dyDescent="0.3">
      <c r="A1038">
        <v>4105</v>
      </c>
      <c r="B1038" t="s">
        <v>28</v>
      </c>
      <c r="C1038" s="7">
        <v>133</v>
      </c>
      <c r="D1038" s="1">
        <v>45129</v>
      </c>
      <c r="E1038" s="29">
        <v>2.5</v>
      </c>
      <c r="F1038" t="s">
        <v>1</v>
      </c>
      <c r="G1038" t="str">
        <f t="shared" si="16"/>
        <v>2023-07</v>
      </c>
    </row>
    <row r="1039" spans="1:7" x14ac:dyDescent="0.3">
      <c r="A1039">
        <v>4047</v>
      </c>
      <c r="B1039" t="s">
        <v>32</v>
      </c>
      <c r="C1039" s="7">
        <v>97</v>
      </c>
      <c r="D1039" s="1">
        <v>45048</v>
      </c>
      <c r="E1039" s="29">
        <v>3.8</v>
      </c>
      <c r="F1039" t="s">
        <v>4</v>
      </c>
      <c r="G1039" t="str">
        <f t="shared" si="16"/>
        <v>2023-05</v>
      </c>
    </row>
    <row r="1040" spans="1:7" x14ac:dyDescent="0.3">
      <c r="A1040">
        <v>3993</v>
      </c>
      <c r="B1040" t="s">
        <v>49</v>
      </c>
      <c r="C1040" s="7">
        <v>90</v>
      </c>
      <c r="D1040" s="1">
        <v>44940</v>
      </c>
      <c r="E1040" s="29">
        <v>4.2</v>
      </c>
      <c r="F1040" t="s">
        <v>1</v>
      </c>
      <c r="G1040" t="str">
        <f t="shared" si="16"/>
        <v>2023-01</v>
      </c>
    </row>
    <row r="1041" spans="1:7" x14ac:dyDescent="0.3">
      <c r="A1041">
        <v>3960</v>
      </c>
      <c r="B1041" t="s">
        <v>22</v>
      </c>
      <c r="C1041" s="7">
        <v>91</v>
      </c>
      <c r="D1041" s="1">
        <v>44991</v>
      </c>
      <c r="E1041" s="29">
        <v>4</v>
      </c>
      <c r="F1041" t="s">
        <v>1</v>
      </c>
      <c r="G1041" t="str">
        <f t="shared" si="16"/>
        <v>2023-03</v>
      </c>
    </row>
    <row r="1042" spans="1:7" x14ac:dyDescent="0.3">
      <c r="A1042">
        <v>3992</v>
      </c>
      <c r="B1042" t="s">
        <v>46</v>
      </c>
      <c r="C1042" s="7">
        <v>98</v>
      </c>
      <c r="D1042" s="1">
        <v>45184</v>
      </c>
      <c r="E1042" s="29">
        <v>2.2999999999999998</v>
      </c>
      <c r="F1042" t="s">
        <v>1</v>
      </c>
      <c r="G1042" t="str">
        <f t="shared" si="16"/>
        <v>2023-09</v>
      </c>
    </row>
    <row r="1043" spans="1:7" x14ac:dyDescent="0.3">
      <c r="A1043">
        <v>4089</v>
      </c>
      <c r="B1043" t="s">
        <v>18</v>
      </c>
      <c r="C1043" s="7">
        <v>43</v>
      </c>
      <c r="D1043" s="1">
        <v>44922</v>
      </c>
      <c r="E1043" s="29">
        <v>3.3</v>
      </c>
      <c r="F1043" t="s">
        <v>4</v>
      </c>
      <c r="G1043" t="str">
        <f t="shared" si="16"/>
        <v>2022-12</v>
      </c>
    </row>
    <row r="1044" spans="1:7" x14ac:dyDescent="0.3">
      <c r="A1044">
        <v>4029</v>
      </c>
      <c r="B1044" t="s">
        <v>42</v>
      </c>
      <c r="C1044" s="7">
        <v>141</v>
      </c>
      <c r="D1044" s="1">
        <v>45192</v>
      </c>
      <c r="E1044" s="29">
        <v>3.8</v>
      </c>
      <c r="F1044" t="s">
        <v>1</v>
      </c>
      <c r="G1044" t="str">
        <f t="shared" si="16"/>
        <v>2023-09</v>
      </c>
    </row>
    <row r="1045" spans="1:7" x14ac:dyDescent="0.3">
      <c r="A1045">
        <v>4052</v>
      </c>
      <c r="B1045" t="s">
        <v>44</v>
      </c>
      <c r="C1045" s="7">
        <v>91</v>
      </c>
      <c r="D1045" s="1">
        <v>45099</v>
      </c>
      <c r="E1045" s="29">
        <v>4</v>
      </c>
      <c r="F1045" t="s">
        <v>4</v>
      </c>
      <c r="G1045" t="str">
        <f t="shared" si="16"/>
        <v>2023-06</v>
      </c>
    </row>
    <row r="1046" spans="1:7" x14ac:dyDescent="0.3">
      <c r="A1046">
        <v>4081</v>
      </c>
      <c r="B1046" t="s">
        <v>43</v>
      </c>
      <c r="C1046" s="7">
        <v>41</v>
      </c>
      <c r="D1046" s="1">
        <v>45191</v>
      </c>
      <c r="E1046" s="29">
        <v>2.6</v>
      </c>
      <c r="F1046" t="s">
        <v>1</v>
      </c>
      <c r="G1046" t="str">
        <f t="shared" si="16"/>
        <v>2023-09</v>
      </c>
    </row>
    <row r="1047" spans="1:7" x14ac:dyDescent="0.3">
      <c r="A1047">
        <v>4062</v>
      </c>
      <c r="B1047" t="s">
        <v>39</v>
      </c>
      <c r="C1047" s="7">
        <v>73</v>
      </c>
      <c r="D1047" s="1">
        <v>45152</v>
      </c>
      <c r="E1047" s="29">
        <v>1.8</v>
      </c>
      <c r="F1047" t="s">
        <v>4</v>
      </c>
      <c r="G1047" t="str">
        <f t="shared" si="16"/>
        <v>2023-08</v>
      </c>
    </row>
    <row r="1048" spans="1:7" x14ac:dyDescent="0.3">
      <c r="A1048">
        <v>4044</v>
      </c>
      <c r="B1048" t="s">
        <v>43</v>
      </c>
      <c r="C1048" s="7">
        <v>117.354166666666</v>
      </c>
      <c r="D1048" s="1">
        <v>45093</v>
      </c>
      <c r="E1048" s="29">
        <v>3.07213114754098</v>
      </c>
      <c r="F1048" t="s">
        <v>4</v>
      </c>
      <c r="G1048" t="str">
        <f t="shared" si="16"/>
        <v>2023-06</v>
      </c>
    </row>
    <row r="1049" spans="1:7" x14ac:dyDescent="0.3">
      <c r="A1049">
        <v>3998</v>
      </c>
      <c r="B1049" t="s">
        <v>37</v>
      </c>
      <c r="C1049" s="7">
        <v>97.720588235294102</v>
      </c>
      <c r="D1049" s="1">
        <v>45082</v>
      </c>
      <c r="E1049" s="29">
        <v>4.5</v>
      </c>
      <c r="F1049" t="s">
        <v>1</v>
      </c>
      <c r="G1049" t="str">
        <f t="shared" si="16"/>
        <v>2023-06</v>
      </c>
    </row>
    <row r="1050" spans="1:7" x14ac:dyDescent="0.3">
      <c r="A1050">
        <v>3983</v>
      </c>
      <c r="B1050" t="s">
        <v>26</v>
      </c>
      <c r="C1050" s="7">
        <v>167</v>
      </c>
      <c r="D1050" s="1">
        <v>45040</v>
      </c>
      <c r="E1050" s="29">
        <v>2.1</v>
      </c>
      <c r="F1050" t="s">
        <v>1</v>
      </c>
      <c r="G1050" t="str">
        <f t="shared" si="16"/>
        <v>2023-04</v>
      </c>
    </row>
    <row r="1051" spans="1:7" x14ac:dyDescent="0.3">
      <c r="A1051">
        <v>4012</v>
      </c>
      <c r="B1051" t="s">
        <v>20</v>
      </c>
      <c r="C1051" s="7">
        <v>50</v>
      </c>
      <c r="D1051" s="1">
        <v>44848</v>
      </c>
      <c r="E1051" s="29">
        <v>3.1</v>
      </c>
      <c r="F1051" t="s">
        <v>1</v>
      </c>
      <c r="G1051" t="str">
        <f t="shared" si="16"/>
        <v>2022-10</v>
      </c>
    </row>
    <row r="1052" spans="1:7" x14ac:dyDescent="0.3">
      <c r="A1052">
        <v>3996</v>
      </c>
      <c r="B1052" t="s">
        <v>11</v>
      </c>
      <c r="C1052" s="7">
        <v>157</v>
      </c>
      <c r="D1052" s="1">
        <v>44997</v>
      </c>
      <c r="E1052" s="29">
        <v>4.7</v>
      </c>
      <c r="F1052" t="s">
        <v>1</v>
      </c>
      <c r="G1052" t="str">
        <f t="shared" si="16"/>
        <v>2023-03</v>
      </c>
    </row>
    <row r="1053" spans="1:7" x14ac:dyDescent="0.3">
      <c r="A1053">
        <v>4085</v>
      </c>
      <c r="B1053" t="s">
        <v>51</v>
      </c>
      <c r="C1053" s="7">
        <v>58</v>
      </c>
      <c r="D1053" s="1">
        <v>45162</v>
      </c>
      <c r="E1053" s="29">
        <v>4.8</v>
      </c>
      <c r="F1053" t="s">
        <v>1</v>
      </c>
      <c r="G1053" t="str">
        <f t="shared" si="16"/>
        <v>2023-08</v>
      </c>
    </row>
    <row r="1054" spans="1:7" x14ac:dyDescent="0.3">
      <c r="A1054">
        <v>4013</v>
      </c>
      <c r="B1054" t="s">
        <v>7</v>
      </c>
      <c r="C1054" s="7">
        <v>137</v>
      </c>
      <c r="D1054" s="1">
        <v>45001</v>
      </c>
      <c r="E1054" s="29">
        <v>4.5</v>
      </c>
      <c r="F1054" t="s">
        <v>4</v>
      </c>
      <c r="G1054" t="str">
        <f t="shared" si="16"/>
        <v>2023-03</v>
      </c>
    </row>
    <row r="1055" spans="1:7" x14ac:dyDescent="0.3">
      <c r="A1055">
        <v>4005</v>
      </c>
      <c r="B1055" t="s">
        <v>22</v>
      </c>
      <c r="C1055" s="7">
        <v>129</v>
      </c>
      <c r="D1055" s="1">
        <v>44847</v>
      </c>
      <c r="E1055" s="29">
        <v>3.3</v>
      </c>
      <c r="F1055" t="s">
        <v>1</v>
      </c>
      <c r="G1055" t="str">
        <f t="shared" si="16"/>
        <v>2022-10</v>
      </c>
    </row>
    <row r="1056" spans="1:7" x14ac:dyDescent="0.3">
      <c r="A1056">
        <v>4100</v>
      </c>
      <c r="B1056" t="s">
        <v>7</v>
      </c>
      <c r="C1056" s="7">
        <v>88</v>
      </c>
      <c r="D1056" s="1">
        <v>45179</v>
      </c>
      <c r="E1056" s="29">
        <v>2.8953488372092999</v>
      </c>
      <c r="F1056" t="s">
        <v>1</v>
      </c>
      <c r="G1056" t="str">
        <f t="shared" si="16"/>
        <v>2023-09</v>
      </c>
    </row>
    <row r="1057" spans="1:7" x14ac:dyDescent="0.3">
      <c r="A1057">
        <v>4114</v>
      </c>
      <c r="B1057" t="s">
        <v>40</v>
      </c>
      <c r="C1057" s="7">
        <v>33</v>
      </c>
      <c r="D1057" s="1">
        <v>45162</v>
      </c>
      <c r="E1057" s="29">
        <v>2.8</v>
      </c>
      <c r="F1057" t="s">
        <v>1</v>
      </c>
      <c r="G1057" t="str">
        <f t="shared" si="16"/>
        <v>2023-08</v>
      </c>
    </row>
    <row r="1058" spans="1:7" x14ac:dyDescent="0.3">
      <c r="A1058">
        <v>4091</v>
      </c>
      <c r="B1058" t="s">
        <v>10</v>
      </c>
      <c r="C1058" s="7">
        <v>139</v>
      </c>
      <c r="D1058" s="1">
        <v>44990</v>
      </c>
      <c r="E1058" s="29">
        <v>2.91904761904761</v>
      </c>
      <c r="F1058" t="s">
        <v>1</v>
      </c>
      <c r="G1058" t="str">
        <f t="shared" si="16"/>
        <v>2023-03</v>
      </c>
    </row>
    <row r="1059" spans="1:7" x14ac:dyDescent="0.3">
      <c r="A1059">
        <v>4093</v>
      </c>
      <c r="B1059" t="s">
        <v>50</v>
      </c>
      <c r="C1059" s="7">
        <v>71</v>
      </c>
      <c r="D1059" s="1">
        <v>45128</v>
      </c>
      <c r="E1059" s="29">
        <v>3.7</v>
      </c>
      <c r="F1059" t="s">
        <v>4</v>
      </c>
      <c r="G1059" t="str">
        <f t="shared" si="16"/>
        <v>2023-07</v>
      </c>
    </row>
    <row r="1060" spans="1:7" x14ac:dyDescent="0.3">
      <c r="A1060">
        <v>4098</v>
      </c>
      <c r="B1060" t="s">
        <v>8</v>
      </c>
      <c r="C1060" s="7">
        <v>100</v>
      </c>
      <c r="D1060" s="1">
        <v>44906</v>
      </c>
      <c r="E1060" s="29">
        <v>3</v>
      </c>
      <c r="F1060" t="s">
        <v>4</v>
      </c>
      <c r="G1060" t="str">
        <f t="shared" si="16"/>
        <v>2022-12</v>
      </c>
    </row>
    <row r="1061" spans="1:7" x14ac:dyDescent="0.3">
      <c r="A1061">
        <v>3986</v>
      </c>
      <c r="B1061" t="s">
        <v>37</v>
      </c>
      <c r="C1061" s="7">
        <v>97.720588235294102</v>
      </c>
      <c r="D1061" s="1">
        <v>44907</v>
      </c>
      <c r="E1061" s="29">
        <v>4.9000000000000004</v>
      </c>
      <c r="F1061" t="s">
        <v>4</v>
      </c>
      <c r="G1061" t="str">
        <f t="shared" si="16"/>
        <v>2022-12</v>
      </c>
    </row>
    <row r="1062" spans="1:7" x14ac:dyDescent="0.3">
      <c r="A1062">
        <v>4063</v>
      </c>
      <c r="B1062" t="s">
        <v>28</v>
      </c>
      <c r="C1062" s="7">
        <v>162</v>
      </c>
      <c r="D1062" s="1">
        <v>44896</v>
      </c>
      <c r="E1062" s="29">
        <v>1.9</v>
      </c>
      <c r="F1062" t="s">
        <v>1</v>
      </c>
      <c r="G1062" t="str">
        <f t="shared" si="16"/>
        <v>2022-12</v>
      </c>
    </row>
    <row r="1063" spans="1:7" x14ac:dyDescent="0.3">
      <c r="A1063">
        <v>4074</v>
      </c>
      <c r="B1063" t="s">
        <v>50</v>
      </c>
      <c r="C1063" s="7">
        <v>177</v>
      </c>
      <c r="D1063" s="1">
        <v>45191</v>
      </c>
      <c r="E1063" s="29">
        <v>1.9</v>
      </c>
      <c r="F1063" t="s">
        <v>4</v>
      </c>
      <c r="G1063" t="str">
        <f t="shared" si="16"/>
        <v>2023-09</v>
      </c>
    </row>
    <row r="1064" spans="1:7" x14ac:dyDescent="0.3">
      <c r="A1064">
        <v>3976</v>
      </c>
      <c r="B1064" t="s">
        <v>47</v>
      </c>
      <c r="C1064" s="7">
        <v>83</v>
      </c>
      <c r="D1064" s="1">
        <v>45069</v>
      </c>
      <c r="E1064" s="29">
        <v>3.1235294117647001</v>
      </c>
      <c r="F1064" t="s">
        <v>1</v>
      </c>
      <c r="G1064" t="str">
        <f t="shared" si="16"/>
        <v>2023-05</v>
      </c>
    </row>
    <row r="1065" spans="1:7" x14ac:dyDescent="0.3">
      <c r="A1065">
        <v>3986</v>
      </c>
      <c r="B1065" t="s">
        <v>31</v>
      </c>
      <c r="C1065" s="7">
        <v>37</v>
      </c>
      <c r="D1065" s="1">
        <v>44866</v>
      </c>
      <c r="E1065" s="29">
        <v>1.1000000000000001</v>
      </c>
      <c r="F1065" t="s">
        <v>1</v>
      </c>
      <c r="G1065" t="str">
        <f t="shared" si="16"/>
        <v>2022-11</v>
      </c>
    </row>
    <row r="1066" spans="1:7" x14ac:dyDescent="0.3">
      <c r="A1066">
        <v>3990</v>
      </c>
      <c r="B1066" t="s">
        <v>48</v>
      </c>
      <c r="C1066" s="7">
        <v>77</v>
      </c>
      <c r="D1066" s="1">
        <v>44970</v>
      </c>
      <c r="E1066" s="29">
        <v>4.4000000000000004</v>
      </c>
      <c r="F1066" t="s">
        <v>1</v>
      </c>
      <c r="G1066" t="str">
        <f t="shared" si="16"/>
        <v>2023-02</v>
      </c>
    </row>
    <row r="1067" spans="1:7" x14ac:dyDescent="0.3">
      <c r="A1067">
        <v>3961</v>
      </c>
      <c r="B1067" t="s">
        <v>31</v>
      </c>
      <c r="C1067" s="7">
        <v>113</v>
      </c>
      <c r="D1067" s="1">
        <v>45167</v>
      </c>
      <c r="E1067" s="29">
        <v>3.2</v>
      </c>
      <c r="F1067" t="s">
        <v>4</v>
      </c>
      <c r="G1067" t="str">
        <f t="shared" si="16"/>
        <v>2023-08</v>
      </c>
    </row>
    <row r="1068" spans="1:7" x14ac:dyDescent="0.3">
      <c r="A1068">
        <v>4079</v>
      </c>
      <c r="B1068" t="s">
        <v>16</v>
      </c>
      <c r="C1068" s="7">
        <v>112</v>
      </c>
      <c r="D1068" s="1">
        <v>45123</v>
      </c>
      <c r="E1068" s="29">
        <v>2.6</v>
      </c>
      <c r="F1068" t="s">
        <v>4</v>
      </c>
      <c r="G1068" t="str">
        <f t="shared" si="16"/>
        <v>2023-07</v>
      </c>
    </row>
    <row r="1069" spans="1:7" x14ac:dyDescent="0.3">
      <c r="A1069">
        <v>4046</v>
      </c>
      <c r="B1069" t="s">
        <v>2</v>
      </c>
      <c r="C1069" s="7">
        <v>93.340909090909093</v>
      </c>
      <c r="D1069" s="1">
        <v>45052</v>
      </c>
      <c r="E1069" s="29">
        <v>3.3</v>
      </c>
      <c r="F1069" t="s">
        <v>1</v>
      </c>
      <c r="G1069" t="str">
        <f t="shared" si="16"/>
        <v>2023-05</v>
      </c>
    </row>
    <row r="1070" spans="1:7" x14ac:dyDescent="0.3">
      <c r="A1070">
        <v>4036</v>
      </c>
      <c r="B1070" t="s">
        <v>10</v>
      </c>
      <c r="C1070" s="7">
        <v>102</v>
      </c>
      <c r="D1070" s="1">
        <v>45194</v>
      </c>
      <c r="E1070" s="29">
        <v>4.5999999999999996</v>
      </c>
      <c r="F1070" t="s">
        <v>4</v>
      </c>
      <c r="G1070" t="str">
        <f t="shared" si="16"/>
        <v>2023-09</v>
      </c>
    </row>
    <row r="1071" spans="1:7" x14ac:dyDescent="0.3">
      <c r="A1071">
        <v>4049</v>
      </c>
      <c r="B1071" t="s">
        <v>44</v>
      </c>
      <c r="C1071" s="7">
        <v>28</v>
      </c>
      <c r="D1071" s="1">
        <v>44875</v>
      </c>
      <c r="E1071" s="29">
        <v>4</v>
      </c>
      <c r="F1071" t="s">
        <v>1</v>
      </c>
      <c r="G1071" t="str">
        <f t="shared" si="16"/>
        <v>2022-11</v>
      </c>
    </row>
    <row r="1072" spans="1:7" x14ac:dyDescent="0.3">
      <c r="A1072">
        <v>3992</v>
      </c>
      <c r="B1072" t="s">
        <v>15</v>
      </c>
      <c r="C1072" s="7">
        <v>125</v>
      </c>
      <c r="D1072" s="1">
        <v>45115</v>
      </c>
      <c r="E1072" s="29">
        <v>4.9000000000000004</v>
      </c>
      <c r="F1072" t="s">
        <v>4</v>
      </c>
      <c r="G1072" t="str">
        <f t="shared" si="16"/>
        <v>2023-07</v>
      </c>
    </row>
    <row r="1073" spans="1:7" x14ac:dyDescent="0.3">
      <c r="A1073">
        <v>4070</v>
      </c>
      <c r="B1073" t="s">
        <v>8</v>
      </c>
      <c r="C1073" s="7">
        <v>81</v>
      </c>
      <c r="D1073" s="1">
        <v>45041</v>
      </c>
      <c r="E1073" s="29">
        <v>2.1</v>
      </c>
      <c r="F1073" t="s">
        <v>4</v>
      </c>
      <c r="G1073" t="str">
        <f t="shared" si="16"/>
        <v>2023-04</v>
      </c>
    </row>
    <row r="1074" spans="1:7" x14ac:dyDescent="0.3">
      <c r="A1074">
        <v>4109</v>
      </c>
      <c r="B1074" t="s">
        <v>9</v>
      </c>
      <c r="C1074" s="7">
        <v>169</v>
      </c>
      <c r="D1074" s="1">
        <v>45185</v>
      </c>
      <c r="E1074" s="29">
        <v>4.5999999999999996</v>
      </c>
      <c r="F1074" t="s">
        <v>1</v>
      </c>
      <c r="G1074" t="str">
        <f t="shared" si="16"/>
        <v>2023-09</v>
      </c>
    </row>
    <row r="1075" spans="1:7" x14ac:dyDescent="0.3">
      <c r="A1075">
        <v>4090</v>
      </c>
      <c r="B1075" t="s">
        <v>2</v>
      </c>
      <c r="C1075" s="7">
        <v>40</v>
      </c>
      <c r="D1075" s="1">
        <v>45062</v>
      </c>
      <c r="E1075" s="29">
        <v>2.2999999999999998</v>
      </c>
      <c r="F1075" t="s">
        <v>1</v>
      </c>
      <c r="G1075" t="str">
        <f t="shared" si="16"/>
        <v>2023-05</v>
      </c>
    </row>
    <row r="1076" spans="1:7" x14ac:dyDescent="0.3">
      <c r="A1076">
        <v>4044</v>
      </c>
      <c r="B1076" t="s">
        <v>40</v>
      </c>
      <c r="C1076" s="7">
        <v>106.80769230769199</v>
      </c>
      <c r="D1076" s="1">
        <v>44851</v>
      </c>
      <c r="E1076" s="29">
        <v>4.8</v>
      </c>
      <c r="F1076" t="s">
        <v>4</v>
      </c>
      <c r="G1076" t="str">
        <f t="shared" si="16"/>
        <v>2022-10</v>
      </c>
    </row>
    <row r="1077" spans="1:7" x14ac:dyDescent="0.3">
      <c r="A1077">
        <v>4001</v>
      </c>
      <c r="B1077" t="s">
        <v>22</v>
      </c>
      <c r="C1077" s="7">
        <v>107.949152542372</v>
      </c>
      <c r="D1077" s="1">
        <v>45044</v>
      </c>
      <c r="E1077" s="29">
        <v>4.4000000000000004</v>
      </c>
      <c r="F1077" t="s">
        <v>1</v>
      </c>
      <c r="G1077" t="str">
        <f t="shared" si="16"/>
        <v>2023-04</v>
      </c>
    </row>
    <row r="1078" spans="1:7" x14ac:dyDescent="0.3">
      <c r="A1078">
        <v>4034</v>
      </c>
      <c r="B1078" t="s">
        <v>31</v>
      </c>
      <c r="C1078" s="7">
        <v>96</v>
      </c>
      <c r="D1078" s="1">
        <v>45036</v>
      </c>
      <c r="E1078" s="29">
        <v>2</v>
      </c>
      <c r="F1078" t="s">
        <v>1</v>
      </c>
      <c r="G1078" t="str">
        <f t="shared" si="16"/>
        <v>2023-04</v>
      </c>
    </row>
    <row r="1079" spans="1:7" x14ac:dyDescent="0.3">
      <c r="A1079">
        <v>3964</v>
      </c>
      <c r="B1079" t="s">
        <v>42</v>
      </c>
      <c r="C1079" s="7">
        <v>103</v>
      </c>
      <c r="D1079" s="1">
        <v>44941</v>
      </c>
      <c r="E1079" s="29">
        <v>1.5</v>
      </c>
      <c r="F1079" t="s">
        <v>4</v>
      </c>
      <c r="G1079" t="str">
        <f t="shared" si="16"/>
        <v>2023-01</v>
      </c>
    </row>
    <row r="1080" spans="1:7" x14ac:dyDescent="0.3">
      <c r="A1080">
        <v>3987</v>
      </c>
      <c r="B1080" t="s">
        <v>22</v>
      </c>
      <c r="C1080" s="7">
        <v>60</v>
      </c>
      <c r="D1080" s="1">
        <v>44931</v>
      </c>
      <c r="E1080" s="29">
        <v>4.0999999999999996</v>
      </c>
      <c r="F1080" t="s">
        <v>4</v>
      </c>
      <c r="G1080" t="str">
        <f t="shared" si="16"/>
        <v>2023-01</v>
      </c>
    </row>
    <row r="1081" spans="1:7" x14ac:dyDescent="0.3">
      <c r="A1081">
        <v>4013</v>
      </c>
      <c r="B1081" t="s">
        <v>11</v>
      </c>
      <c r="C1081" s="7">
        <v>112</v>
      </c>
      <c r="D1081" s="1">
        <v>44867</v>
      </c>
      <c r="E1081" s="29">
        <v>2.9</v>
      </c>
      <c r="F1081" t="s">
        <v>1</v>
      </c>
      <c r="G1081" t="str">
        <f t="shared" si="16"/>
        <v>2022-11</v>
      </c>
    </row>
    <row r="1082" spans="1:7" x14ac:dyDescent="0.3">
      <c r="A1082">
        <v>3989</v>
      </c>
      <c r="B1082" t="s">
        <v>48</v>
      </c>
      <c r="C1082" s="7">
        <v>21</v>
      </c>
      <c r="D1082" s="1">
        <v>44871</v>
      </c>
      <c r="E1082" s="29">
        <v>4.2</v>
      </c>
      <c r="F1082" t="s">
        <v>1</v>
      </c>
      <c r="G1082" t="str">
        <f t="shared" si="16"/>
        <v>2022-11</v>
      </c>
    </row>
    <row r="1083" spans="1:7" x14ac:dyDescent="0.3">
      <c r="A1083">
        <v>3993</v>
      </c>
      <c r="B1083" t="s">
        <v>15</v>
      </c>
      <c r="C1083" s="7">
        <v>103.108695652173</v>
      </c>
      <c r="D1083" s="1">
        <v>45041</v>
      </c>
      <c r="E1083" s="29">
        <v>3.9</v>
      </c>
      <c r="F1083" t="s">
        <v>1</v>
      </c>
      <c r="G1083" t="str">
        <f t="shared" si="16"/>
        <v>2023-04</v>
      </c>
    </row>
    <row r="1084" spans="1:7" x14ac:dyDescent="0.3">
      <c r="A1084">
        <v>4015</v>
      </c>
      <c r="B1084" t="s">
        <v>30</v>
      </c>
      <c r="C1084" s="7">
        <v>131</v>
      </c>
      <c r="D1084" s="1">
        <v>44919</v>
      </c>
      <c r="E1084" s="29">
        <v>3.6</v>
      </c>
      <c r="F1084" t="s">
        <v>4</v>
      </c>
      <c r="G1084" t="str">
        <f t="shared" si="16"/>
        <v>2022-12</v>
      </c>
    </row>
    <row r="1085" spans="1:7" x14ac:dyDescent="0.3">
      <c r="A1085">
        <v>4035</v>
      </c>
      <c r="B1085" t="s">
        <v>35</v>
      </c>
      <c r="C1085" s="7">
        <v>48</v>
      </c>
      <c r="D1085" s="1">
        <v>45131</v>
      </c>
      <c r="E1085" s="29">
        <v>4.9000000000000004</v>
      </c>
      <c r="F1085" t="s">
        <v>1</v>
      </c>
      <c r="G1085" t="str">
        <f t="shared" si="16"/>
        <v>2023-07</v>
      </c>
    </row>
    <row r="1086" spans="1:7" x14ac:dyDescent="0.3">
      <c r="A1086">
        <v>3989</v>
      </c>
      <c r="B1086" t="s">
        <v>30</v>
      </c>
      <c r="C1086" s="7">
        <v>141</v>
      </c>
      <c r="D1086" s="1">
        <v>45182</v>
      </c>
      <c r="E1086" s="29">
        <v>3.3</v>
      </c>
      <c r="F1086" t="s">
        <v>1</v>
      </c>
      <c r="G1086" t="str">
        <f t="shared" si="16"/>
        <v>2023-09</v>
      </c>
    </row>
    <row r="1087" spans="1:7" x14ac:dyDescent="0.3">
      <c r="A1087">
        <v>4010</v>
      </c>
      <c r="B1087" t="s">
        <v>23</v>
      </c>
      <c r="C1087" s="7">
        <v>107.68518518518501</v>
      </c>
      <c r="D1087" s="1">
        <v>44843</v>
      </c>
      <c r="E1087" s="29">
        <v>3.1303030303030299</v>
      </c>
      <c r="F1087" t="s">
        <v>1</v>
      </c>
      <c r="G1087" t="str">
        <f t="shared" si="16"/>
        <v>2022-10</v>
      </c>
    </row>
    <row r="1088" spans="1:7" x14ac:dyDescent="0.3">
      <c r="A1088">
        <v>3990</v>
      </c>
      <c r="B1088" t="s">
        <v>47</v>
      </c>
      <c r="C1088" s="7">
        <v>91</v>
      </c>
      <c r="D1088" s="1">
        <v>45078</v>
      </c>
      <c r="E1088" s="29">
        <v>3</v>
      </c>
      <c r="F1088" t="s">
        <v>4</v>
      </c>
      <c r="G1088" t="str">
        <f t="shared" si="16"/>
        <v>2023-06</v>
      </c>
    </row>
    <row r="1089" spans="1:7" x14ac:dyDescent="0.3">
      <c r="A1089">
        <v>3977</v>
      </c>
      <c r="B1089" t="s">
        <v>10</v>
      </c>
      <c r="C1089" s="7">
        <v>120.375</v>
      </c>
      <c r="D1089" s="1">
        <v>44934</v>
      </c>
      <c r="E1089" s="29">
        <v>4.8</v>
      </c>
      <c r="F1089" t="s">
        <v>1</v>
      </c>
      <c r="G1089" t="str">
        <f t="shared" si="16"/>
        <v>2023-01</v>
      </c>
    </row>
    <row r="1090" spans="1:7" x14ac:dyDescent="0.3">
      <c r="A1090">
        <v>4065</v>
      </c>
      <c r="B1090" t="s">
        <v>12</v>
      </c>
      <c r="C1090" s="7">
        <v>199</v>
      </c>
      <c r="D1090" s="1">
        <v>45133</v>
      </c>
      <c r="E1090" s="29">
        <v>3.2</v>
      </c>
      <c r="F1090" t="s">
        <v>1</v>
      </c>
      <c r="G1090" t="str">
        <f t="shared" si="16"/>
        <v>2023-07</v>
      </c>
    </row>
    <row r="1091" spans="1:7" x14ac:dyDescent="0.3">
      <c r="A1091">
        <v>3985</v>
      </c>
      <c r="B1091" t="s">
        <v>13</v>
      </c>
      <c r="C1091" s="7">
        <v>161</v>
      </c>
      <c r="D1091" s="1">
        <v>45133</v>
      </c>
      <c r="E1091" s="29">
        <v>1.2</v>
      </c>
      <c r="F1091" t="s">
        <v>4</v>
      </c>
      <c r="G1091" t="str">
        <f t="shared" ref="G1091:G1154" si="17">TEXT(D1091,"ГГГГ-ММ")</f>
        <v>2023-07</v>
      </c>
    </row>
    <row r="1092" spans="1:7" x14ac:dyDescent="0.3">
      <c r="A1092">
        <v>3976</v>
      </c>
      <c r="B1092" t="s">
        <v>13</v>
      </c>
      <c r="C1092" s="7">
        <v>140</v>
      </c>
      <c r="D1092" s="1">
        <v>44926</v>
      </c>
      <c r="E1092" s="29">
        <v>4.5</v>
      </c>
      <c r="F1092" t="s">
        <v>1</v>
      </c>
      <c r="G1092" t="str">
        <f t="shared" si="17"/>
        <v>2022-12</v>
      </c>
    </row>
    <row r="1093" spans="1:7" x14ac:dyDescent="0.3">
      <c r="A1093">
        <v>3961</v>
      </c>
      <c r="B1093" t="s">
        <v>49</v>
      </c>
      <c r="C1093" s="7">
        <v>191</v>
      </c>
      <c r="D1093" s="1">
        <v>45096</v>
      </c>
      <c r="E1093" s="29">
        <v>3.7</v>
      </c>
      <c r="F1093" t="s">
        <v>4</v>
      </c>
      <c r="G1093" t="str">
        <f t="shared" si="17"/>
        <v>2023-06</v>
      </c>
    </row>
    <row r="1094" spans="1:7" x14ac:dyDescent="0.3">
      <c r="A1094">
        <v>4080</v>
      </c>
      <c r="B1094" t="s">
        <v>44</v>
      </c>
      <c r="C1094" s="7">
        <v>131</v>
      </c>
      <c r="D1094" s="1">
        <v>45151</v>
      </c>
      <c r="E1094" s="29">
        <v>2.92063492063492</v>
      </c>
      <c r="F1094" t="s">
        <v>1</v>
      </c>
      <c r="G1094" t="str">
        <f t="shared" si="17"/>
        <v>2023-08</v>
      </c>
    </row>
    <row r="1095" spans="1:7" x14ac:dyDescent="0.3">
      <c r="A1095">
        <v>4067</v>
      </c>
      <c r="B1095" t="s">
        <v>36</v>
      </c>
      <c r="C1095" s="7">
        <v>104</v>
      </c>
      <c r="D1095" s="1">
        <v>44877</v>
      </c>
      <c r="E1095" s="29">
        <v>3.3</v>
      </c>
      <c r="F1095" t="s">
        <v>1</v>
      </c>
      <c r="G1095" t="str">
        <f t="shared" si="17"/>
        <v>2022-11</v>
      </c>
    </row>
    <row r="1096" spans="1:7" x14ac:dyDescent="0.3">
      <c r="A1096">
        <v>3967</v>
      </c>
      <c r="B1096" t="s">
        <v>5</v>
      </c>
      <c r="C1096" s="7">
        <v>38</v>
      </c>
      <c r="D1096" s="1">
        <v>45180</v>
      </c>
      <c r="E1096" s="29">
        <v>3.9</v>
      </c>
      <c r="F1096" t="s">
        <v>1</v>
      </c>
      <c r="G1096" t="str">
        <f t="shared" si="17"/>
        <v>2023-09</v>
      </c>
    </row>
    <row r="1097" spans="1:7" x14ac:dyDescent="0.3">
      <c r="A1097">
        <v>4007</v>
      </c>
      <c r="B1097" t="s">
        <v>8</v>
      </c>
      <c r="C1097" s="7">
        <v>159</v>
      </c>
      <c r="D1097" s="1">
        <v>45126</v>
      </c>
      <c r="E1097" s="29">
        <v>3</v>
      </c>
      <c r="F1097" t="s">
        <v>4</v>
      </c>
      <c r="G1097" t="str">
        <f t="shared" si="17"/>
        <v>2023-07</v>
      </c>
    </row>
    <row r="1098" spans="1:7" x14ac:dyDescent="0.3">
      <c r="A1098">
        <v>3984</v>
      </c>
      <c r="B1098" t="s">
        <v>25</v>
      </c>
      <c r="C1098" s="7">
        <v>195</v>
      </c>
      <c r="D1098" s="1">
        <v>45110</v>
      </c>
      <c r="E1098" s="29">
        <v>4.8</v>
      </c>
      <c r="F1098" t="s">
        <v>4</v>
      </c>
      <c r="G1098" t="str">
        <f t="shared" si="17"/>
        <v>2023-07</v>
      </c>
    </row>
    <row r="1099" spans="1:7" x14ac:dyDescent="0.3">
      <c r="A1099">
        <v>3965</v>
      </c>
      <c r="B1099" t="s">
        <v>10</v>
      </c>
      <c r="C1099" s="7">
        <v>171</v>
      </c>
      <c r="D1099" s="1">
        <v>44917</v>
      </c>
      <c r="E1099" s="29">
        <v>1.9</v>
      </c>
      <c r="F1099" t="s">
        <v>4</v>
      </c>
      <c r="G1099" t="str">
        <f t="shared" si="17"/>
        <v>2022-12</v>
      </c>
    </row>
    <row r="1100" spans="1:7" x14ac:dyDescent="0.3">
      <c r="A1100">
        <v>4088</v>
      </c>
      <c r="B1100" t="s">
        <v>48</v>
      </c>
      <c r="C1100" s="7">
        <v>107.26027397260199</v>
      </c>
      <c r="D1100" s="1">
        <v>45087</v>
      </c>
      <c r="E1100" s="29">
        <v>3.2</v>
      </c>
      <c r="F1100" t="s">
        <v>4</v>
      </c>
      <c r="G1100" t="str">
        <f t="shared" si="17"/>
        <v>2023-06</v>
      </c>
    </row>
    <row r="1101" spans="1:7" x14ac:dyDescent="0.3">
      <c r="A1101">
        <v>4108</v>
      </c>
      <c r="B1101" t="s">
        <v>51</v>
      </c>
      <c r="C1101" s="7">
        <v>177</v>
      </c>
      <c r="D1101" s="1">
        <v>44897</v>
      </c>
      <c r="E1101" s="29">
        <v>2.2999999999999998</v>
      </c>
      <c r="F1101" t="s">
        <v>4</v>
      </c>
      <c r="G1101" t="str">
        <f t="shared" si="17"/>
        <v>2022-12</v>
      </c>
    </row>
    <row r="1102" spans="1:7" x14ac:dyDescent="0.3">
      <c r="A1102">
        <v>3972</v>
      </c>
      <c r="B1102" t="s">
        <v>17</v>
      </c>
      <c r="C1102" s="7">
        <v>158</v>
      </c>
      <c r="D1102" s="1">
        <v>45123</v>
      </c>
      <c r="E1102" s="29">
        <v>4.5</v>
      </c>
      <c r="F1102" t="s">
        <v>4</v>
      </c>
      <c r="G1102" t="str">
        <f t="shared" si="17"/>
        <v>2023-07</v>
      </c>
    </row>
    <row r="1103" spans="1:7" x14ac:dyDescent="0.3">
      <c r="A1103">
        <v>4077</v>
      </c>
      <c r="B1103" t="s">
        <v>10</v>
      </c>
      <c r="C1103" s="7">
        <v>194</v>
      </c>
      <c r="D1103" s="1">
        <v>44914</v>
      </c>
      <c r="E1103" s="29">
        <v>1.6</v>
      </c>
      <c r="F1103" t="s">
        <v>1</v>
      </c>
      <c r="G1103" t="str">
        <f t="shared" si="17"/>
        <v>2022-12</v>
      </c>
    </row>
    <row r="1104" spans="1:7" x14ac:dyDescent="0.3">
      <c r="A1104">
        <v>3987</v>
      </c>
      <c r="B1104" t="s">
        <v>32</v>
      </c>
      <c r="C1104" s="7">
        <v>84.528571428571396</v>
      </c>
      <c r="D1104" s="1">
        <v>45050</v>
      </c>
      <c r="E1104" s="29">
        <v>3.7</v>
      </c>
      <c r="F1104" t="s">
        <v>4</v>
      </c>
      <c r="G1104" t="str">
        <f t="shared" si="17"/>
        <v>2023-05</v>
      </c>
    </row>
    <row r="1105" spans="1:7" x14ac:dyDescent="0.3">
      <c r="A1105">
        <v>4021</v>
      </c>
      <c r="B1105" t="s">
        <v>50</v>
      </c>
      <c r="C1105" s="7">
        <v>144</v>
      </c>
      <c r="D1105" s="1">
        <v>45195</v>
      </c>
      <c r="E1105" s="29">
        <v>1</v>
      </c>
      <c r="F1105" t="s">
        <v>4</v>
      </c>
      <c r="G1105" t="str">
        <f t="shared" si="17"/>
        <v>2023-09</v>
      </c>
    </row>
    <row r="1106" spans="1:7" x14ac:dyDescent="0.3">
      <c r="A1106">
        <v>3968</v>
      </c>
      <c r="B1106" t="s">
        <v>36</v>
      </c>
      <c r="C1106" s="7">
        <v>168</v>
      </c>
      <c r="D1106" s="1">
        <v>45001</v>
      </c>
      <c r="E1106" s="29">
        <v>3.8</v>
      </c>
      <c r="F1106" t="s">
        <v>4</v>
      </c>
      <c r="G1106" t="str">
        <f t="shared" si="17"/>
        <v>2023-03</v>
      </c>
    </row>
    <row r="1107" spans="1:7" x14ac:dyDescent="0.3">
      <c r="A1107">
        <v>3973</v>
      </c>
      <c r="B1107" t="s">
        <v>28</v>
      </c>
      <c r="C1107" s="7">
        <v>107</v>
      </c>
      <c r="D1107" s="1">
        <v>44940</v>
      </c>
      <c r="E1107" s="29">
        <v>1.5</v>
      </c>
      <c r="F1107" t="s">
        <v>1</v>
      </c>
      <c r="G1107" t="str">
        <f t="shared" si="17"/>
        <v>2023-01</v>
      </c>
    </row>
    <row r="1108" spans="1:7" x14ac:dyDescent="0.3">
      <c r="A1108">
        <v>4034</v>
      </c>
      <c r="B1108" t="s">
        <v>49</v>
      </c>
      <c r="C1108" s="7">
        <v>114.217391304347</v>
      </c>
      <c r="D1108" s="1">
        <v>44955</v>
      </c>
      <c r="E1108" s="29">
        <v>3.5</v>
      </c>
      <c r="F1108" t="s">
        <v>1</v>
      </c>
      <c r="G1108" t="str">
        <f t="shared" si="17"/>
        <v>2023-01</v>
      </c>
    </row>
    <row r="1109" spans="1:7" x14ac:dyDescent="0.3">
      <c r="A1109">
        <v>3959</v>
      </c>
      <c r="B1109" t="s">
        <v>23</v>
      </c>
      <c r="C1109" s="7">
        <v>18</v>
      </c>
      <c r="D1109" s="1">
        <v>45073</v>
      </c>
      <c r="E1109" s="29">
        <v>3.9</v>
      </c>
      <c r="F1109" t="s">
        <v>1</v>
      </c>
      <c r="G1109" t="str">
        <f t="shared" si="17"/>
        <v>2023-05</v>
      </c>
    </row>
    <row r="1110" spans="1:7" x14ac:dyDescent="0.3">
      <c r="A1110">
        <v>3981</v>
      </c>
      <c r="B1110" t="s">
        <v>3</v>
      </c>
      <c r="C1110" s="7">
        <v>189</v>
      </c>
      <c r="D1110" s="1">
        <v>44882</v>
      </c>
      <c r="E1110" s="29">
        <v>2</v>
      </c>
      <c r="F1110" t="s">
        <v>1</v>
      </c>
      <c r="G1110" t="str">
        <f t="shared" si="17"/>
        <v>2022-11</v>
      </c>
    </row>
    <row r="1111" spans="1:7" x14ac:dyDescent="0.3">
      <c r="A1111">
        <v>3988</v>
      </c>
      <c r="B1111" t="s">
        <v>21</v>
      </c>
      <c r="C1111" s="7">
        <v>120.22</v>
      </c>
      <c r="D1111" s="1">
        <v>45070</v>
      </c>
      <c r="E1111" s="29">
        <v>4</v>
      </c>
      <c r="F1111" t="s">
        <v>1</v>
      </c>
      <c r="G1111" t="str">
        <f t="shared" si="17"/>
        <v>2023-05</v>
      </c>
    </row>
    <row r="1112" spans="1:7" x14ac:dyDescent="0.3">
      <c r="A1112">
        <v>4111</v>
      </c>
      <c r="B1112" t="s">
        <v>23</v>
      </c>
      <c r="C1112" s="7">
        <v>107.68518518518501</v>
      </c>
      <c r="D1112" s="1">
        <v>44839</v>
      </c>
      <c r="E1112" s="29">
        <v>1.7</v>
      </c>
      <c r="F1112" t="s">
        <v>1</v>
      </c>
      <c r="G1112" t="str">
        <f t="shared" si="17"/>
        <v>2022-10</v>
      </c>
    </row>
    <row r="1113" spans="1:7" x14ac:dyDescent="0.3">
      <c r="A1113">
        <v>4009</v>
      </c>
      <c r="B1113" t="s">
        <v>9</v>
      </c>
      <c r="C1113" s="7">
        <v>48</v>
      </c>
      <c r="D1113" s="1">
        <v>45109</v>
      </c>
      <c r="E1113" s="29">
        <v>3</v>
      </c>
      <c r="F1113" t="s">
        <v>1</v>
      </c>
      <c r="G1113" t="str">
        <f t="shared" si="17"/>
        <v>2023-07</v>
      </c>
    </row>
    <row r="1114" spans="1:7" x14ac:dyDescent="0.3">
      <c r="A1114">
        <v>4107</v>
      </c>
      <c r="B1114" t="s">
        <v>37</v>
      </c>
      <c r="C1114" s="7">
        <v>62</v>
      </c>
      <c r="D1114" s="1">
        <v>45052</v>
      </c>
      <c r="E1114" s="29">
        <v>1.4</v>
      </c>
      <c r="F1114" t="s">
        <v>1</v>
      </c>
      <c r="G1114" t="str">
        <f t="shared" si="17"/>
        <v>2023-05</v>
      </c>
    </row>
    <row r="1115" spans="1:7" x14ac:dyDescent="0.3">
      <c r="A1115">
        <v>4008</v>
      </c>
      <c r="B1115" t="s">
        <v>6</v>
      </c>
      <c r="C1115" s="7">
        <v>166</v>
      </c>
      <c r="D1115" s="1">
        <v>44993</v>
      </c>
      <c r="E1115" s="29">
        <v>3.3</v>
      </c>
      <c r="F1115" t="s">
        <v>1</v>
      </c>
      <c r="G1115" t="str">
        <f t="shared" si="17"/>
        <v>2023-03</v>
      </c>
    </row>
    <row r="1116" spans="1:7" x14ac:dyDescent="0.3">
      <c r="A1116">
        <v>4004</v>
      </c>
      <c r="B1116" t="s">
        <v>8</v>
      </c>
      <c r="C1116" s="7">
        <v>198</v>
      </c>
      <c r="D1116" s="1">
        <v>45148</v>
      </c>
      <c r="E1116" s="29">
        <v>2.5</v>
      </c>
      <c r="F1116" t="s">
        <v>4</v>
      </c>
      <c r="G1116" t="str">
        <f t="shared" si="17"/>
        <v>2023-08</v>
      </c>
    </row>
    <row r="1117" spans="1:7" x14ac:dyDescent="0.3">
      <c r="A1117">
        <v>4046</v>
      </c>
      <c r="B1117" t="s">
        <v>28</v>
      </c>
      <c r="C1117" s="7">
        <v>190</v>
      </c>
      <c r="D1117" s="1">
        <v>44970</v>
      </c>
      <c r="E1117" s="29">
        <v>3.8</v>
      </c>
      <c r="F1117" t="s">
        <v>4</v>
      </c>
      <c r="G1117" t="str">
        <f t="shared" si="17"/>
        <v>2023-02</v>
      </c>
    </row>
    <row r="1118" spans="1:7" x14ac:dyDescent="0.3">
      <c r="A1118">
        <v>3964</v>
      </c>
      <c r="B1118" t="s">
        <v>37</v>
      </c>
      <c r="C1118" s="7">
        <v>97.720588235294102</v>
      </c>
      <c r="D1118" s="1">
        <v>44923</v>
      </c>
      <c r="E1118" s="29">
        <v>2.4</v>
      </c>
      <c r="F1118" t="s">
        <v>1</v>
      </c>
      <c r="G1118" t="str">
        <f t="shared" si="17"/>
        <v>2022-12</v>
      </c>
    </row>
    <row r="1119" spans="1:7" x14ac:dyDescent="0.3">
      <c r="A1119">
        <v>3980</v>
      </c>
      <c r="B1119" t="s">
        <v>42</v>
      </c>
      <c r="C1119" s="7">
        <v>93</v>
      </c>
      <c r="D1119" s="1">
        <v>45043</v>
      </c>
      <c r="E1119" s="29">
        <v>2.9761904761904701</v>
      </c>
      <c r="F1119" t="s">
        <v>4</v>
      </c>
      <c r="G1119" t="str">
        <f t="shared" si="17"/>
        <v>2023-04</v>
      </c>
    </row>
    <row r="1120" spans="1:7" x14ac:dyDescent="0.3">
      <c r="A1120">
        <v>3994</v>
      </c>
      <c r="B1120" t="s">
        <v>16</v>
      </c>
      <c r="C1120" s="7">
        <v>132</v>
      </c>
      <c r="D1120" s="1">
        <v>45136</v>
      </c>
      <c r="E1120" s="29">
        <v>3.8</v>
      </c>
      <c r="F1120" t="s">
        <v>1</v>
      </c>
      <c r="G1120" t="str">
        <f t="shared" si="17"/>
        <v>2023-07</v>
      </c>
    </row>
    <row r="1121" spans="1:7" x14ac:dyDescent="0.3">
      <c r="A1121">
        <v>4028</v>
      </c>
      <c r="B1121" t="s">
        <v>16</v>
      </c>
      <c r="C1121" s="7">
        <v>90</v>
      </c>
      <c r="D1121" s="1">
        <v>44985</v>
      </c>
      <c r="E1121" s="29">
        <v>3</v>
      </c>
      <c r="F1121" t="s">
        <v>1</v>
      </c>
      <c r="G1121" t="str">
        <f t="shared" si="17"/>
        <v>2023-02</v>
      </c>
    </row>
    <row r="1122" spans="1:7" x14ac:dyDescent="0.3">
      <c r="A1122">
        <v>4105</v>
      </c>
      <c r="B1122" t="s">
        <v>30</v>
      </c>
      <c r="C1122" s="7">
        <v>127</v>
      </c>
      <c r="D1122" s="1">
        <v>44916</v>
      </c>
      <c r="E1122" s="29">
        <v>2.6</v>
      </c>
      <c r="F1122" t="s">
        <v>1</v>
      </c>
      <c r="G1122" t="str">
        <f t="shared" si="17"/>
        <v>2022-12</v>
      </c>
    </row>
    <row r="1123" spans="1:7" x14ac:dyDescent="0.3">
      <c r="A1123">
        <v>4046</v>
      </c>
      <c r="B1123" t="s">
        <v>33</v>
      </c>
      <c r="C1123" s="7">
        <v>97</v>
      </c>
      <c r="D1123" s="1">
        <v>44851</v>
      </c>
      <c r="E1123" s="29">
        <v>4.9000000000000004</v>
      </c>
      <c r="F1123" t="s">
        <v>4</v>
      </c>
      <c r="G1123" t="str">
        <f t="shared" si="17"/>
        <v>2022-10</v>
      </c>
    </row>
    <row r="1124" spans="1:7" x14ac:dyDescent="0.3">
      <c r="A1124">
        <v>4047</v>
      </c>
      <c r="B1124" t="s">
        <v>13</v>
      </c>
      <c r="C1124" s="7">
        <v>183</v>
      </c>
      <c r="D1124" s="1">
        <v>44941</v>
      </c>
      <c r="E1124" s="29">
        <v>2.4</v>
      </c>
      <c r="F1124" t="s">
        <v>4</v>
      </c>
      <c r="G1124" t="str">
        <f t="shared" si="17"/>
        <v>2023-01</v>
      </c>
    </row>
    <row r="1125" spans="1:7" x14ac:dyDescent="0.3">
      <c r="A1125">
        <v>3998</v>
      </c>
      <c r="B1125" t="s">
        <v>37</v>
      </c>
      <c r="C1125" s="7">
        <v>194</v>
      </c>
      <c r="D1125" s="1">
        <v>45192</v>
      </c>
      <c r="E1125" s="29">
        <v>3.1</v>
      </c>
      <c r="F1125" t="s">
        <v>1</v>
      </c>
      <c r="G1125" t="str">
        <f t="shared" si="17"/>
        <v>2023-09</v>
      </c>
    </row>
    <row r="1126" spans="1:7" x14ac:dyDescent="0.3">
      <c r="A1126">
        <v>4085</v>
      </c>
      <c r="B1126" t="s">
        <v>3</v>
      </c>
      <c r="C1126" s="7">
        <v>187</v>
      </c>
      <c r="D1126" s="1">
        <v>45138</v>
      </c>
      <c r="E1126" s="29">
        <v>3.2285714285714202</v>
      </c>
      <c r="F1126" t="s">
        <v>4</v>
      </c>
      <c r="G1126" t="str">
        <f t="shared" si="17"/>
        <v>2023-07</v>
      </c>
    </row>
    <row r="1127" spans="1:7" x14ac:dyDescent="0.3">
      <c r="A1127">
        <v>4113</v>
      </c>
      <c r="B1127" t="s">
        <v>45</v>
      </c>
      <c r="C1127" s="7">
        <v>133</v>
      </c>
      <c r="D1127" s="1">
        <v>45110</v>
      </c>
      <c r="E1127" s="29">
        <v>4.9000000000000004</v>
      </c>
      <c r="F1127" t="s">
        <v>1</v>
      </c>
      <c r="G1127" t="str">
        <f t="shared" si="17"/>
        <v>2023-07</v>
      </c>
    </row>
    <row r="1128" spans="1:7" x14ac:dyDescent="0.3">
      <c r="A1128">
        <v>4018</v>
      </c>
      <c r="B1128" t="s">
        <v>32</v>
      </c>
      <c r="C1128" s="7">
        <v>84.528571428571396</v>
      </c>
      <c r="D1128" s="1">
        <v>45187</v>
      </c>
      <c r="E1128" s="29">
        <v>3.0542857142857098</v>
      </c>
      <c r="F1128" t="s">
        <v>4</v>
      </c>
      <c r="G1128" t="str">
        <f t="shared" si="17"/>
        <v>2023-09</v>
      </c>
    </row>
    <row r="1129" spans="1:7" x14ac:dyDescent="0.3">
      <c r="A1129">
        <v>4086</v>
      </c>
      <c r="B1129" t="s">
        <v>5</v>
      </c>
      <c r="C1129" s="7">
        <v>152</v>
      </c>
      <c r="D1129" s="1">
        <v>45176</v>
      </c>
      <c r="E1129" s="29">
        <v>1.7</v>
      </c>
      <c r="F1129" t="s">
        <v>1</v>
      </c>
      <c r="G1129" t="str">
        <f t="shared" si="17"/>
        <v>2023-09</v>
      </c>
    </row>
    <row r="1130" spans="1:7" x14ac:dyDescent="0.3">
      <c r="A1130">
        <v>4102</v>
      </c>
      <c r="B1130" t="s">
        <v>36</v>
      </c>
      <c r="C1130" s="7">
        <v>86</v>
      </c>
      <c r="D1130" s="1">
        <v>44956</v>
      </c>
      <c r="E1130" s="29">
        <v>3.1</v>
      </c>
      <c r="F1130" t="s">
        <v>4</v>
      </c>
      <c r="G1130" t="str">
        <f t="shared" si="17"/>
        <v>2023-01</v>
      </c>
    </row>
    <row r="1131" spans="1:7" x14ac:dyDescent="0.3">
      <c r="A1131">
        <v>3974</v>
      </c>
      <c r="B1131" t="s">
        <v>26</v>
      </c>
      <c r="C1131" s="7">
        <v>190</v>
      </c>
      <c r="D1131" s="1">
        <v>44880</v>
      </c>
      <c r="E1131" s="29">
        <v>2.88305084745762</v>
      </c>
      <c r="F1131" t="s">
        <v>1</v>
      </c>
      <c r="G1131" t="str">
        <f t="shared" si="17"/>
        <v>2022-11</v>
      </c>
    </row>
    <row r="1132" spans="1:7" x14ac:dyDescent="0.3">
      <c r="A1132">
        <v>3982</v>
      </c>
      <c r="B1132" t="s">
        <v>3</v>
      </c>
      <c r="C1132" s="7">
        <v>190</v>
      </c>
      <c r="D1132" s="1">
        <v>45181</v>
      </c>
      <c r="E1132" s="29">
        <v>1.1000000000000001</v>
      </c>
      <c r="F1132" t="s">
        <v>4</v>
      </c>
      <c r="G1132" t="str">
        <f t="shared" si="17"/>
        <v>2023-09</v>
      </c>
    </row>
    <row r="1133" spans="1:7" x14ac:dyDescent="0.3">
      <c r="A1133">
        <v>4105</v>
      </c>
      <c r="B1133" t="s">
        <v>11</v>
      </c>
      <c r="C1133" s="7">
        <v>132</v>
      </c>
      <c r="D1133" s="1">
        <v>44957</v>
      </c>
      <c r="E1133" s="29">
        <v>3.3</v>
      </c>
      <c r="F1133" t="s">
        <v>1</v>
      </c>
      <c r="G1133" t="str">
        <f t="shared" si="17"/>
        <v>2023-01</v>
      </c>
    </row>
    <row r="1134" spans="1:7" x14ac:dyDescent="0.3">
      <c r="A1134">
        <v>3960</v>
      </c>
      <c r="B1134" t="s">
        <v>49</v>
      </c>
      <c r="C1134" s="7">
        <v>194</v>
      </c>
      <c r="D1134" s="1">
        <v>45003</v>
      </c>
      <c r="E1134" s="29">
        <v>4.8</v>
      </c>
      <c r="F1134" t="s">
        <v>4</v>
      </c>
      <c r="G1134" t="str">
        <f t="shared" si="17"/>
        <v>2023-03</v>
      </c>
    </row>
    <row r="1135" spans="1:7" x14ac:dyDescent="0.3">
      <c r="A1135">
        <v>4092</v>
      </c>
      <c r="B1135" t="s">
        <v>48</v>
      </c>
      <c r="C1135" s="7">
        <v>41</v>
      </c>
      <c r="D1135" s="1">
        <v>44990</v>
      </c>
      <c r="E1135" s="29">
        <v>3.5</v>
      </c>
      <c r="F1135" t="s">
        <v>1</v>
      </c>
      <c r="G1135" t="str">
        <f t="shared" si="17"/>
        <v>2023-03</v>
      </c>
    </row>
    <row r="1136" spans="1:7" x14ac:dyDescent="0.3">
      <c r="A1136">
        <v>4012</v>
      </c>
      <c r="B1136" t="s">
        <v>46</v>
      </c>
      <c r="C1136" s="7">
        <v>149</v>
      </c>
      <c r="D1136" s="1">
        <v>45187</v>
      </c>
      <c r="E1136" s="29">
        <v>1.9</v>
      </c>
      <c r="F1136" t="s">
        <v>1</v>
      </c>
      <c r="G1136" t="str">
        <f t="shared" si="17"/>
        <v>2023-09</v>
      </c>
    </row>
    <row r="1137" spans="1:7" x14ac:dyDescent="0.3">
      <c r="A1137">
        <v>4006</v>
      </c>
      <c r="B1137" t="s">
        <v>24</v>
      </c>
      <c r="C1137" s="7">
        <v>111</v>
      </c>
      <c r="D1137" s="1">
        <v>45163</v>
      </c>
      <c r="E1137" s="29">
        <v>4.5</v>
      </c>
      <c r="F1137" t="s">
        <v>1</v>
      </c>
      <c r="G1137" t="str">
        <f t="shared" si="17"/>
        <v>2023-08</v>
      </c>
    </row>
    <row r="1138" spans="1:7" x14ac:dyDescent="0.3">
      <c r="A1138">
        <v>4029</v>
      </c>
      <c r="B1138" t="s">
        <v>3</v>
      </c>
      <c r="C1138" s="7">
        <v>47</v>
      </c>
      <c r="D1138" s="1">
        <v>45143</v>
      </c>
      <c r="E1138" s="29">
        <v>3.4</v>
      </c>
      <c r="F1138" t="s">
        <v>1</v>
      </c>
      <c r="G1138" t="str">
        <f t="shared" si="17"/>
        <v>2023-08</v>
      </c>
    </row>
    <row r="1139" spans="1:7" x14ac:dyDescent="0.3">
      <c r="A1139">
        <v>4000</v>
      </c>
      <c r="B1139" t="s">
        <v>22</v>
      </c>
      <c r="C1139" s="7">
        <v>83</v>
      </c>
      <c r="D1139" s="1">
        <v>45190</v>
      </c>
      <c r="E1139" s="29">
        <v>4.5999999999999996</v>
      </c>
      <c r="F1139" t="s">
        <v>4</v>
      </c>
      <c r="G1139" t="str">
        <f t="shared" si="17"/>
        <v>2023-09</v>
      </c>
    </row>
    <row r="1140" spans="1:7" x14ac:dyDescent="0.3">
      <c r="A1140">
        <v>4094</v>
      </c>
      <c r="B1140" t="s">
        <v>37</v>
      </c>
      <c r="C1140" s="7">
        <v>30</v>
      </c>
      <c r="D1140" s="1">
        <v>44845</v>
      </c>
      <c r="E1140" s="29">
        <v>4.5</v>
      </c>
      <c r="F1140" t="s">
        <v>4</v>
      </c>
      <c r="G1140" t="str">
        <f t="shared" si="17"/>
        <v>2022-10</v>
      </c>
    </row>
    <row r="1141" spans="1:7" x14ac:dyDescent="0.3">
      <c r="A1141">
        <v>3958</v>
      </c>
      <c r="B1141" t="s">
        <v>31</v>
      </c>
      <c r="C1141" s="7">
        <v>123</v>
      </c>
      <c r="D1141" s="1">
        <v>44893</v>
      </c>
      <c r="E1141" s="29">
        <v>1.6</v>
      </c>
      <c r="F1141" t="s">
        <v>4</v>
      </c>
      <c r="G1141" t="str">
        <f t="shared" si="17"/>
        <v>2022-11</v>
      </c>
    </row>
    <row r="1142" spans="1:7" x14ac:dyDescent="0.3">
      <c r="A1142">
        <v>3982</v>
      </c>
      <c r="B1142" t="s">
        <v>42</v>
      </c>
      <c r="C1142" s="7">
        <v>132</v>
      </c>
      <c r="D1142" s="1">
        <v>44980</v>
      </c>
      <c r="E1142" s="29">
        <v>1.1000000000000001</v>
      </c>
      <c r="F1142" t="s">
        <v>4</v>
      </c>
      <c r="G1142" t="str">
        <f t="shared" si="17"/>
        <v>2023-02</v>
      </c>
    </row>
    <row r="1143" spans="1:7" x14ac:dyDescent="0.3">
      <c r="A1143">
        <v>4011</v>
      </c>
      <c r="B1143" t="s">
        <v>47</v>
      </c>
      <c r="C1143" s="7">
        <v>147</v>
      </c>
      <c r="D1143" s="1">
        <v>45019</v>
      </c>
      <c r="E1143" s="29">
        <v>3.1235294117647001</v>
      </c>
      <c r="F1143" t="s">
        <v>1</v>
      </c>
      <c r="G1143" t="str">
        <f t="shared" si="17"/>
        <v>2023-04</v>
      </c>
    </row>
    <row r="1144" spans="1:7" x14ac:dyDescent="0.3">
      <c r="A1144">
        <v>4086</v>
      </c>
      <c r="B1144" t="s">
        <v>51</v>
      </c>
      <c r="C1144" s="7">
        <v>153</v>
      </c>
      <c r="D1144" s="1">
        <v>45125</v>
      </c>
      <c r="E1144" s="29">
        <v>4.8</v>
      </c>
      <c r="F1144" t="s">
        <v>1</v>
      </c>
      <c r="G1144" t="str">
        <f t="shared" si="17"/>
        <v>2023-07</v>
      </c>
    </row>
    <row r="1145" spans="1:7" x14ac:dyDescent="0.3">
      <c r="A1145">
        <v>4078</v>
      </c>
      <c r="B1145" t="s">
        <v>24</v>
      </c>
      <c r="C1145" s="7">
        <v>45</v>
      </c>
      <c r="D1145" s="1">
        <v>45148</v>
      </c>
      <c r="E1145" s="29">
        <v>4.2</v>
      </c>
      <c r="F1145" t="s">
        <v>1</v>
      </c>
      <c r="G1145" t="str">
        <f t="shared" si="17"/>
        <v>2023-08</v>
      </c>
    </row>
    <row r="1146" spans="1:7" x14ac:dyDescent="0.3">
      <c r="A1146">
        <v>4050</v>
      </c>
      <c r="B1146" t="s">
        <v>5</v>
      </c>
      <c r="C1146" s="7">
        <v>98.967741935483801</v>
      </c>
      <c r="D1146" s="1">
        <v>45050</v>
      </c>
      <c r="E1146" s="29">
        <v>2.2000000000000002</v>
      </c>
      <c r="F1146" t="s">
        <v>4</v>
      </c>
      <c r="G1146" t="str">
        <f t="shared" si="17"/>
        <v>2023-05</v>
      </c>
    </row>
    <row r="1147" spans="1:7" x14ac:dyDescent="0.3">
      <c r="A1147">
        <v>4107</v>
      </c>
      <c r="B1147" t="s">
        <v>36</v>
      </c>
      <c r="C1147" s="7">
        <v>71</v>
      </c>
      <c r="D1147" s="1">
        <v>45066</v>
      </c>
      <c r="E1147" s="29">
        <v>1.7</v>
      </c>
      <c r="F1147" t="s">
        <v>4</v>
      </c>
      <c r="G1147" t="str">
        <f t="shared" si="17"/>
        <v>2023-05</v>
      </c>
    </row>
    <row r="1148" spans="1:7" x14ac:dyDescent="0.3">
      <c r="A1148">
        <v>4004</v>
      </c>
      <c r="B1148" t="s">
        <v>45</v>
      </c>
      <c r="C1148" s="7">
        <v>181</v>
      </c>
      <c r="D1148" s="1">
        <v>44849</v>
      </c>
      <c r="E1148" s="29">
        <v>4.5999999999999996</v>
      </c>
      <c r="F1148" t="s">
        <v>1</v>
      </c>
      <c r="G1148" t="str">
        <f t="shared" si="17"/>
        <v>2022-10</v>
      </c>
    </row>
    <row r="1149" spans="1:7" x14ac:dyDescent="0.3">
      <c r="A1149">
        <v>4069</v>
      </c>
      <c r="B1149" t="s">
        <v>26</v>
      </c>
      <c r="C1149" s="7">
        <v>67</v>
      </c>
      <c r="D1149" s="1">
        <v>45030</v>
      </c>
      <c r="E1149" s="29">
        <v>3.4</v>
      </c>
      <c r="F1149" t="s">
        <v>4</v>
      </c>
      <c r="G1149" t="str">
        <f t="shared" si="17"/>
        <v>2023-04</v>
      </c>
    </row>
    <row r="1150" spans="1:7" x14ac:dyDescent="0.3">
      <c r="A1150">
        <v>3984</v>
      </c>
      <c r="B1150" t="s">
        <v>31</v>
      </c>
      <c r="C1150" s="7">
        <v>23</v>
      </c>
      <c r="D1150" s="1">
        <v>45142</v>
      </c>
      <c r="E1150" s="29">
        <v>4.7</v>
      </c>
      <c r="F1150" t="s">
        <v>1</v>
      </c>
      <c r="G1150" t="str">
        <f t="shared" si="17"/>
        <v>2023-08</v>
      </c>
    </row>
    <row r="1151" spans="1:7" x14ac:dyDescent="0.3">
      <c r="A1151">
        <v>4003</v>
      </c>
      <c r="B1151" t="s">
        <v>34</v>
      </c>
      <c r="C1151" s="7">
        <v>110.431818181818</v>
      </c>
      <c r="D1151" s="1">
        <v>44927</v>
      </c>
      <c r="E1151" s="29">
        <v>4.7</v>
      </c>
      <c r="F1151" t="s">
        <v>4</v>
      </c>
      <c r="G1151" t="str">
        <f t="shared" si="17"/>
        <v>2023-01</v>
      </c>
    </row>
    <row r="1152" spans="1:7" x14ac:dyDescent="0.3">
      <c r="A1152">
        <v>4047</v>
      </c>
      <c r="B1152" t="s">
        <v>27</v>
      </c>
      <c r="C1152" s="7">
        <v>130</v>
      </c>
      <c r="D1152" s="1">
        <v>44868</v>
      </c>
      <c r="E1152" s="29">
        <v>2.6</v>
      </c>
      <c r="F1152" t="s">
        <v>1</v>
      </c>
      <c r="G1152" t="str">
        <f t="shared" si="17"/>
        <v>2022-11</v>
      </c>
    </row>
    <row r="1153" spans="1:7" x14ac:dyDescent="0.3">
      <c r="A1153">
        <v>4054</v>
      </c>
      <c r="B1153" t="s">
        <v>27</v>
      </c>
      <c r="C1153" s="7">
        <v>103.98245614035</v>
      </c>
      <c r="D1153" s="1">
        <v>45151</v>
      </c>
      <c r="E1153" s="29">
        <v>1.5</v>
      </c>
      <c r="F1153" t="s">
        <v>1</v>
      </c>
      <c r="G1153" t="str">
        <f t="shared" si="17"/>
        <v>2023-08</v>
      </c>
    </row>
    <row r="1154" spans="1:7" x14ac:dyDescent="0.3">
      <c r="A1154">
        <v>4065</v>
      </c>
      <c r="B1154" t="s">
        <v>32</v>
      </c>
      <c r="C1154" s="7">
        <v>11</v>
      </c>
      <c r="D1154" s="1">
        <v>45010</v>
      </c>
      <c r="E1154" s="29">
        <v>2.4</v>
      </c>
      <c r="F1154" t="s">
        <v>1</v>
      </c>
      <c r="G1154" t="str">
        <f t="shared" si="17"/>
        <v>2023-03</v>
      </c>
    </row>
    <row r="1155" spans="1:7" x14ac:dyDescent="0.3">
      <c r="A1155">
        <v>4011</v>
      </c>
      <c r="B1155" t="s">
        <v>18</v>
      </c>
      <c r="C1155" s="7">
        <v>50</v>
      </c>
      <c r="D1155" s="1">
        <v>45111</v>
      </c>
      <c r="E1155" s="29">
        <v>2</v>
      </c>
      <c r="F1155" t="s">
        <v>1</v>
      </c>
      <c r="G1155" t="str">
        <f t="shared" ref="G1155:G1218" si="18">TEXT(D1155,"ГГГГ-ММ")</f>
        <v>2023-07</v>
      </c>
    </row>
    <row r="1156" spans="1:7" x14ac:dyDescent="0.3">
      <c r="A1156">
        <v>4088</v>
      </c>
      <c r="B1156" t="s">
        <v>48</v>
      </c>
      <c r="C1156" s="7">
        <v>131</v>
      </c>
      <c r="D1156" s="1">
        <v>45060</v>
      </c>
      <c r="E1156" s="29">
        <v>1.8</v>
      </c>
      <c r="F1156" t="s">
        <v>4</v>
      </c>
      <c r="G1156" t="str">
        <f t="shared" si="18"/>
        <v>2023-05</v>
      </c>
    </row>
    <row r="1157" spans="1:7" x14ac:dyDescent="0.3">
      <c r="A1157">
        <v>4015</v>
      </c>
      <c r="B1157" t="s">
        <v>10</v>
      </c>
      <c r="C1157" s="7">
        <v>61</v>
      </c>
      <c r="D1157" s="1">
        <v>44933</v>
      </c>
      <c r="E1157" s="29">
        <v>2.4</v>
      </c>
      <c r="F1157" t="s">
        <v>1</v>
      </c>
      <c r="G1157" t="str">
        <f t="shared" si="18"/>
        <v>2023-01</v>
      </c>
    </row>
    <row r="1158" spans="1:7" x14ac:dyDescent="0.3">
      <c r="A1158">
        <v>4061</v>
      </c>
      <c r="B1158" t="s">
        <v>44</v>
      </c>
      <c r="C1158" s="7">
        <v>83</v>
      </c>
      <c r="D1158" s="1">
        <v>44837</v>
      </c>
      <c r="E1158" s="29">
        <v>4.7</v>
      </c>
      <c r="F1158" t="s">
        <v>4</v>
      </c>
      <c r="G1158" t="str">
        <f t="shared" si="18"/>
        <v>2022-10</v>
      </c>
    </row>
    <row r="1159" spans="1:7" x14ac:dyDescent="0.3">
      <c r="A1159">
        <v>3985</v>
      </c>
      <c r="B1159" t="s">
        <v>2</v>
      </c>
      <c r="C1159" s="7">
        <v>175</v>
      </c>
      <c r="D1159" s="1">
        <v>45024</v>
      </c>
      <c r="E1159" s="29">
        <v>4.5999999999999996</v>
      </c>
      <c r="F1159" t="s">
        <v>1</v>
      </c>
      <c r="G1159" t="str">
        <f t="shared" si="18"/>
        <v>2023-04</v>
      </c>
    </row>
    <row r="1160" spans="1:7" x14ac:dyDescent="0.3">
      <c r="A1160">
        <v>4037</v>
      </c>
      <c r="B1160" t="s">
        <v>11</v>
      </c>
      <c r="C1160" s="7">
        <v>109.08474576271099</v>
      </c>
      <c r="D1160" s="1">
        <v>44968</v>
      </c>
      <c r="E1160" s="29">
        <v>4.4000000000000004</v>
      </c>
      <c r="F1160" t="s">
        <v>4</v>
      </c>
      <c r="G1160" t="str">
        <f t="shared" si="18"/>
        <v>2023-02</v>
      </c>
    </row>
    <row r="1161" spans="1:7" x14ac:dyDescent="0.3">
      <c r="A1161">
        <v>3988</v>
      </c>
      <c r="B1161" t="s">
        <v>31</v>
      </c>
      <c r="C1161" s="7">
        <v>176</v>
      </c>
      <c r="D1161" s="1">
        <v>45146</v>
      </c>
      <c r="E1161" s="29">
        <v>2.6590163934426201</v>
      </c>
      <c r="F1161" t="s">
        <v>4</v>
      </c>
      <c r="G1161" t="str">
        <f t="shared" si="18"/>
        <v>2023-08</v>
      </c>
    </row>
    <row r="1162" spans="1:7" x14ac:dyDescent="0.3">
      <c r="A1162">
        <v>4076</v>
      </c>
      <c r="B1162" t="s">
        <v>32</v>
      </c>
      <c r="C1162" s="7">
        <v>146</v>
      </c>
      <c r="D1162" s="1">
        <v>45107</v>
      </c>
      <c r="E1162" s="29">
        <v>3.7</v>
      </c>
      <c r="F1162" t="s">
        <v>1</v>
      </c>
      <c r="G1162" t="str">
        <f t="shared" si="18"/>
        <v>2023-06</v>
      </c>
    </row>
    <row r="1163" spans="1:7" x14ac:dyDescent="0.3">
      <c r="A1163">
        <v>3985</v>
      </c>
      <c r="B1163" t="s">
        <v>37</v>
      </c>
      <c r="C1163" s="7">
        <v>19</v>
      </c>
      <c r="D1163" s="1">
        <v>44919</v>
      </c>
      <c r="E1163" s="29">
        <v>3.1</v>
      </c>
      <c r="F1163" t="s">
        <v>4</v>
      </c>
      <c r="G1163" t="str">
        <f t="shared" si="18"/>
        <v>2022-12</v>
      </c>
    </row>
    <row r="1164" spans="1:7" x14ac:dyDescent="0.3">
      <c r="A1164">
        <v>4090</v>
      </c>
      <c r="B1164" t="s">
        <v>17</v>
      </c>
      <c r="C1164" s="7">
        <v>54</v>
      </c>
      <c r="D1164" s="1">
        <v>44975</v>
      </c>
      <c r="E1164" s="29">
        <v>3.1</v>
      </c>
      <c r="F1164" t="s">
        <v>4</v>
      </c>
      <c r="G1164" t="str">
        <f t="shared" si="18"/>
        <v>2023-02</v>
      </c>
    </row>
    <row r="1165" spans="1:7" x14ac:dyDescent="0.3">
      <c r="A1165">
        <v>3991</v>
      </c>
      <c r="B1165" t="s">
        <v>45</v>
      </c>
      <c r="C1165" s="7">
        <v>55</v>
      </c>
      <c r="D1165" s="1">
        <v>44954</v>
      </c>
      <c r="E1165" s="29">
        <v>3.2</v>
      </c>
      <c r="F1165" t="s">
        <v>4</v>
      </c>
      <c r="G1165" t="str">
        <f t="shared" si="18"/>
        <v>2023-01</v>
      </c>
    </row>
    <row r="1166" spans="1:7" x14ac:dyDescent="0.3">
      <c r="A1166">
        <v>4083</v>
      </c>
      <c r="B1166" t="s">
        <v>31</v>
      </c>
      <c r="C1166" s="7">
        <v>19</v>
      </c>
      <c r="D1166" s="1">
        <v>45123</v>
      </c>
      <c r="E1166" s="29">
        <v>2.2999999999999998</v>
      </c>
      <c r="F1166" t="s">
        <v>1</v>
      </c>
      <c r="G1166" t="str">
        <f t="shared" si="18"/>
        <v>2023-07</v>
      </c>
    </row>
    <row r="1167" spans="1:7" x14ac:dyDescent="0.3">
      <c r="A1167">
        <v>4049</v>
      </c>
      <c r="B1167" t="s">
        <v>33</v>
      </c>
      <c r="C1167" s="7">
        <v>111</v>
      </c>
      <c r="D1167" s="1">
        <v>45098</v>
      </c>
      <c r="E1167" s="29">
        <v>1.8</v>
      </c>
      <c r="F1167" t="s">
        <v>4</v>
      </c>
      <c r="G1167" t="str">
        <f t="shared" si="18"/>
        <v>2023-06</v>
      </c>
    </row>
    <row r="1168" spans="1:7" x14ac:dyDescent="0.3">
      <c r="A1168">
        <v>4030</v>
      </c>
      <c r="B1168" t="s">
        <v>21</v>
      </c>
      <c r="C1168" s="7">
        <v>57</v>
      </c>
      <c r="D1168" s="1">
        <v>44978</v>
      </c>
      <c r="E1168" s="29">
        <v>2.7</v>
      </c>
      <c r="F1168" t="s">
        <v>4</v>
      </c>
      <c r="G1168" t="str">
        <f t="shared" si="18"/>
        <v>2023-02</v>
      </c>
    </row>
    <row r="1169" spans="1:7" x14ac:dyDescent="0.3">
      <c r="A1169">
        <v>4099</v>
      </c>
      <c r="B1169" t="s">
        <v>25</v>
      </c>
      <c r="C1169" s="7">
        <v>84</v>
      </c>
      <c r="D1169" s="1">
        <v>45173</v>
      </c>
      <c r="E1169" s="29">
        <v>1.3</v>
      </c>
      <c r="F1169" t="s">
        <v>4</v>
      </c>
      <c r="G1169" t="str">
        <f t="shared" si="18"/>
        <v>2023-09</v>
      </c>
    </row>
    <row r="1170" spans="1:7" x14ac:dyDescent="0.3">
      <c r="A1170">
        <v>3967</v>
      </c>
      <c r="B1170" t="s">
        <v>15</v>
      </c>
      <c r="C1170" s="7">
        <v>12</v>
      </c>
      <c r="D1170" s="1">
        <v>44961</v>
      </c>
      <c r="E1170" s="29">
        <v>3.04897959183673</v>
      </c>
      <c r="F1170" t="s">
        <v>1</v>
      </c>
      <c r="G1170" t="str">
        <f t="shared" si="18"/>
        <v>2023-02</v>
      </c>
    </row>
    <row r="1171" spans="1:7" x14ac:dyDescent="0.3">
      <c r="A1171">
        <v>3978</v>
      </c>
      <c r="B1171" t="s">
        <v>14</v>
      </c>
      <c r="C1171" s="7">
        <v>164</v>
      </c>
      <c r="D1171" s="1">
        <v>44863</v>
      </c>
      <c r="E1171" s="29">
        <v>3.2</v>
      </c>
      <c r="F1171" t="s">
        <v>4</v>
      </c>
      <c r="G1171" t="str">
        <f t="shared" si="18"/>
        <v>2022-10</v>
      </c>
    </row>
    <row r="1172" spans="1:7" x14ac:dyDescent="0.3">
      <c r="A1172">
        <v>4040</v>
      </c>
      <c r="B1172" t="s">
        <v>39</v>
      </c>
      <c r="C1172" s="7">
        <v>108.54716981132</v>
      </c>
      <c r="D1172" s="1">
        <v>45193</v>
      </c>
      <c r="E1172" s="29">
        <v>2.2000000000000002</v>
      </c>
      <c r="F1172" t="s">
        <v>4</v>
      </c>
      <c r="G1172" t="str">
        <f t="shared" si="18"/>
        <v>2023-09</v>
      </c>
    </row>
    <row r="1173" spans="1:7" x14ac:dyDescent="0.3">
      <c r="A1173">
        <v>4083</v>
      </c>
      <c r="B1173" t="s">
        <v>24</v>
      </c>
      <c r="C1173" s="7">
        <v>82</v>
      </c>
      <c r="D1173" s="1">
        <v>44911</v>
      </c>
      <c r="E1173" s="29">
        <v>4.0999999999999996</v>
      </c>
      <c r="F1173" t="s">
        <v>4</v>
      </c>
      <c r="G1173" t="str">
        <f t="shared" si="18"/>
        <v>2022-12</v>
      </c>
    </row>
    <row r="1174" spans="1:7" x14ac:dyDescent="0.3">
      <c r="A1174">
        <v>3986</v>
      </c>
      <c r="B1174" t="s">
        <v>27</v>
      </c>
      <c r="C1174" s="7">
        <v>174</v>
      </c>
      <c r="D1174" s="1">
        <v>45191</v>
      </c>
      <c r="E1174" s="29">
        <v>3.8</v>
      </c>
      <c r="F1174" t="s">
        <v>1</v>
      </c>
      <c r="G1174" t="str">
        <f t="shared" si="18"/>
        <v>2023-09</v>
      </c>
    </row>
    <row r="1175" spans="1:7" x14ac:dyDescent="0.3">
      <c r="A1175">
        <v>4055</v>
      </c>
      <c r="B1175" t="s">
        <v>18</v>
      </c>
      <c r="C1175" s="7">
        <v>136</v>
      </c>
      <c r="D1175" s="1">
        <v>45183</v>
      </c>
      <c r="E1175" s="29">
        <v>1.2</v>
      </c>
      <c r="F1175" t="s">
        <v>1</v>
      </c>
      <c r="G1175" t="str">
        <f t="shared" si="18"/>
        <v>2023-09</v>
      </c>
    </row>
    <row r="1176" spans="1:7" x14ac:dyDescent="0.3">
      <c r="A1176">
        <v>4029</v>
      </c>
      <c r="B1176" t="s">
        <v>18</v>
      </c>
      <c r="C1176" s="7">
        <v>44</v>
      </c>
      <c r="D1176" s="1">
        <v>44874</v>
      </c>
      <c r="E1176" s="29">
        <v>2.2000000000000002</v>
      </c>
      <c r="F1176" t="s">
        <v>1</v>
      </c>
      <c r="G1176" t="str">
        <f t="shared" si="18"/>
        <v>2022-11</v>
      </c>
    </row>
    <row r="1177" spans="1:7" x14ac:dyDescent="0.3">
      <c r="A1177">
        <v>4073</v>
      </c>
      <c r="B1177" t="s">
        <v>9</v>
      </c>
      <c r="C1177" s="7">
        <v>129</v>
      </c>
      <c r="D1177" s="1">
        <v>45074</v>
      </c>
      <c r="E1177" s="29">
        <v>4.5999999999999996</v>
      </c>
      <c r="F1177" t="s">
        <v>4</v>
      </c>
      <c r="G1177" t="str">
        <f t="shared" si="18"/>
        <v>2023-05</v>
      </c>
    </row>
    <row r="1178" spans="1:7" x14ac:dyDescent="0.3">
      <c r="A1178">
        <v>4110</v>
      </c>
      <c r="B1178" t="s">
        <v>37</v>
      </c>
      <c r="C1178" s="7">
        <v>38</v>
      </c>
      <c r="D1178" s="1">
        <v>45111</v>
      </c>
      <c r="E1178" s="29">
        <v>3.6</v>
      </c>
      <c r="F1178" t="s">
        <v>1</v>
      </c>
      <c r="G1178" t="str">
        <f t="shared" si="18"/>
        <v>2023-07</v>
      </c>
    </row>
    <row r="1179" spans="1:7" x14ac:dyDescent="0.3">
      <c r="A1179">
        <v>4036</v>
      </c>
      <c r="B1179" t="s">
        <v>42</v>
      </c>
      <c r="C1179" s="7">
        <v>197</v>
      </c>
      <c r="D1179" s="1">
        <v>44893</v>
      </c>
      <c r="E1179" s="29">
        <v>3.1</v>
      </c>
      <c r="F1179" t="s">
        <v>4</v>
      </c>
      <c r="G1179" t="str">
        <f t="shared" si="18"/>
        <v>2022-11</v>
      </c>
    </row>
    <row r="1180" spans="1:7" x14ac:dyDescent="0.3">
      <c r="A1180">
        <v>4070</v>
      </c>
      <c r="B1180" t="s">
        <v>21</v>
      </c>
      <c r="C1180" s="7">
        <v>75</v>
      </c>
      <c r="D1180" s="1">
        <v>45048</v>
      </c>
      <c r="E1180" s="29">
        <v>3.02830188679245</v>
      </c>
      <c r="F1180" t="s">
        <v>4</v>
      </c>
      <c r="G1180" t="str">
        <f t="shared" si="18"/>
        <v>2023-05</v>
      </c>
    </row>
    <row r="1181" spans="1:7" x14ac:dyDescent="0.3">
      <c r="A1181">
        <v>4014</v>
      </c>
      <c r="B1181" t="s">
        <v>36</v>
      </c>
      <c r="C1181" s="7">
        <v>13</v>
      </c>
      <c r="D1181" s="1">
        <v>45077</v>
      </c>
      <c r="E1181" s="29">
        <v>1.8</v>
      </c>
      <c r="F1181" t="s">
        <v>1</v>
      </c>
      <c r="G1181" t="str">
        <f t="shared" si="18"/>
        <v>2023-05</v>
      </c>
    </row>
    <row r="1182" spans="1:7" x14ac:dyDescent="0.3">
      <c r="A1182">
        <v>4098</v>
      </c>
      <c r="B1182" t="s">
        <v>37</v>
      </c>
      <c r="C1182" s="7">
        <v>85</v>
      </c>
      <c r="D1182" s="1">
        <v>45093</v>
      </c>
      <c r="E1182" s="29">
        <v>1.2</v>
      </c>
      <c r="F1182" t="s">
        <v>1</v>
      </c>
      <c r="G1182" t="str">
        <f t="shared" si="18"/>
        <v>2023-06</v>
      </c>
    </row>
    <row r="1183" spans="1:7" x14ac:dyDescent="0.3">
      <c r="A1183">
        <v>4061</v>
      </c>
      <c r="B1183" t="s">
        <v>0</v>
      </c>
      <c r="C1183" s="7">
        <v>59</v>
      </c>
      <c r="D1183" s="1">
        <v>44838</v>
      </c>
      <c r="E1183" s="29">
        <v>4.5</v>
      </c>
      <c r="F1183" t="s">
        <v>4</v>
      </c>
      <c r="G1183" t="str">
        <f t="shared" si="18"/>
        <v>2022-10</v>
      </c>
    </row>
    <row r="1184" spans="1:7" x14ac:dyDescent="0.3">
      <c r="A1184">
        <v>4031</v>
      </c>
      <c r="B1184" t="s">
        <v>21</v>
      </c>
      <c r="C1184" s="7">
        <v>120.22</v>
      </c>
      <c r="D1184" s="1">
        <v>45033</v>
      </c>
      <c r="E1184" s="29">
        <v>3.1</v>
      </c>
      <c r="F1184" t="s">
        <v>4</v>
      </c>
      <c r="G1184" t="str">
        <f t="shared" si="18"/>
        <v>2023-04</v>
      </c>
    </row>
    <row r="1185" spans="1:7" x14ac:dyDescent="0.3">
      <c r="A1185">
        <v>4066</v>
      </c>
      <c r="B1185" t="s">
        <v>39</v>
      </c>
      <c r="C1185" s="7">
        <v>113</v>
      </c>
      <c r="D1185" s="1">
        <v>45160</v>
      </c>
      <c r="E1185" s="29">
        <v>2.5</v>
      </c>
      <c r="F1185" t="s">
        <v>4</v>
      </c>
      <c r="G1185" t="str">
        <f t="shared" si="18"/>
        <v>2023-08</v>
      </c>
    </row>
    <row r="1186" spans="1:7" x14ac:dyDescent="0.3">
      <c r="A1186">
        <v>4005</v>
      </c>
      <c r="B1186" t="s">
        <v>48</v>
      </c>
      <c r="C1186" s="7">
        <v>141</v>
      </c>
      <c r="D1186" s="1">
        <v>45028</v>
      </c>
      <c r="E1186" s="29">
        <v>4.5999999999999996</v>
      </c>
      <c r="F1186" t="s">
        <v>4</v>
      </c>
      <c r="G1186" t="str">
        <f t="shared" si="18"/>
        <v>2023-04</v>
      </c>
    </row>
    <row r="1187" spans="1:7" x14ac:dyDescent="0.3">
      <c r="A1187">
        <v>3974</v>
      </c>
      <c r="B1187" t="s">
        <v>11</v>
      </c>
      <c r="C1187" s="7">
        <v>112</v>
      </c>
      <c r="D1187" s="1">
        <v>45164</v>
      </c>
      <c r="E1187" s="29">
        <v>3.0693548387096699</v>
      </c>
      <c r="F1187" t="s">
        <v>1</v>
      </c>
      <c r="G1187" t="str">
        <f t="shared" si="18"/>
        <v>2023-08</v>
      </c>
    </row>
    <row r="1188" spans="1:7" x14ac:dyDescent="0.3">
      <c r="A1188">
        <v>4078</v>
      </c>
      <c r="B1188" t="s">
        <v>43</v>
      </c>
      <c r="C1188" s="7">
        <v>57</v>
      </c>
      <c r="D1188" s="1">
        <v>44974</v>
      </c>
      <c r="E1188" s="29">
        <v>4.5999999999999996</v>
      </c>
      <c r="F1188" t="s">
        <v>1</v>
      </c>
      <c r="G1188" t="str">
        <f t="shared" si="18"/>
        <v>2023-02</v>
      </c>
    </row>
    <row r="1189" spans="1:7" x14ac:dyDescent="0.3">
      <c r="A1189">
        <v>4051</v>
      </c>
      <c r="B1189" t="s">
        <v>11</v>
      </c>
      <c r="C1189" s="7">
        <v>132</v>
      </c>
      <c r="D1189" s="1">
        <v>45175</v>
      </c>
      <c r="E1189" s="29">
        <v>1.3</v>
      </c>
      <c r="F1189" t="s">
        <v>4</v>
      </c>
      <c r="G1189" t="str">
        <f t="shared" si="18"/>
        <v>2023-09</v>
      </c>
    </row>
    <row r="1190" spans="1:7" x14ac:dyDescent="0.3">
      <c r="A1190">
        <v>4002</v>
      </c>
      <c r="B1190" t="s">
        <v>50</v>
      </c>
      <c r="C1190" s="7">
        <v>73</v>
      </c>
      <c r="D1190" s="1">
        <v>44949</v>
      </c>
      <c r="E1190" s="29">
        <v>1.8</v>
      </c>
      <c r="F1190" t="s">
        <v>1</v>
      </c>
      <c r="G1190" t="str">
        <f t="shared" si="18"/>
        <v>2023-01</v>
      </c>
    </row>
    <row r="1191" spans="1:7" x14ac:dyDescent="0.3">
      <c r="A1191">
        <v>3960</v>
      </c>
      <c r="B1191" t="s">
        <v>47</v>
      </c>
      <c r="C1191" s="7">
        <v>106.297872340425</v>
      </c>
      <c r="D1191" s="1">
        <v>45183</v>
      </c>
      <c r="E1191" s="29">
        <v>1.1000000000000001</v>
      </c>
      <c r="F1191" t="s">
        <v>4</v>
      </c>
      <c r="G1191" t="str">
        <f t="shared" si="18"/>
        <v>2023-09</v>
      </c>
    </row>
    <row r="1192" spans="1:7" x14ac:dyDescent="0.3">
      <c r="A1192">
        <v>4082</v>
      </c>
      <c r="B1192" t="s">
        <v>15</v>
      </c>
      <c r="C1192" s="7">
        <v>124</v>
      </c>
      <c r="D1192" s="1">
        <v>44894</v>
      </c>
      <c r="E1192" s="29">
        <v>1.8</v>
      </c>
      <c r="F1192" t="s">
        <v>4</v>
      </c>
      <c r="G1192" t="str">
        <f t="shared" si="18"/>
        <v>2022-11</v>
      </c>
    </row>
    <row r="1193" spans="1:7" x14ac:dyDescent="0.3">
      <c r="A1193">
        <v>3983</v>
      </c>
      <c r="B1193" t="s">
        <v>3</v>
      </c>
      <c r="C1193" s="7">
        <v>94</v>
      </c>
      <c r="D1193" s="1">
        <v>45011</v>
      </c>
      <c r="E1193" s="29">
        <v>4.7</v>
      </c>
      <c r="F1193" t="s">
        <v>4</v>
      </c>
      <c r="G1193" t="str">
        <f t="shared" si="18"/>
        <v>2023-03</v>
      </c>
    </row>
    <row r="1194" spans="1:7" x14ac:dyDescent="0.3">
      <c r="A1194">
        <v>4058</v>
      </c>
      <c r="B1194" t="s">
        <v>12</v>
      </c>
      <c r="C1194" s="7">
        <v>195</v>
      </c>
      <c r="D1194" s="1">
        <v>45166</v>
      </c>
      <c r="E1194" s="29">
        <v>2.7471698113207501</v>
      </c>
      <c r="F1194" t="s">
        <v>4</v>
      </c>
      <c r="G1194" t="str">
        <f t="shared" si="18"/>
        <v>2023-08</v>
      </c>
    </row>
    <row r="1195" spans="1:7" x14ac:dyDescent="0.3">
      <c r="A1195">
        <v>4069</v>
      </c>
      <c r="B1195" t="s">
        <v>21</v>
      </c>
      <c r="C1195" s="7">
        <v>76</v>
      </c>
      <c r="D1195" s="1">
        <v>45106</v>
      </c>
      <c r="E1195" s="29">
        <v>4.3</v>
      </c>
      <c r="F1195" t="s">
        <v>1</v>
      </c>
      <c r="G1195" t="str">
        <f t="shared" si="18"/>
        <v>2023-06</v>
      </c>
    </row>
    <row r="1196" spans="1:7" x14ac:dyDescent="0.3">
      <c r="A1196">
        <v>4090</v>
      </c>
      <c r="B1196" t="s">
        <v>26</v>
      </c>
      <c r="C1196" s="7">
        <v>187</v>
      </c>
      <c r="D1196" s="1">
        <v>45132</v>
      </c>
      <c r="E1196" s="29">
        <v>4.9000000000000004</v>
      </c>
      <c r="F1196" t="s">
        <v>1</v>
      </c>
      <c r="G1196" t="str">
        <f t="shared" si="18"/>
        <v>2023-07</v>
      </c>
    </row>
    <row r="1197" spans="1:7" x14ac:dyDescent="0.3">
      <c r="A1197">
        <v>3978</v>
      </c>
      <c r="B1197" t="s">
        <v>2</v>
      </c>
      <c r="C1197" s="7">
        <v>180</v>
      </c>
      <c r="D1197" s="1">
        <v>44862</v>
      </c>
      <c r="E1197" s="29">
        <v>4.3</v>
      </c>
      <c r="F1197" t="s">
        <v>4</v>
      </c>
      <c r="G1197" t="str">
        <f t="shared" si="18"/>
        <v>2022-10</v>
      </c>
    </row>
    <row r="1198" spans="1:7" x14ac:dyDescent="0.3">
      <c r="A1198">
        <v>3987</v>
      </c>
      <c r="B1198" t="s">
        <v>28</v>
      </c>
      <c r="C1198" s="7">
        <v>111.854838709677</v>
      </c>
      <c r="D1198" s="1">
        <v>44888</v>
      </c>
      <c r="E1198" s="29">
        <v>4.4000000000000004</v>
      </c>
      <c r="F1198" t="s">
        <v>1</v>
      </c>
      <c r="G1198" t="str">
        <f t="shared" si="18"/>
        <v>2022-11</v>
      </c>
    </row>
    <row r="1199" spans="1:7" x14ac:dyDescent="0.3">
      <c r="A1199">
        <v>3993</v>
      </c>
      <c r="B1199" t="s">
        <v>21</v>
      </c>
      <c r="C1199" s="7">
        <v>113</v>
      </c>
      <c r="D1199" s="1">
        <v>45030</v>
      </c>
      <c r="E1199" s="29">
        <v>3.02830188679245</v>
      </c>
      <c r="F1199" t="s">
        <v>1</v>
      </c>
      <c r="G1199" t="str">
        <f t="shared" si="18"/>
        <v>2023-04</v>
      </c>
    </row>
    <row r="1200" spans="1:7" x14ac:dyDescent="0.3">
      <c r="A1200">
        <v>4058</v>
      </c>
      <c r="B1200" t="s">
        <v>22</v>
      </c>
      <c r="C1200" s="7">
        <v>190</v>
      </c>
      <c r="D1200" s="1">
        <v>45169</v>
      </c>
      <c r="E1200" s="29">
        <v>2</v>
      </c>
      <c r="F1200" t="s">
        <v>1</v>
      </c>
      <c r="G1200" t="str">
        <f t="shared" si="18"/>
        <v>2023-08</v>
      </c>
    </row>
    <row r="1201" spans="1:7" x14ac:dyDescent="0.3">
      <c r="A1201">
        <v>4059</v>
      </c>
      <c r="B1201" t="s">
        <v>8</v>
      </c>
      <c r="C1201" s="7">
        <v>186</v>
      </c>
      <c r="D1201" s="1">
        <v>44965</v>
      </c>
      <c r="E1201" s="29">
        <v>4.5</v>
      </c>
      <c r="F1201" t="s">
        <v>4</v>
      </c>
      <c r="G1201" t="str">
        <f t="shared" si="18"/>
        <v>2023-02</v>
      </c>
    </row>
    <row r="1202" spans="1:7" x14ac:dyDescent="0.3">
      <c r="A1202">
        <v>4108</v>
      </c>
      <c r="B1202" t="s">
        <v>12</v>
      </c>
      <c r="C1202" s="7">
        <v>103.354166666666</v>
      </c>
      <c r="D1202" s="1">
        <v>45133</v>
      </c>
      <c r="E1202" s="29">
        <v>3.3</v>
      </c>
      <c r="F1202" t="s">
        <v>1</v>
      </c>
      <c r="G1202" t="str">
        <f t="shared" si="18"/>
        <v>2023-07</v>
      </c>
    </row>
    <row r="1203" spans="1:7" x14ac:dyDescent="0.3">
      <c r="A1203">
        <v>3983</v>
      </c>
      <c r="B1203" t="s">
        <v>19</v>
      </c>
      <c r="C1203" s="7">
        <v>85</v>
      </c>
      <c r="D1203" s="1">
        <v>45172</v>
      </c>
      <c r="E1203" s="29">
        <v>3.5</v>
      </c>
      <c r="F1203" t="s">
        <v>4</v>
      </c>
      <c r="G1203" t="str">
        <f t="shared" si="18"/>
        <v>2023-09</v>
      </c>
    </row>
    <row r="1204" spans="1:7" x14ac:dyDescent="0.3">
      <c r="A1204">
        <v>4000</v>
      </c>
      <c r="B1204" t="s">
        <v>16</v>
      </c>
      <c r="C1204" s="7">
        <v>66</v>
      </c>
      <c r="D1204" s="1">
        <v>44908</v>
      </c>
      <c r="E1204" s="29">
        <v>4.5</v>
      </c>
      <c r="F1204" t="s">
        <v>1</v>
      </c>
      <c r="G1204" t="str">
        <f t="shared" si="18"/>
        <v>2022-12</v>
      </c>
    </row>
    <row r="1205" spans="1:7" x14ac:dyDescent="0.3">
      <c r="A1205">
        <v>3973</v>
      </c>
      <c r="B1205" t="s">
        <v>42</v>
      </c>
      <c r="C1205" s="7">
        <v>44</v>
      </c>
      <c r="D1205" s="1">
        <v>45170</v>
      </c>
      <c r="E1205" s="29">
        <v>2.1</v>
      </c>
      <c r="F1205" t="s">
        <v>1</v>
      </c>
      <c r="G1205" t="str">
        <f t="shared" si="18"/>
        <v>2023-09</v>
      </c>
    </row>
    <row r="1206" spans="1:7" x14ac:dyDescent="0.3">
      <c r="A1206">
        <v>4050</v>
      </c>
      <c r="B1206" t="s">
        <v>11</v>
      </c>
      <c r="C1206" s="7">
        <v>126</v>
      </c>
      <c r="D1206" s="1">
        <v>45097</v>
      </c>
      <c r="E1206" s="29">
        <v>2.7</v>
      </c>
      <c r="F1206" t="s">
        <v>1</v>
      </c>
      <c r="G1206" t="str">
        <f t="shared" si="18"/>
        <v>2023-06</v>
      </c>
    </row>
    <row r="1207" spans="1:7" x14ac:dyDescent="0.3">
      <c r="A1207">
        <v>4007</v>
      </c>
      <c r="B1207" t="s">
        <v>6</v>
      </c>
      <c r="C1207" s="7">
        <v>165</v>
      </c>
      <c r="D1207" s="1">
        <v>44883</v>
      </c>
      <c r="E1207" s="29">
        <v>2.1</v>
      </c>
      <c r="F1207" t="s">
        <v>4</v>
      </c>
      <c r="G1207" t="str">
        <f t="shared" si="18"/>
        <v>2022-11</v>
      </c>
    </row>
    <row r="1208" spans="1:7" x14ac:dyDescent="0.3">
      <c r="A1208">
        <v>4043</v>
      </c>
      <c r="B1208" t="s">
        <v>51</v>
      </c>
      <c r="C1208" s="7">
        <v>189</v>
      </c>
      <c r="D1208" s="1">
        <v>45004</v>
      </c>
      <c r="E1208" s="29">
        <v>4.3</v>
      </c>
      <c r="F1208" t="s">
        <v>1</v>
      </c>
      <c r="G1208" t="str">
        <f t="shared" si="18"/>
        <v>2023-03</v>
      </c>
    </row>
    <row r="1209" spans="1:7" x14ac:dyDescent="0.3">
      <c r="A1209">
        <v>4008</v>
      </c>
      <c r="B1209" t="s">
        <v>37</v>
      </c>
      <c r="C1209" s="7">
        <v>130</v>
      </c>
      <c r="D1209" s="1">
        <v>44836</v>
      </c>
      <c r="E1209" s="29">
        <v>3.4</v>
      </c>
      <c r="F1209" t="s">
        <v>1</v>
      </c>
      <c r="G1209" t="str">
        <f t="shared" si="18"/>
        <v>2022-10</v>
      </c>
    </row>
    <row r="1210" spans="1:7" x14ac:dyDescent="0.3">
      <c r="A1210">
        <v>4109</v>
      </c>
      <c r="B1210" t="s">
        <v>26</v>
      </c>
      <c r="C1210" s="7">
        <v>180</v>
      </c>
      <c r="D1210" s="1">
        <v>44938</v>
      </c>
      <c r="E1210" s="29">
        <v>2.6</v>
      </c>
      <c r="F1210" t="s">
        <v>1</v>
      </c>
      <c r="G1210" t="str">
        <f t="shared" si="18"/>
        <v>2023-01</v>
      </c>
    </row>
    <row r="1211" spans="1:7" x14ac:dyDescent="0.3">
      <c r="A1211">
        <v>4060</v>
      </c>
      <c r="B1211" t="s">
        <v>46</v>
      </c>
      <c r="C1211" s="7">
        <v>73</v>
      </c>
      <c r="D1211" s="1">
        <v>45065</v>
      </c>
      <c r="E1211" s="29">
        <v>2.8</v>
      </c>
      <c r="F1211" t="s">
        <v>1</v>
      </c>
      <c r="G1211" t="str">
        <f t="shared" si="18"/>
        <v>2023-05</v>
      </c>
    </row>
    <row r="1212" spans="1:7" x14ac:dyDescent="0.3">
      <c r="A1212">
        <v>3988</v>
      </c>
      <c r="B1212" t="s">
        <v>30</v>
      </c>
      <c r="C1212" s="7">
        <v>162</v>
      </c>
      <c r="D1212" s="1">
        <v>44859</v>
      </c>
      <c r="E1212" s="29">
        <v>1.9</v>
      </c>
      <c r="F1212" t="s">
        <v>4</v>
      </c>
      <c r="G1212" t="str">
        <f t="shared" si="18"/>
        <v>2022-10</v>
      </c>
    </row>
    <row r="1213" spans="1:7" x14ac:dyDescent="0.3">
      <c r="A1213">
        <v>4016</v>
      </c>
      <c r="B1213" t="s">
        <v>43</v>
      </c>
      <c r="C1213" s="7">
        <v>30</v>
      </c>
      <c r="D1213" s="1">
        <v>44894</v>
      </c>
      <c r="E1213" s="29">
        <v>1.5</v>
      </c>
      <c r="F1213" t="s">
        <v>1</v>
      </c>
      <c r="G1213" t="str">
        <f t="shared" si="18"/>
        <v>2022-11</v>
      </c>
    </row>
    <row r="1214" spans="1:7" x14ac:dyDescent="0.3">
      <c r="A1214">
        <v>4065</v>
      </c>
      <c r="B1214" t="s">
        <v>9</v>
      </c>
      <c r="C1214" s="7">
        <v>145</v>
      </c>
      <c r="D1214" s="1">
        <v>45079</v>
      </c>
      <c r="E1214" s="29">
        <v>3</v>
      </c>
      <c r="F1214" t="s">
        <v>1</v>
      </c>
      <c r="G1214" t="str">
        <f t="shared" si="18"/>
        <v>2023-06</v>
      </c>
    </row>
    <row r="1215" spans="1:7" x14ac:dyDescent="0.3">
      <c r="A1215">
        <v>4084</v>
      </c>
      <c r="B1215" t="s">
        <v>39</v>
      </c>
      <c r="C1215" s="7">
        <v>29</v>
      </c>
      <c r="D1215" s="1">
        <v>44863</v>
      </c>
      <c r="E1215" s="29">
        <v>2.2999999999999998</v>
      </c>
      <c r="F1215" t="s">
        <v>1</v>
      </c>
      <c r="G1215" t="str">
        <f t="shared" si="18"/>
        <v>2022-10</v>
      </c>
    </row>
    <row r="1216" spans="1:7" x14ac:dyDescent="0.3">
      <c r="A1216">
        <v>4028</v>
      </c>
      <c r="B1216" t="s">
        <v>48</v>
      </c>
      <c r="C1216" s="7">
        <v>38</v>
      </c>
      <c r="D1216" s="1">
        <v>45142</v>
      </c>
      <c r="E1216" s="29">
        <v>2</v>
      </c>
      <c r="F1216" t="s">
        <v>4</v>
      </c>
      <c r="G1216" t="str">
        <f t="shared" si="18"/>
        <v>2023-08</v>
      </c>
    </row>
    <row r="1217" spans="1:7" x14ac:dyDescent="0.3">
      <c r="A1217">
        <v>4105</v>
      </c>
      <c r="B1217" t="s">
        <v>51</v>
      </c>
      <c r="C1217" s="7">
        <v>105.1</v>
      </c>
      <c r="D1217" s="1">
        <v>44915</v>
      </c>
      <c r="E1217" s="29">
        <v>4.7</v>
      </c>
      <c r="F1217" t="s">
        <v>4</v>
      </c>
      <c r="G1217" t="str">
        <f t="shared" si="18"/>
        <v>2022-12</v>
      </c>
    </row>
    <row r="1218" spans="1:7" x14ac:dyDescent="0.3">
      <c r="A1218">
        <v>4108</v>
      </c>
      <c r="B1218" t="s">
        <v>22</v>
      </c>
      <c r="C1218" s="7">
        <v>139</v>
      </c>
      <c r="D1218" s="1">
        <v>45047</v>
      </c>
      <c r="E1218" s="29">
        <v>3.1</v>
      </c>
      <c r="F1218" t="s">
        <v>4</v>
      </c>
      <c r="G1218" t="str">
        <f t="shared" si="18"/>
        <v>2023-05</v>
      </c>
    </row>
    <row r="1219" spans="1:7" x14ac:dyDescent="0.3">
      <c r="A1219">
        <v>4026</v>
      </c>
      <c r="B1219" t="s">
        <v>28</v>
      </c>
      <c r="C1219" s="7">
        <v>147</v>
      </c>
      <c r="D1219" s="1">
        <v>45158</v>
      </c>
      <c r="E1219" s="29">
        <v>3.3</v>
      </c>
      <c r="F1219" t="s">
        <v>4</v>
      </c>
      <c r="G1219" t="str">
        <f t="shared" ref="G1219:G1282" si="19">TEXT(D1219,"ГГГГ-ММ")</f>
        <v>2023-08</v>
      </c>
    </row>
    <row r="1220" spans="1:7" x14ac:dyDescent="0.3">
      <c r="A1220">
        <v>4121</v>
      </c>
      <c r="B1220" t="s">
        <v>23</v>
      </c>
      <c r="C1220" s="7">
        <v>107.68518518518501</v>
      </c>
      <c r="D1220" s="1">
        <v>44988</v>
      </c>
      <c r="E1220" s="29">
        <v>1.5</v>
      </c>
      <c r="F1220" t="s">
        <v>4</v>
      </c>
      <c r="G1220" t="str">
        <f t="shared" si="19"/>
        <v>2023-03</v>
      </c>
    </row>
    <row r="1221" spans="1:7" x14ac:dyDescent="0.3">
      <c r="A1221">
        <v>4059</v>
      </c>
      <c r="B1221" t="s">
        <v>35</v>
      </c>
      <c r="C1221" s="7">
        <v>143</v>
      </c>
      <c r="D1221" s="1">
        <v>44857</v>
      </c>
      <c r="E1221" s="29">
        <v>4.5</v>
      </c>
      <c r="F1221" t="s">
        <v>1</v>
      </c>
      <c r="G1221" t="str">
        <f t="shared" si="19"/>
        <v>2022-10</v>
      </c>
    </row>
    <row r="1222" spans="1:7" x14ac:dyDescent="0.3">
      <c r="A1222">
        <v>4048</v>
      </c>
      <c r="B1222" t="s">
        <v>49</v>
      </c>
      <c r="C1222" s="7">
        <v>184</v>
      </c>
      <c r="D1222" s="1">
        <v>45064</v>
      </c>
      <c r="E1222" s="29">
        <v>3.2</v>
      </c>
      <c r="F1222" t="s">
        <v>4</v>
      </c>
      <c r="G1222" t="str">
        <f t="shared" si="19"/>
        <v>2023-05</v>
      </c>
    </row>
    <row r="1223" spans="1:7" x14ac:dyDescent="0.3">
      <c r="A1223">
        <v>4078</v>
      </c>
      <c r="B1223" t="s">
        <v>10</v>
      </c>
      <c r="C1223" s="7">
        <v>159</v>
      </c>
      <c r="D1223" s="1">
        <v>44860</v>
      </c>
      <c r="E1223" s="29">
        <v>1.5</v>
      </c>
      <c r="F1223" t="s">
        <v>1</v>
      </c>
      <c r="G1223" t="str">
        <f t="shared" si="19"/>
        <v>2022-10</v>
      </c>
    </row>
    <row r="1224" spans="1:7" x14ac:dyDescent="0.3">
      <c r="A1224">
        <v>4111</v>
      </c>
      <c r="B1224" t="s">
        <v>9</v>
      </c>
      <c r="C1224" s="7">
        <v>140</v>
      </c>
      <c r="D1224" s="1">
        <v>44940</v>
      </c>
      <c r="E1224" s="29">
        <v>2.9</v>
      </c>
      <c r="F1224" t="s">
        <v>1</v>
      </c>
      <c r="G1224" t="str">
        <f t="shared" si="19"/>
        <v>2023-01</v>
      </c>
    </row>
    <row r="1225" spans="1:7" x14ac:dyDescent="0.3">
      <c r="A1225">
        <v>4060</v>
      </c>
      <c r="B1225" t="s">
        <v>43</v>
      </c>
      <c r="C1225" s="7">
        <v>24</v>
      </c>
      <c r="D1225" s="1">
        <v>44851</v>
      </c>
      <c r="E1225" s="29">
        <v>1.9</v>
      </c>
      <c r="F1225" t="s">
        <v>1</v>
      </c>
      <c r="G1225" t="str">
        <f t="shared" si="19"/>
        <v>2022-10</v>
      </c>
    </row>
    <row r="1226" spans="1:7" x14ac:dyDescent="0.3">
      <c r="A1226">
        <v>4081</v>
      </c>
      <c r="B1226" t="s">
        <v>8</v>
      </c>
      <c r="C1226" s="7">
        <v>141</v>
      </c>
      <c r="D1226" s="1">
        <v>45098</v>
      </c>
      <c r="E1226" s="29">
        <v>1.7</v>
      </c>
      <c r="F1226" t="s">
        <v>4</v>
      </c>
      <c r="G1226" t="str">
        <f t="shared" si="19"/>
        <v>2023-06</v>
      </c>
    </row>
    <row r="1227" spans="1:7" x14ac:dyDescent="0.3">
      <c r="A1227">
        <v>4087</v>
      </c>
      <c r="B1227" t="s">
        <v>43</v>
      </c>
      <c r="C1227" s="7">
        <v>154</v>
      </c>
      <c r="D1227" s="1">
        <v>45158</v>
      </c>
      <c r="E1227" s="29">
        <v>4.2</v>
      </c>
      <c r="F1227" t="s">
        <v>4</v>
      </c>
      <c r="G1227" t="str">
        <f t="shared" si="19"/>
        <v>2023-08</v>
      </c>
    </row>
    <row r="1228" spans="1:7" x14ac:dyDescent="0.3">
      <c r="A1228">
        <v>4028</v>
      </c>
      <c r="B1228" t="s">
        <v>8</v>
      </c>
      <c r="C1228" s="7">
        <v>105.81034482758599</v>
      </c>
      <c r="D1228" s="1">
        <v>45112</v>
      </c>
      <c r="E1228" s="29">
        <v>3.5</v>
      </c>
      <c r="F1228" t="s">
        <v>4</v>
      </c>
      <c r="G1228" t="str">
        <f t="shared" si="19"/>
        <v>2023-07</v>
      </c>
    </row>
    <row r="1229" spans="1:7" x14ac:dyDescent="0.3">
      <c r="A1229">
        <v>3994</v>
      </c>
      <c r="B1229" t="s">
        <v>49</v>
      </c>
      <c r="C1229" s="7">
        <v>88</v>
      </c>
      <c r="D1229" s="1">
        <v>44852</v>
      </c>
      <c r="E1229" s="29">
        <v>1.6</v>
      </c>
      <c r="F1229" t="s">
        <v>1</v>
      </c>
      <c r="G1229" t="str">
        <f t="shared" si="19"/>
        <v>2022-10</v>
      </c>
    </row>
    <row r="1230" spans="1:7" x14ac:dyDescent="0.3">
      <c r="A1230">
        <v>4073</v>
      </c>
      <c r="B1230" t="s">
        <v>34</v>
      </c>
      <c r="C1230" s="7">
        <v>111</v>
      </c>
      <c r="D1230" s="1">
        <v>45101</v>
      </c>
      <c r="E1230" s="29">
        <v>1.2</v>
      </c>
      <c r="F1230" t="s">
        <v>1</v>
      </c>
      <c r="G1230" t="str">
        <f t="shared" si="19"/>
        <v>2023-06</v>
      </c>
    </row>
    <row r="1231" spans="1:7" x14ac:dyDescent="0.3">
      <c r="A1231">
        <v>3984</v>
      </c>
      <c r="B1231" t="s">
        <v>14</v>
      </c>
      <c r="C1231" s="7">
        <v>10</v>
      </c>
      <c r="D1231" s="1">
        <v>45163</v>
      </c>
      <c r="E1231" s="29">
        <v>4.0999999999999996</v>
      </c>
      <c r="F1231" t="s">
        <v>1</v>
      </c>
      <c r="G1231" t="str">
        <f t="shared" si="19"/>
        <v>2023-08</v>
      </c>
    </row>
    <row r="1232" spans="1:7" x14ac:dyDescent="0.3">
      <c r="A1232">
        <v>3988</v>
      </c>
      <c r="B1232" t="s">
        <v>6</v>
      </c>
      <c r="C1232" s="7">
        <v>158</v>
      </c>
      <c r="D1232" s="1">
        <v>44869</v>
      </c>
      <c r="E1232" s="29">
        <v>1.8</v>
      </c>
      <c r="F1232" t="s">
        <v>1</v>
      </c>
      <c r="G1232" t="str">
        <f t="shared" si="19"/>
        <v>2022-11</v>
      </c>
    </row>
    <row r="1233" spans="1:7" x14ac:dyDescent="0.3">
      <c r="A1233">
        <v>4021</v>
      </c>
      <c r="B1233" t="s">
        <v>43</v>
      </c>
      <c r="C1233" s="7">
        <v>117.354166666666</v>
      </c>
      <c r="D1233" s="1">
        <v>45068</v>
      </c>
      <c r="E1233" s="29">
        <v>3.3</v>
      </c>
      <c r="F1233" t="s">
        <v>4</v>
      </c>
      <c r="G1233" t="str">
        <f t="shared" si="19"/>
        <v>2023-05</v>
      </c>
    </row>
    <row r="1234" spans="1:7" x14ac:dyDescent="0.3">
      <c r="A1234">
        <v>4082</v>
      </c>
      <c r="B1234" t="s">
        <v>3</v>
      </c>
      <c r="C1234" s="7">
        <v>189</v>
      </c>
      <c r="D1234" s="1">
        <v>44917</v>
      </c>
      <c r="E1234" s="29">
        <v>2.4</v>
      </c>
      <c r="F1234" t="s">
        <v>4</v>
      </c>
      <c r="G1234" t="str">
        <f t="shared" si="19"/>
        <v>2022-12</v>
      </c>
    </row>
    <row r="1235" spans="1:7" x14ac:dyDescent="0.3">
      <c r="A1235">
        <v>4084</v>
      </c>
      <c r="B1235" t="s">
        <v>0</v>
      </c>
      <c r="C1235" s="7">
        <v>112.145454545454</v>
      </c>
      <c r="D1235" s="1">
        <v>45041</v>
      </c>
      <c r="E1235" s="29">
        <v>4.7</v>
      </c>
      <c r="F1235" t="s">
        <v>1</v>
      </c>
      <c r="G1235" t="str">
        <f t="shared" si="19"/>
        <v>2023-04</v>
      </c>
    </row>
    <row r="1236" spans="1:7" x14ac:dyDescent="0.3">
      <c r="A1236">
        <v>4016</v>
      </c>
      <c r="B1236" t="s">
        <v>11</v>
      </c>
      <c r="C1236" s="7">
        <v>27</v>
      </c>
      <c r="D1236" s="1">
        <v>44912</v>
      </c>
      <c r="E1236" s="29">
        <v>1.8</v>
      </c>
      <c r="F1236" t="s">
        <v>4</v>
      </c>
      <c r="G1236" t="str">
        <f t="shared" si="19"/>
        <v>2022-12</v>
      </c>
    </row>
    <row r="1237" spans="1:7" x14ac:dyDescent="0.3">
      <c r="A1237">
        <v>4117</v>
      </c>
      <c r="B1237" t="s">
        <v>19</v>
      </c>
      <c r="C1237" s="7">
        <v>130</v>
      </c>
      <c r="D1237" s="1">
        <v>45106</v>
      </c>
      <c r="E1237" s="29">
        <v>2.6</v>
      </c>
      <c r="F1237" t="s">
        <v>4</v>
      </c>
      <c r="G1237" t="str">
        <f t="shared" si="19"/>
        <v>2023-06</v>
      </c>
    </row>
    <row r="1238" spans="1:7" x14ac:dyDescent="0.3">
      <c r="A1238">
        <v>3991</v>
      </c>
      <c r="B1238" t="s">
        <v>34</v>
      </c>
      <c r="C1238" s="7">
        <v>110.431818181818</v>
      </c>
      <c r="D1238" s="1">
        <v>44920</v>
      </c>
      <c r="E1238" s="29">
        <v>2.2000000000000002</v>
      </c>
      <c r="F1238" t="s">
        <v>4</v>
      </c>
      <c r="G1238" t="str">
        <f t="shared" si="19"/>
        <v>2022-12</v>
      </c>
    </row>
    <row r="1239" spans="1:7" x14ac:dyDescent="0.3">
      <c r="A1239">
        <v>3964</v>
      </c>
      <c r="B1239" t="s">
        <v>25</v>
      </c>
      <c r="C1239" s="7">
        <v>44</v>
      </c>
      <c r="D1239" s="1">
        <v>45143</v>
      </c>
      <c r="E1239" s="29">
        <v>2.8291666666666599</v>
      </c>
      <c r="F1239" t="s">
        <v>4</v>
      </c>
      <c r="G1239" t="str">
        <f t="shared" si="19"/>
        <v>2023-08</v>
      </c>
    </row>
    <row r="1240" spans="1:7" x14ac:dyDescent="0.3">
      <c r="A1240">
        <v>3982</v>
      </c>
      <c r="B1240" t="s">
        <v>33</v>
      </c>
      <c r="C1240" s="7">
        <v>196</v>
      </c>
      <c r="D1240" s="1">
        <v>45048</v>
      </c>
      <c r="E1240" s="29">
        <v>1.8</v>
      </c>
      <c r="F1240" t="s">
        <v>4</v>
      </c>
      <c r="G1240" t="str">
        <f t="shared" si="19"/>
        <v>2023-05</v>
      </c>
    </row>
    <row r="1241" spans="1:7" x14ac:dyDescent="0.3">
      <c r="A1241">
        <v>3970</v>
      </c>
      <c r="B1241" t="s">
        <v>51</v>
      </c>
      <c r="C1241" s="7">
        <v>117</v>
      </c>
      <c r="D1241" s="1">
        <v>45117</v>
      </c>
      <c r="E1241" s="29">
        <v>2.8</v>
      </c>
      <c r="F1241" t="s">
        <v>1</v>
      </c>
      <c r="G1241" t="str">
        <f t="shared" si="19"/>
        <v>2023-07</v>
      </c>
    </row>
    <row r="1242" spans="1:7" x14ac:dyDescent="0.3">
      <c r="A1242">
        <v>3974</v>
      </c>
      <c r="B1242" t="s">
        <v>10</v>
      </c>
      <c r="C1242" s="7">
        <v>107</v>
      </c>
      <c r="D1242" s="1">
        <v>44925</v>
      </c>
      <c r="E1242" s="29">
        <v>1.3</v>
      </c>
      <c r="F1242" t="s">
        <v>1</v>
      </c>
      <c r="G1242" t="str">
        <f t="shared" si="19"/>
        <v>2022-12</v>
      </c>
    </row>
    <row r="1243" spans="1:7" x14ac:dyDescent="0.3">
      <c r="A1243">
        <v>4084</v>
      </c>
      <c r="B1243" t="s">
        <v>27</v>
      </c>
      <c r="C1243" s="7">
        <v>106</v>
      </c>
      <c r="D1243" s="1">
        <v>45169</v>
      </c>
      <c r="E1243" s="29">
        <v>3.1</v>
      </c>
      <c r="F1243" t="s">
        <v>4</v>
      </c>
      <c r="G1243" t="str">
        <f t="shared" si="19"/>
        <v>2023-08</v>
      </c>
    </row>
    <row r="1244" spans="1:7" x14ac:dyDescent="0.3">
      <c r="A1244">
        <v>3963</v>
      </c>
      <c r="B1244" t="s">
        <v>8</v>
      </c>
      <c r="C1244" s="7">
        <v>184</v>
      </c>
      <c r="D1244" s="1">
        <v>44987</v>
      </c>
      <c r="E1244" s="29">
        <v>1.6</v>
      </c>
      <c r="F1244" t="s">
        <v>1</v>
      </c>
      <c r="G1244" t="str">
        <f t="shared" si="19"/>
        <v>2023-03</v>
      </c>
    </row>
    <row r="1245" spans="1:7" x14ac:dyDescent="0.3">
      <c r="A1245">
        <v>4002</v>
      </c>
      <c r="B1245" t="s">
        <v>6</v>
      </c>
      <c r="C1245" s="7">
        <v>148</v>
      </c>
      <c r="D1245" s="1">
        <v>44989</v>
      </c>
      <c r="E1245" s="29">
        <v>1.2</v>
      </c>
      <c r="F1245" t="s">
        <v>1</v>
      </c>
      <c r="G1245" t="str">
        <f t="shared" si="19"/>
        <v>2023-03</v>
      </c>
    </row>
    <row r="1246" spans="1:7" x14ac:dyDescent="0.3">
      <c r="A1246">
        <v>4054</v>
      </c>
      <c r="B1246" t="s">
        <v>48</v>
      </c>
      <c r="C1246" s="7">
        <v>107.26027397260199</v>
      </c>
      <c r="D1246" s="1">
        <v>45105</v>
      </c>
      <c r="E1246" s="29">
        <v>2.6</v>
      </c>
      <c r="F1246" t="s">
        <v>1</v>
      </c>
      <c r="G1246" t="str">
        <f t="shared" si="19"/>
        <v>2023-06</v>
      </c>
    </row>
    <row r="1247" spans="1:7" x14ac:dyDescent="0.3">
      <c r="A1247">
        <v>4111</v>
      </c>
      <c r="B1247" t="s">
        <v>2</v>
      </c>
      <c r="C1247" s="7">
        <v>40</v>
      </c>
      <c r="D1247" s="1">
        <v>45003</v>
      </c>
      <c r="E1247" s="29">
        <v>3.5</v>
      </c>
      <c r="F1247" t="s">
        <v>4</v>
      </c>
      <c r="G1247" t="str">
        <f t="shared" si="19"/>
        <v>2023-03</v>
      </c>
    </row>
    <row r="1248" spans="1:7" x14ac:dyDescent="0.3">
      <c r="A1248">
        <v>4040</v>
      </c>
      <c r="B1248" t="s">
        <v>34</v>
      </c>
      <c r="C1248" s="7">
        <v>110.431818181818</v>
      </c>
      <c r="D1248" s="1">
        <v>44851</v>
      </c>
      <c r="E1248" s="29">
        <v>4.7</v>
      </c>
      <c r="F1248" t="s">
        <v>4</v>
      </c>
      <c r="G1248" t="str">
        <f t="shared" si="19"/>
        <v>2022-10</v>
      </c>
    </row>
    <row r="1249" spans="1:7" x14ac:dyDescent="0.3">
      <c r="A1249">
        <v>3996</v>
      </c>
      <c r="B1249" t="s">
        <v>0</v>
      </c>
      <c r="C1249" s="7">
        <v>145</v>
      </c>
      <c r="D1249" s="1">
        <v>45174</v>
      </c>
      <c r="E1249" s="29">
        <v>1.6</v>
      </c>
      <c r="F1249" t="s">
        <v>4</v>
      </c>
      <c r="G1249" t="str">
        <f t="shared" si="19"/>
        <v>2023-09</v>
      </c>
    </row>
    <row r="1250" spans="1:7" x14ac:dyDescent="0.3">
      <c r="A1250">
        <v>4034</v>
      </c>
      <c r="B1250" t="s">
        <v>31</v>
      </c>
      <c r="C1250" s="7">
        <v>88.827586206896498</v>
      </c>
      <c r="D1250" s="1">
        <v>44845</v>
      </c>
      <c r="E1250" s="29">
        <v>1.9</v>
      </c>
      <c r="F1250" t="s">
        <v>1</v>
      </c>
      <c r="G1250" t="str">
        <f t="shared" si="19"/>
        <v>2022-10</v>
      </c>
    </row>
    <row r="1251" spans="1:7" x14ac:dyDescent="0.3">
      <c r="A1251">
        <v>4116</v>
      </c>
      <c r="B1251" t="s">
        <v>31</v>
      </c>
      <c r="C1251" s="7">
        <v>10</v>
      </c>
      <c r="D1251" s="1">
        <v>45070</v>
      </c>
      <c r="E1251" s="29">
        <v>3.3</v>
      </c>
      <c r="F1251" t="s">
        <v>1</v>
      </c>
      <c r="G1251" t="str">
        <f t="shared" si="19"/>
        <v>2023-05</v>
      </c>
    </row>
    <row r="1252" spans="1:7" x14ac:dyDescent="0.3">
      <c r="A1252">
        <v>4116</v>
      </c>
      <c r="B1252" t="s">
        <v>47</v>
      </c>
      <c r="C1252" s="7">
        <v>86</v>
      </c>
      <c r="D1252" s="1">
        <v>44911</v>
      </c>
      <c r="E1252" s="29">
        <v>4.0999999999999996</v>
      </c>
      <c r="F1252" t="s">
        <v>4</v>
      </c>
      <c r="G1252" t="str">
        <f t="shared" si="19"/>
        <v>2022-12</v>
      </c>
    </row>
    <row r="1253" spans="1:7" x14ac:dyDescent="0.3">
      <c r="A1253">
        <v>3981</v>
      </c>
      <c r="B1253" t="s">
        <v>7</v>
      </c>
      <c r="C1253" s="7">
        <v>194</v>
      </c>
      <c r="D1253" s="1">
        <v>45100</v>
      </c>
      <c r="E1253" s="29">
        <v>1.9</v>
      </c>
      <c r="F1253" t="s">
        <v>1</v>
      </c>
      <c r="G1253" t="str">
        <f t="shared" si="19"/>
        <v>2023-06</v>
      </c>
    </row>
    <row r="1254" spans="1:7" x14ac:dyDescent="0.3">
      <c r="A1254">
        <v>3976</v>
      </c>
      <c r="B1254" t="s">
        <v>51</v>
      </c>
      <c r="C1254" s="7">
        <v>146</v>
      </c>
      <c r="D1254" s="1">
        <v>45095</v>
      </c>
      <c r="E1254" s="29">
        <v>3.3</v>
      </c>
      <c r="F1254" t="s">
        <v>1</v>
      </c>
      <c r="G1254" t="str">
        <f t="shared" si="19"/>
        <v>2023-06</v>
      </c>
    </row>
    <row r="1255" spans="1:7" x14ac:dyDescent="0.3">
      <c r="A1255">
        <v>4090</v>
      </c>
      <c r="B1255" t="s">
        <v>29</v>
      </c>
      <c r="C1255" s="7">
        <v>68</v>
      </c>
      <c r="D1255" s="1">
        <v>45173</v>
      </c>
      <c r="E1255" s="29">
        <v>2.69137931034482</v>
      </c>
      <c r="F1255" t="s">
        <v>1</v>
      </c>
      <c r="G1255" t="str">
        <f t="shared" si="19"/>
        <v>2023-09</v>
      </c>
    </row>
    <row r="1256" spans="1:7" x14ac:dyDescent="0.3">
      <c r="A1256">
        <v>4083</v>
      </c>
      <c r="B1256" t="s">
        <v>20</v>
      </c>
      <c r="C1256" s="7">
        <v>98</v>
      </c>
      <c r="D1256" s="1">
        <v>45132</v>
      </c>
      <c r="E1256" s="29">
        <v>4.5999999999999996</v>
      </c>
      <c r="F1256" t="s">
        <v>1</v>
      </c>
      <c r="G1256" t="str">
        <f t="shared" si="19"/>
        <v>2023-07</v>
      </c>
    </row>
    <row r="1257" spans="1:7" x14ac:dyDescent="0.3">
      <c r="A1257">
        <v>4076</v>
      </c>
      <c r="B1257" t="s">
        <v>45</v>
      </c>
      <c r="C1257" s="7">
        <v>111.564102564102</v>
      </c>
      <c r="D1257" s="1">
        <v>45009</v>
      </c>
      <c r="E1257" s="29">
        <v>3.6</v>
      </c>
      <c r="F1257" t="s">
        <v>1</v>
      </c>
      <c r="G1257" t="str">
        <f t="shared" si="19"/>
        <v>2023-03</v>
      </c>
    </row>
    <row r="1258" spans="1:7" x14ac:dyDescent="0.3">
      <c r="A1258">
        <v>4008</v>
      </c>
      <c r="B1258" t="s">
        <v>9</v>
      </c>
      <c r="C1258" s="7">
        <v>103.564102564102</v>
      </c>
      <c r="D1258" s="1">
        <v>45125</v>
      </c>
      <c r="E1258" s="29">
        <v>3.5</v>
      </c>
      <c r="F1258" t="s">
        <v>1</v>
      </c>
      <c r="G1258" t="str">
        <f t="shared" si="19"/>
        <v>2023-07</v>
      </c>
    </row>
    <row r="1259" spans="1:7" x14ac:dyDescent="0.3">
      <c r="A1259">
        <v>4032</v>
      </c>
      <c r="B1259" t="s">
        <v>39</v>
      </c>
      <c r="C1259" s="7">
        <v>38</v>
      </c>
      <c r="D1259" s="1">
        <v>44930</v>
      </c>
      <c r="E1259" s="29">
        <v>4</v>
      </c>
      <c r="F1259" t="s">
        <v>1</v>
      </c>
      <c r="G1259" t="str">
        <f t="shared" si="19"/>
        <v>2023-01</v>
      </c>
    </row>
    <row r="1260" spans="1:7" x14ac:dyDescent="0.3">
      <c r="A1260">
        <v>4084</v>
      </c>
      <c r="B1260" t="s">
        <v>5</v>
      </c>
      <c r="C1260" s="7">
        <v>98.967741935483801</v>
      </c>
      <c r="D1260" s="1">
        <v>45164</v>
      </c>
      <c r="E1260" s="29">
        <v>3.5</v>
      </c>
      <c r="F1260" t="s">
        <v>1</v>
      </c>
      <c r="G1260" t="str">
        <f t="shared" si="19"/>
        <v>2023-08</v>
      </c>
    </row>
    <row r="1261" spans="1:7" x14ac:dyDescent="0.3">
      <c r="A1261">
        <v>4082</v>
      </c>
      <c r="B1261" t="s">
        <v>42</v>
      </c>
      <c r="C1261" s="7">
        <v>167</v>
      </c>
      <c r="D1261" s="1">
        <v>45167</v>
      </c>
      <c r="E1261" s="29">
        <v>5</v>
      </c>
      <c r="F1261" t="s">
        <v>4</v>
      </c>
      <c r="G1261" t="str">
        <f t="shared" si="19"/>
        <v>2023-08</v>
      </c>
    </row>
    <row r="1262" spans="1:7" x14ac:dyDescent="0.3">
      <c r="A1262">
        <v>4086</v>
      </c>
      <c r="B1262" t="s">
        <v>13</v>
      </c>
      <c r="C1262" s="7">
        <v>14</v>
      </c>
      <c r="D1262" s="1">
        <v>45075</v>
      </c>
      <c r="E1262" s="29">
        <v>4.7</v>
      </c>
      <c r="F1262" t="s">
        <v>1</v>
      </c>
      <c r="G1262" t="str">
        <f t="shared" si="19"/>
        <v>2023-05</v>
      </c>
    </row>
    <row r="1263" spans="1:7" x14ac:dyDescent="0.3">
      <c r="A1263">
        <v>4023</v>
      </c>
      <c r="B1263" t="s">
        <v>31</v>
      </c>
      <c r="C1263" s="7">
        <v>27</v>
      </c>
      <c r="D1263" s="1">
        <v>45159</v>
      </c>
      <c r="E1263" s="29">
        <v>3.1</v>
      </c>
      <c r="F1263" t="s">
        <v>4</v>
      </c>
      <c r="G1263" t="str">
        <f t="shared" si="19"/>
        <v>2023-08</v>
      </c>
    </row>
    <row r="1264" spans="1:7" x14ac:dyDescent="0.3">
      <c r="A1264">
        <v>4095</v>
      </c>
      <c r="B1264" t="s">
        <v>20</v>
      </c>
      <c r="C1264" s="7">
        <v>105.95348837209301</v>
      </c>
      <c r="D1264" s="1">
        <v>44977</v>
      </c>
      <c r="E1264" s="29">
        <v>1.6</v>
      </c>
      <c r="F1264" t="s">
        <v>4</v>
      </c>
      <c r="G1264" t="str">
        <f t="shared" si="19"/>
        <v>2023-02</v>
      </c>
    </row>
    <row r="1265" spans="1:7" x14ac:dyDescent="0.3">
      <c r="A1265">
        <v>4044</v>
      </c>
      <c r="B1265" t="s">
        <v>5</v>
      </c>
      <c r="C1265" s="7">
        <v>98.967741935483801</v>
      </c>
      <c r="D1265" s="1">
        <v>44881</v>
      </c>
      <c r="E1265" s="29">
        <v>1.7</v>
      </c>
      <c r="F1265" t="s">
        <v>4</v>
      </c>
      <c r="G1265" t="str">
        <f t="shared" si="19"/>
        <v>2022-11</v>
      </c>
    </row>
    <row r="1266" spans="1:7" x14ac:dyDescent="0.3">
      <c r="A1266">
        <v>4095</v>
      </c>
      <c r="B1266" t="s">
        <v>32</v>
      </c>
      <c r="C1266" s="7">
        <v>190</v>
      </c>
      <c r="D1266" s="1">
        <v>44874</v>
      </c>
      <c r="E1266" s="29">
        <v>5</v>
      </c>
      <c r="F1266" t="s">
        <v>4</v>
      </c>
      <c r="G1266" t="str">
        <f t="shared" si="19"/>
        <v>2022-11</v>
      </c>
    </row>
    <row r="1267" spans="1:7" x14ac:dyDescent="0.3">
      <c r="A1267">
        <v>4096</v>
      </c>
      <c r="B1267" t="s">
        <v>2</v>
      </c>
      <c r="C1267" s="7">
        <v>72</v>
      </c>
      <c r="D1267" s="1">
        <v>45050</v>
      </c>
      <c r="E1267" s="29">
        <v>2.5</v>
      </c>
      <c r="F1267" t="s">
        <v>4</v>
      </c>
      <c r="G1267" t="str">
        <f t="shared" si="19"/>
        <v>2023-05</v>
      </c>
    </row>
    <row r="1268" spans="1:7" x14ac:dyDescent="0.3">
      <c r="A1268">
        <v>3961</v>
      </c>
      <c r="B1268" t="s">
        <v>10</v>
      </c>
      <c r="C1268" s="7">
        <v>112</v>
      </c>
      <c r="D1268" s="1">
        <v>45112</v>
      </c>
      <c r="E1268" s="29">
        <v>2.91904761904761</v>
      </c>
      <c r="F1268" t="s">
        <v>4</v>
      </c>
      <c r="G1268" t="str">
        <f t="shared" si="19"/>
        <v>2023-07</v>
      </c>
    </row>
    <row r="1269" spans="1:7" x14ac:dyDescent="0.3">
      <c r="A1269">
        <v>3965</v>
      </c>
      <c r="B1269" t="s">
        <v>31</v>
      </c>
      <c r="C1269" s="7">
        <v>148</v>
      </c>
      <c r="D1269" s="1">
        <v>44837</v>
      </c>
      <c r="E1269" s="29">
        <v>1.6</v>
      </c>
      <c r="F1269" t="s">
        <v>4</v>
      </c>
      <c r="G1269" t="str">
        <f t="shared" si="19"/>
        <v>2022-10</v>
      </c>
    </row>
    <row r="1270" spans="1:7" x14ac:dyDescent="0.3">
      <c r="A1270">
        <v>4067</v>
      </c>
      <c r="B1270" t="s">
        <v>15</v>
      </c>
      <c r="C1270" s="7">
        <v>24</v>
      </c>
      <c r="D1270" s="1">
        <v>45052</v>
      </c>
      <c r="E1270" s="29">
        <v>3.8</v>
      </c>
      <c r="F1270" t="s">
        <v>4</v>
      </c>
      <c r="G1270" t="str">
        <f t="shared" si="19"/>
        <v>2023-05</v>
      </c>
    </row>
    <row r="1271" spans="1:7" x14ac:dyDescent="0.3">
      <c r="A1271">
        <v>3987</v>
      </c>
      <c r="B1271" t="s">
        <v>35</v>
      </c>
      <c r="C1271" s="7">
        <v>97.071428571428498</v>
      </c>
      <c r="D1271" s="1">
        <v>45139</v>
      </c>
      <c r="E1271" s="29">
        <v>1.9</v>
      </c>
      <c r="F1271" t="s">
        <v>1</v>
      </c>
      <c r="G1271" t="str">
        <f t="shared" si="19"/>
        <v>2023-08</v>
      </c>
    </row>
    <row r="1272" spans="1:7" x14ac:dyDescent="0.3">
      <c r="A1272">
        <v>4055</v>
      </c>
      <c r="B1272" t="s">
        <v>47</v>
      </c>
      <c r="C1272" s="7">
        <v>69</v>
      </c>
      <c r="D1272" s="1">
        <v>45186</v>
      </c>
      <c r="E1272" s="29">
        <v>4.4000000000000004</v>
      </c>
      <c r="F1272" t="s">
        <v>1</v>
      </c>
      <c r="G1272" t="str">
        <f t="shared" si="19"/>
        <v>2023-09</v>
      </c>
    </row>
    <row r="1273" spans="1:7" x14ac:dyDescent="0.3">
      <c r="A1273">
        <v>4072</v>
      </c>
      <c r="B1273" t="s">
        <v>46</v>
      </c>
      <c r="C1273" s="7">
        <v>197</v>
      </c>
      <c r="D1273" s="1">
        <v>44893</v>
      </c>
      <c r="E1273" s="29">
        <v>4.8</v>
      </c>
      <c r="F1273" t="s">
        <v>1</v>
      </c>
      <c r="G1273" t="str">
        <f t="shared" si="19"/>
        <v>2022-11</v>
      </c>
    </row>
    <row r="1274" spans="1:7" x14ac:dyDescent="0.3">
      <c r="A1274">
        <v>4037</v>
      </c>
      <c r="B1274" t="s">
        <v>13</v>
      </c>
      <c r="C1274" s="7">
        <v>157</v>
      </c>
      <c r="D1274" s="1">
        <v>45143</v>
      </c>
      <c r="E1274" s="29">
        <v>2.7</v>
      </c>
      <c r="F1274" t="s">
        <v>1</v>
      </c>
      <c r="G1274" t="str">
        <f t="shared" si="19"/>
        <v>2023-08</v>
      </c>
    </row>
    <row r="1275" spans="1:7" x14ac:dyDescent="0.3">
      <c r="A1275">
        <v>4053</v>
      </c>
      <c r="B1275" t="s">
        <v>35</v>
      </c>
      <c r="C1275" s="7">
        <v>182</v>
      </c>
      <c r="D1275" s="1">
        <v>45033</v>
      </c>
      <c r="E1275" s="29">
        <v>2.8</v>
      </c>
      <c r="F1275" t="s">
        <v>4</v>
      </c>
      <c r="G1275" t="str">
        <f t="shared" si="19"/>
        <v>2023-04</v>
      </c>
    </row>
    <row r="1276" spans="1:7" x14ac:dyDescent="0.3">
      <c r="A1276">
        <v>4070</v>
      </c>
      <c r="B1276" t="s">
        <v>50</v>
      </c>
      <c r="C1276" s="7">
        <v>70</v>
      </c>
      <c r="D1276" s="1">
        <v>44892</v>
      </c>
      <c r="E1276" s="29">
        <v>2.5</v>
      </c>
      <c r="F1276" t="s">
        <v>4</v>
      </c>
      <c r="G1276" t="str">
        <f t="shared" si="19"/>
        <v>2022-11</v>
      </c>
    </row>
    <row r="1277" spans="1:7" x14ac:dyDescent="0.3">
      <c r="A1277">
        <v>4074</v>
      </c>
      <c r="B1277" t="s">
        <v>43</v>
      </c>
      <c r="C1277" s="7">
        <v>46</v>
      </c>
      <c r="D1277" s="1">
        <v>44923</v>
      </c>
      <c r="E1277" s="29">
        <v>2.6</v>
      </c>
      <c r="F1277" t="s">
        <v>4</v>
      </c>
      <c r="G1277" t="str">
        <f t="shared" si="19"/>
        <v>2022-12</v>
      </c>
    </row>
    <row r="1278" spans="1:7" x14ac:dyDescent="0.3">
      <c r="A1278">
        <v>3966</v>
      </c>
      <c r="B1278" t="s">
        <v>7</v>
      </c>
      <c r="C1278" s="7">
        <v>143</v>
      </c>
      <c r="D1278" s="1">
        <v>45077</v>
      </c>
      <c r="E1278" s="29">
        <v>1.8</v>
      </c>
      <c r="F1278" t="s">
        <v>4</v>
      </c>
      <c r="G1278" t="str">
        <f t="shared" si="19"/>
        <v>2023-05</v>
      </c>
    </row>
    <row r="1279" spans="1:7" x14ac:dyDescent="0.3">
      <c r="A1279">
        <v>3965</v>
      </c>
      <c r="B1279" t="s">
        <v>27</v>
      </c>
      <c r="C1279" s="7">
        <v>86</v>
      </c>
      <c r="D1279" s="1">
        <v>45043</v>
      </c>
      <c r="E1279" s="29">
        <v>1.8</v>
      </c>
      <c r="F1279" t="s">
        <v>4</v>
      </c>
      <c r="G1279" t="str">
        <f t="shared" si="19"/>
        <v>2023-04</v>
      </c>
    </row>
    <row r="1280" spans="1:7" x14ac:dyDescent="0.3">
      <c r="A1280">
        <v>4002</v>
      </c>
      <c r="B1280" t="s">
        <v>47</v>
      </c>
      <c r="C1280" s="7">
        <v>152</v>
      </c>
      <c r="D1280" s="1">
        <v>45036</v>
      </c>
      <c r="E1280" s="29">
        <v>4.5</v>
      </c>
      <c r="F1280" t="s">
        <v>4</v>
      </c>
      <c r="G1280" t="str">
        <f t="shared" si="19"/>
        <v>2023-04</v>
      </c>
    </row>
    <row r="1281" spans="1:7" x14ac:dyDescent="0.3">
      <c r="A1281">
        <v>4099</v>
      </c>
      <c r="B1281" t="s">
        <v>48</v>
      </c>
      <c r="C1281" s="7">
        <v>198</v>
      </c>
      <c r="D1281" s="1">
        <v>44903</v>
      </c>
      <c r="E1281" s="29">
        <v>3.5</v>
      </c>
      <c r="F1281" t="s">
        <v>4</v>
      </c>
      <c r="G1281" t="str">
        <f t="shared" si="19"/>
        <v>2022-12</v>
      </c>
    </row>
    <row r="1282" spans="1:7" x14ac:dyDescent="0.3">
      <c r="A1282">
        <v>4034</v>
      </c>
      <c r="B1282" t="s">
        <v>37</v>
      </c>
      <c r="C1282" s="7">
        <v>170</v>
      </c>
      <c r="D1282" s="1">
        <v>44843</v>
      </c>
      <c r="E1282" s="29">
        <v>3.2</v>
      </c>
      <c r="F1282" t="s">
        <v>4</v>
      </c>
      <c r="G1282" t="str">
        <f t="shared" si="19"/>
        <v>2022-10</v>
      </c>
    </row>
    <row r="1283" spans="1:7" x14ac:dyDescent="0.3">
      <c r="A1283">
        <v>3999</v>
      </c>
      <c r="B1283" t="s">
        <v>29</v>
      </c>
      <c r="C1283" s="7">
        <v>152</v>
      </c>
      <c r="D1283" s="1">
        <v>45121</v>
      </c>
      <c r="E1283" s="29">
        <v>2.6</v>
      </c>
      <c r="F1283" t="s">
        <v>4</v>
      </c>
      <c r="G1283" t="str">
        <f t="shared" ref="G1283:G1346" si="20">TEXT(D1283,"ГГГГ-ММ")</f>
        <v>2023-07</v>
      </c>
    </row>
    <row r="1284" spans="1:7" x14ac:dyDescent="0.3">
      <c r="A1284">
        <v>4082</v>
      </c>
      <c r="B1284" t="s">
        <v>42</v>
      </c>
      <c r="C1284" s="7">
        <v>98</v>
      </c>
      <c r="D1284" s="1">
        <v>44852</v>
      </c>
      <c r="E1284" s="29">
        <v>1.9</v>
      </c>
      <c r="F1284" t="s">
        <v>4</v>
      </c>
      <c r="G1284" t="str">
        <f t="shared" si="20"/>
        <v>2022-10</v>
      </c>
    </row>
    <row r="1285" spans="1:7" x14ac:dyDescent="0.3">
      <c r="A1285">
        <v>4067</v>
      </c>
      <c r="B1285" t="s">
        <v>15</v>
      </c>
      <c r="C1285" s="7">
        <v>181</v>
      </c>
      <c r="D1285" s="1">
        <v>45107</v>
      </c>
      <c r="E1285" s="29">
        <v>1.4</v>
      </c>
      <c r="F1285" t="s">
        <v>4</v>
      </c>
      <c r="G1285" t="str">
        <f t="shared" si="20"/>
        <v>2023-06</v>
      </c>
    </row>
    <row r="1286" spans="1:7" x14ac:dyDescent="0.3">
      <c r="A1286">
        <v>3991</v>
      </c>
      <c r="B1286" t="s">
        <v>14</v>
      </c>
      <c r="C1286" s="7">
        <v>144</v>
      </c>
      <c r="D1286" s="1">
        <v>44904</v>
      </c>
      <c r="E1286" s="29">
        <v>2.2000000000000002</v>
      </c>
      <c r="F1286" t="s">
        <v>4</v>
      </c>
      <c r="G1286" t="str">
        <f t="shared" si="20"/>
        <v>2022-12</v>
      </c>
    </row>
    <row r="1287" spans="1:7" x14ac:dyDescent="0.3">
      <c r="A1287">
        <v>4036</v>
      </c>
      <c r="B1287" t="s">
        <v>36</v>
      </c>
      <c r="C1287" s="7">
        <v>116</v>
      </c>
      <c r="D1287" s="1">
        <v>44844</v>
      </c>
      <c r="E1287" s="29">
        <v>4.0999999999999996</v>
      </c>
      <c r="F1287" t="s">
        <v>1</v>
      </c>
      <c r="G1287" t="str">
        <f t="shared" si="20"/>
        <v>2022-10</v>
      </c>
    </row>
    <row r="1288" spans="1:7" x14ac:dyDescent="0.3">
      <c r="A1288">
        <v>4056</v>
      </c>
      <c r="B1288" t="s">
        <v>17</v>
      </c>
      <c r="C1288" s="7">
        <v>86</v>
      </c>
      <c r="D1288" s="1">
        <v>44958</v>
      </c>
      <c r="E1288" s="29">
        <v>1.2</v>
      </c>
      <c r="F1288" t="s">
        <v>4</v>
      </c>
      <c r="G1288" t="str">
        <f t="shared" si="20"/>
        <v>2023-02</v>
      </c>
    </row>
    <row r="1289" spans="1:7" x14ac:dyDescent="0.3">
      <c r="A1289">
        <v>4081</v>
      </c>
      <c r="B1289" t="s">
        <v>40</v>
      </c>
      <c r="C1289" s="7">
        <v>147</v>
      </c>
      <c r="D1289" s="1">
        <v>45155</v>
      </c>
      <c r="E1289" s="29">
        <v>3.2</v>
      </c>
      <c r="F1289" t="s">
        <v>1</v>
      </c>
      <c r="G1289" t="str">
        <f t="shared" si="20"/>
        <v>2023-08</v>
      </c>
    </row>
    <row r="1290" spans="1:7" x14ac:dyDescent="0.3">
      <c r="A1290">
        <v>3985</v>
      </c>
      <c r="B1290" t="s">
        <v>6</v>
      </c>
      <c r="C1290" s="7">
        <v>67</v>
      </c>
      <c r="D1290" s="1">
        <v>44897</v>
      </c>
      <c r="E1290" s="29">
        <v>2.5</v>
      </c>
      <c r="F1290" t="s">
        <v>4</v>
      </c>
      <c r="G1290" t="str">
        <f t="shared" si="20"/>
        <v>2022-12</v>
      </c>
    </row>
    <row r="1291" spans="1:7" x14ac:dyDescent="0.3">
      <c r="A1291">
        <v>4102</v>
      </c>
      <c r="B1291" t="s">
        <v>11</v>
      </c>
      <c r="C1291" s="7">
        <v>191</v>
      </c>
      <c r="D1291" s="1">
        <v>45069</v>
      </c>
      <c r="E1291" s="29">
        <v>1.7</v>
      </c>
      <c r="F1291" t="s">
        <v>4</v>
      </c>
      <c r="G1291" t="str">
        <f t="shared" si="20"/>
        <v>2023-05</v>
      </c>
    </row>
    <row r="1292" spans="1:7" x14ac:dyDescent="0.3">
      <c r="A1292">
        <v>4082</v>
      </c>
      <c r="B1292" t="s">
        <v>24</v>
      </c>
      <c r="C1292" s="7">
        <v>95.292307692307702</v>
      </c>
      <c r="D1292" s="1">
        <v>44865</v>
      </c>
      <c r="E1292" s="29">
        <v>3.8</v>
      </c>
      <c r="F1292" t="s">
        <v>4</v>
      </c>
      <c r="G1292" t="str">
        <f t="shared" si="20"/>
        <v>2022-10</v>
      </c>
    </row>
    <row r="1293" spans="1:7" x14ac:dyDescent="0.3">
      <c r="A1293">
        <v>4098</v>
      </c>
      <c r="B1293" t="s">
        <v>10</v>
      </c>
      <c r="C1293" s="7">
        <v>24</v>
      </c>
      <c r="D1293" s="1">
        <v>45161</v>
      </c>
      <c r="E1293" s="29">
        <v>3.7</v>
      </c>
      <c r="F1293" t="s">
        <v>1</v>
      </c>
      <c r="G1293" t="str">
        <f t="shared" si="20"/>
        <v>2023-08</v>
      </c>
    </row>
    <row r="1294" spans="1:7" x14ac:dyDescent="0.3">
      <c r="A1294">
        <v>4095</v>
      </c>
      <c r="B1294" t="s">
        <v>16</v>
      </c>
      <c r="C1294" s="7">
        <v>116</v>
      </c>
      <c r="D1294" s="1">
        <v>44925</v>
      </c>
      <c r="E1294" s="29">
        <v>4</v>
      </c>
      <c r="F1294" t="s">
        <v>4</v>
      </c>
      <c r="G1294" t="str">
        <f t="shared" si="20"/>
        <v>2022-12</v>
      </c>
    </row>
    <row r="1295" spans="1:7" x14ac:dyDescent="0.3">
      <c r="A1295">
        <v>4103</v>
      </c>
      <c r="B1295" t="s">
        <v>2</v>
      </c>
      <c r="C1295" s="7">
        <v>44</v>
      </c>
      <c r="D1295" s="1">
        <v>45051</v>
      </c>
      <c r="E1295" s="29">
        <v>1.6</v>
      </c>
      <c r="F1295" t="s">
        <v>4</v>
      </c>
      <c r="G1295" t="str">
        <f t="shared" si="20"/>
        <v>2023-05</v>
      </c>
    </row>
    <row r="1296" spans="1:7" x14ac:dyDescent="0.3">
      <c r="A1296">
        <v>4077</v>
      </c>
      <c r="B1296" t="s">
        <v>41</v>
      </c>
      <c r="C1296" s="7">
        <v>75</v>
      </c>
      <c r="D1296" s="1">
        <v>44935</v>
      </c>
      <c r="E1296" s="29">
        <v>4.0999999999999996</v>
      </c>
      <c r="F1296" t="s">
        <v>1</v>
      </c>
      <c r="G1296" t="str">
        <f t="shared" si="20"/>
        <v>2023-01</v>
      </c>
    </row>
    <row r="1297" spans="1:7" x14ac:dyDescent="0.3">
      <c r="A1297">
        <v>4078</v>
      </c>
      <c r="B1297" t="s">
        <v>21</v>
      </c>
      <c r="C1297" s="7">
        <v>175</v>
      </c>
      <c r="D1297" s="1">
        <v>45180</v>
      </c>
      <c r="E1297" s="29">
        <v>2.6</v>
      </c>
      <c r="F1297" t="s">
        <v>1</v>
      </c>
      <c r="G1297" t="str">
        <f t="shared" si="20"/>
        <v>2023-09</v>
      </c>
    </row>
    <row r="1298" spans="1:7" x14ac:dyDescent="0.3">
      <c r="A1298">
        <v>4100</v>
      </c>
      <c r="B1298" t="s">
        <v>24</v>
      </c>
      <c r="C1298" s="7">
        <v>95.292307692307602</v>
      </c>
      <c r="D1298" s="1">
        <v>44971</v>
      </c>
      <c r="E1298" s="29">
        <v>4.5</v>
      </c>
      <c r="F1298" t="s">
        <v>4</v>
      </c>
      <c r="G1298" t="str">
        <f t="shared" si="20"/>
        <v>2023-02</v>
      </c>
    </row>
    <row r="1299" spans="1:7" x14ac:dyDescent="0.3">
      <c r="A1299">
        <v>3997</v>
      </c>
      <c r="B1299" t="s">
        <v>31</v>
      </c>
      <c r="C1299" s="7">
        <v>104</v>
      </c>
      <c r="D1299" s="1">
        <v>44979</v>
      </c>
      <c r="E1299" s="29">
        <v>4.7</v>
      </c>
      <c r="F1299" t="s">
        <v>1</v>
      </c>
      <c r="G1299" t="str">
        <f t="shared" si="20"/>
        <v>2023-02</v>
      </c>
    </row>
    <row r="1300" spans="1:7" x14ac:dyDescent="0.3">
      <c r="A1300">
        <v>4086</v>
      </c>
      <c r="B1300" t="s">
        <v>8</v>
      </c>
      <c r="C1300" s="7">
        <v>105.81034482758599</v>
      </c>
      <c r="D1300" s="1">
        <v>44973</v>
      </c>
      <c r="E1300" s="29">
        <v>4.7</v>
      </c>
      <c r="F1300" t="s">
        <v>4</v>
      </c>
      <c r="G1300" t="str">
        <f t="shared" si="20"/>
        <v>2023-02</v>
      </c>
    </row>
    <row r="1301" spans="1:7" x14ac:dyDescent="0.3">
      <c r="A1301">
        <v>3971</v>
      </c>
      <c r="B1301" t="s">
        <v>44</v>
      </c>
      <c r="C1301" s="7">
        <v>58</v>
      </c>
      <c r="D1301" s="1">
        <v>44947</v>
      </c>
      <c r="E1301" s="29">
        <v>3.9</v>
      </c>
      <c r="F1301" t="s">
        <v>4</v>
      </c>
      <c r="G1301" t="str">
        <f t="shared" si="20"/>
        <v>2023-01</v>
      </c>
    </row>
    <row r="1302" spans="1:7" x14ac:dyDescent="0.3">
      <c r="A1302">
        <v>4057</v>
      </c>
      <c r="B1302" t="s">
        <v>30</v>
      </c>
      <c r="C1302" s="7">
        <v>99.866666666666603</v>
      </c>
      <c r="D1302" s="1">
        <v>45002</v>
      </c>
      <c r="E1302" s="29">
        <v>3.7</v>
      </c>
      <c r="F1302" t="s">
        <v>1</v>
      </c>
      <c r="G1302" t="str">
        <f t="shared" si="20"/>
        <v>2023-03</v>
      </c>
    </row>
    <row r="1303" spans="1:7" x14ac:dyDescent="0.3">
      <c r="A1303">
        <v>4024</v>
      </c>
      <c r="B1303" t="s">
        <v>23</v>
      </c>
      <c r="C1303" s="7">
        <v>164</v>
      </c>
      <c r="D1303" s="1">
        <v>45140</v>
      </c>
      <c r="E1303" s="29">
        <v>1.3</v>
      </c>
      <c r="F1303" t="s">
        <v>4</v>
      </c>
      <c r="G1303" t="str">
        <f t="shared" si="20"/>
        <v>2023-08</v>
      </c>
    </row>
    <row r="1304" spans="1:7" x14ac:dyDescent="0.3">
      <c r="A1304">
        <v>4083</v>
      </c>
      <c r="B1304" t="s">
        <v>20</v>
      </c>
      <c r="C1304" s="7">
        <v>28</v>
      </c>
      <c r="D1304" s="1">
        <v>45031</v>
      </c>
      <c r="E1304" s="29">
        <v>2.8545454545454501</v>
      </c>
      <c r="F1304" t="s">
        <v>1</v>
      </c>
      <c r="G1304" t="str">
        <f t="shared" si="20"/>
        <v>2023-04</v>
      </c>
    </row>
    <row r="1305" spans="1:7" x14ac:dyDescent="0.3">
      <c r="A1305">
        <v>4108</v>
      </c>
      <c r="B1305" t="s">
        <v>36</v>
      </c>
      <c r="C1305" s="7">
        <v>90.925925925925895</v>
      </c>
      <c r="D1305" s="1">
        <v>45158</v>
      </c>
      <c r="E1305" s="29">
        <v>1.2</v>
      </c>
      <c r="F1305" t="s">
        <v>1</v>
      </c>
      <c r="G1305" t="str">
        <f t="shared" si="20"/>
        <v>2023-08</v>
      </c>
    </row>
    <row r="1306" spans="1:7" x14ac:dyDescent="0.3">
      <c r="A1306">
        <v>4053</v>
      </c>
      <c r="B1306" t="s">
        <v>29</v>
      </c>
      <c r="C1306" s="7">
        <v>195</v>
      </c>
      <c r="D1306" s="1">
        <v>45169</v>
      </c>
      <c r="E1306" s="29">
        <v>2.2999999999999998</v>
      </c>
      <c r="F1306" t="s">
        <v>4</v>
      </c>
      <c r="G1306" t="str">
        <f t="shared" si="20"/>
        <v>2023-08</v>
      </c>
    </row>
    <row r="1307" spans="1:7" x14ac:dyDescent="0.3">
      <c r="A1307">
        <v>4114</v>
      </c>
      <c r="B1307" t="s">
        <v>40</v>
      </c>
      <c r="C1307" s="7">
        <v>65</v>
      </c>
      <c r="D1307" s="1">
        <v>44930</v>
      </c>
      <c r="E1307" s="29">
        <v>1.8</v>
      </c>
      <c r="F1307" t="s">
        <v>4</v>
      </c>
      <c r="G1307" t="str">
        <f t="shared" si="20"/>
        <v>2023-01</v>
      </c>
    </row>
    <row r="1308" spans="1:7" x14ac:dyDescent="0.3">
      <c r="A1308">
        <v>4047</v>
      </c>
      <c r="B1308" t="s">
        <v>7</v>
      </c>
      <c r="C1308" s="7">
        <v>95</v>
      </c>
      <c r="D1308" s="1">
        <v>45164</v>
      </c>
      <c r="E1308" s="29">
        <v>1.9</v>
      </c>
      <c r="F1308" t="s">
        <v>4</v>
      </c>
      <c r="G1308" t="str">
        <f t="shared" si="20"/>
        <v>2023-08</v>
      </c>
    </row>
    <row r="1309" spans="1:7" x14ac:dyDescent="0.3">
      <c r="A1309">
        <v>4029</v>
      </c>
      <c r="B1309" t="s">
        <v>13</v>
      </c>
      <c r="C1309" s="7">
        <v>13</v>
      </c>
      <c r="D1309" s="1">
        <v>44965</v>
      </c>
      <c r="E1309" s="29">
        <v>2.5</v>
      </c>
      <c r="F1309" t="s">
        <v>1</v>
      </c>
      <c r="G1309" t="str">
        <f t="shared" si="20"/>
        <v>2023-02</v>
      </c>
    </row>
    <row r="1310" spans="1:7" x14ac:dyDescent="0.3">
      <c r="A1310">
        <v>4039</v>
      </c>
      <c r="B1310" t="s">
        <v>36</v>
      </c>
      <c r="C1310" s="7">
        <v>58</v>
      </c>
      <c r="D1310" s="1">
        <v>45007</v>
      </c>
      <c r="E1310" s="29">
        <v>3.3</v>
      </c>
      <c r="F1310" t="s">
        <v>4</v>
      </c>
      <c r="G1310" t="str">
        <f t="shared" si="20"/>
        <v>2023-03</v>
      </c>
    </row>
    <row r="1311" spans="1:7" x14ac:dyDescent="0.3">
      <c r="A1311">
        <v>3972</v>
      </c>
      <c r="B1311" t="s">
        <v>25</v>
      </c>
      <c r="C1311" s="7">
        <v>40</v>
      </c>
      <c r="D1311" s="1">
        <v>45103</v>
      </c>
      <c r="E1311" s="29">
        <v>2.9</v>
      </c>
      <c r="F1311" t="s">
        <v>4</v>
      </c>
      <c r="G1311" t="str">
        <f t="shared" si="20"/>
        <v>2023-06</v>
      </c>
    </row>
    <row r="1312" spans="1:7" x14ac:dyDescent="0.3">
      <c r="A1312">
        <v>3964</v>
      </c>
      <c r="B1312" t="s">
        <v>35</v>
      </c>
      <c r="C1312" s="7">
        <v>132</v>
      </c>
      <c r="D1312" s="1">
        <v>45184</v>
      </c>
      <c r="E1312" s="29">
        <v>2.2000000000000002</v>
      </c>
      <c r="F1312" t="s">
        <v>1</v>
      </c>
      <c r="G1312" t="str">
        <f t="shared" si="20"/>
        <v>2023-09</v>
      </c>
    </row>
    <row r="1313" spans="1:7" x14ac:dyDescent="0.3">
      <c r="A1313">
        <v>4108</v>
      </c>
      <c r="B1313" t="s">
        <v>49</v>
      </c>
      <c r="C1313" s="7">
        <v>188</v>
      </c>
      <c r="D1313" s="1">
        <v>45084</v>
      </c>
      <c r="E1313" s="29">
        <v>3.2</v>
      </c>
      <c r="F1313" t="s">
        <v>1</v>
      </c>
      <c r="G1313" t="str">
        <f t="shared" si="20"/>
        <v>2023-06</v>
      </c>
    </row>
    <row r="1314" spans="1:7" x14ac:dyDescent="0.3">
      <c r="A1314">
        <v>3968</v>
      </c>
      <c r="B1314" t="s">
        <v>25</v>
      </c>
      <c r="C1314" s="7">
        <v>62</v>
      </c>
      <c r="D1314" s="1">
        <v>44839</v>
      </c>
      <c r="E1314" s="29">
        <v>1.6</v>
      </c>
      <c r="F1314" t="s">
        <v>4</v>
      </c>
      <c r="G1314" t="str">
        <f t="shared" si="20"/>
        <v>2022-10</v>
      </c>
    </row>
    <row r="1315" spans="1:7" x14ac:dyDescent="0.3">
      <c r="A1315">
        <v>3989</v>
      </c>
      <c r="B1315" t="s">
        <v>44</v>
      </c>
      <c r="C1315" s="7">
        <v>71</v>
      </c>
      <c r="D1315" s="1">
        <v>44877</v>
      </c>
      <c r="E1315" s="29">
        <v>3.1</v>
      </c>
      <c r="F1315" t="s">
        <v>1</v>
      </c>
      <c r="G1315" t="str">
        <f t="shared" si="20"/>
        <v>2022-11</v>
      </c>
    </row>
    <row r="1316" spans="1:7" x14ac:dyDescent="0.3">
      <c r="A1316">
        <v>4050</v>
      </c>
      <c r="B1316" t="s">
        <v>6</v>
      </c>
      <c r="C1316" s="7">
        <v>82</v>
      </c>
      <c r="D1316" s="1">
        <v>44927</v>
      </c>
      <c r="E1316" s="29">
        <v>1.6</v>
      </c>
      <c r="F1316" t="s">
        <v>4</v>
      </c>
      <c r="G1316" t="str">
        <f t="shared" si="20"/>
        <v>2023-01</v>
      </c>
    </row>
    <row r="1317" spans="1:7" x14ac:dyDescent="0.3">
      <c r="A1317">
        <v>4046</v>
      </c>
      <c r="B1317" t="s">
        <v>11</v>
      </c>
      <c r="C1317" s="7">
        <v>146</v>
      </c>
      <c r="D1317" s="1">
        <v>44841</v>
      </c>
      <c r="E1317" s="29">
        <v>2.9</v>
      </c>
      <c r="F1317" t="s">
        <v>1</v>
      </c>
      <c r="G1317" t="str">
        <f t="shared" si="20"/>
        <v>2022-10</v>
      </c>
    </row>
    <row r="1318" spans="1:7" x14ac:dyDescent="0.3">
      <c r="A1318">
        <v>4106</v>
      </c>
      <c r="B1318" t="s">
        <v>19</v>
      </c>
      <c r="C1318" s="7">
        <v>88</v>
      </c>
      <c r="D1318" s="1">
        <v>44987</v>
      </c>
      <c r="E1318" s="29">
        <v>3.8</v>
      </c>
      <c r="F1318" t="s">
        <v>4</v>
      </c>
      <c r="G1318" t="str">
        <f t="shared" si="20"/>
        <v>2023-03</v>
      </c>
    </row>
    <row r="1319" spans="1:7" x14ac:dyDescent="0.3">
      <c r="A1319">
        <v>3963</v>
      </c>
      <c r="B1319" t="s">
        <v>26</v>
      </c>
      <c r="C1319" s="7">
        <v>141</v>
      </c>
      <c r="D1319" s="1">
        <v>45174</v>
      </c>
      <c r="E1319" s="29">
        <v>4.9000000000000004</v>
      </c>
      <c r="F1319" t="s">
        <v>1</v>
      </c>
      <c r="G1319" t="str">
        <f t="shared" si="20"/>
        <v>2023-09</v>
      </c>
    </row>
    <row r="1320" spans="1:7" x14ac:dyDescent="0.3">
      <c r="A1320">
        <v>4117</v>
      </c>
      <c r="B1320" t="s">
        <v>28</v>
      </c>
      <c r="C1320" s="7">
        <v>129</v>
      </c>
      <c r="D1320" s="1">
        <v>45172</v>
      </c>
      <c r="E1320" s="29">
        <v>1.6</v>
      </c>
      <c r="F1320" t="s">
        <v>1</v>
      </c>
      <c r="G1320" t="str">
        <f t="shared" si="20"/>
        <v>2023-09</v>
      </c>
    </row>
    <row r="1321" spans="1:7" x14ac:dyDescent="0.3">
      <c r="A1321">
        <v>4044</v>
      </c>
      <c r="B1321" t="s">
        <v>40</v>
      </c>
      <c r="C1321" s="7">
        <v>106.80769230769199</v>
      </c>
      <c r="D1321" s="1">
        <v>44909</v>
      </c>
      <c r="E1321" s="29">
        <v>4</v>
      </c>
      <c r="F1321" t="s">
        <v>4</v>
      </c>
      <c r="G1321" t="str">
        <f t="shared" si="20"/>
        <v>2022-12</v>
      </c>
    </row>
    <row r="1322" spans="1:7" x14ac:dyDescent="0.3">
      <c r="A1322">
        <v>4054</v>
      </c>
      <c r="B1322" t="s">
        <v>41</v>
      </c>
      <c r="C1322" s="7">
        <v>130</v>
      </c>
      <c r="D1322" s="1">
        <v>44988</v>
      </c>
      <c r="E1322" s="29">
        <v>2.5</v>
      </c>
      <c r="F1322" t="s">
        <v>4</v>
      </c>
      <c r="G1322" t="str">
        <f t="shared" si="20"/>
        <v>2023-03</v>
      </c>
    </row>
    <row r="1323" spans="1:7" x14ac:dyDescent="0.3">
      <c r="A1323">
        <v>3981</v>
      </c>
      <c r="B1323" t="s">
        <v>19</v>
      </c>
      <c r="C1323" s="7">
        <v>91</v>
      </c>
      <c r="D1323" s="1">
        <v>44919</v>
      </c>
      <c r="E1323" s="29">
        <v>1.7</v>
      </c>
      <c r="F1323" t="s">
        <v>1</v>
      </c>
      <c r="G1323" t="str">
        <f t="shared" si="20"/>
        <v>2022-12</v>
      </c>
    </row>
    <row r="1324" spans="1:7" x14ac:dyDescent="0.3">
      <c r="A1324">
        <v>4066</v>
      </c>
      <c r="B1324" t="s">
        <v>34</v>
      </c>
      <c r="C1324" s="7">
        <v>104</v>
      </c>
      <c r="D1324" s="1">
        <v>45172</v>
      </c>
      <c r="E1324" s="29">
        <v>3.0125000000000002</v>
      </c>
      <c r="F1324" t="s">
        <v>1</v>
      </c>
      <c r="G1324" t="str">
        <f t="shared" si="20"/>
        <v>2023-09</v>
      </c>
    </row>
    <row r="1325" spans="1:7" x14ac:dyDescent="0.3">
      <c r="A1325">
        <v>4045</v>
      </c>
      <c r="B1325" t="s">
        <v>24</v>
      </c>
      <c r="C1325" s="7">
        <v>21</v>
      </c>
      <c r="D1325" s="1">
        <v>45027</v>
      </c>
      <c r="E1325" s="29">
        <v>4.3</v>
      </c>
      <c r="F1325" t="s">
        <v>4</v>
      </c>
      <c r="G1325" t="str">
        <f t="shared" si="20"/>
        <v>2023-04</v>
      </c>
    </row>
    <row r="1326" spans="1:7" x14ac:dyDescent="0.3">
      <c r="A1326">
        <v>4048</v>
      </c>
      <c r="B1326" t="s">
        <v>28</v>
      </c>
      <c r="C1326" s="7">
        <v>66</v>
      </c>
      <c r="D1326" s="1">
        <v>44946</v>
      </c>
      <c r="E1326" s="29">
        <v>3.3</v>
      </c>
      <c r="F1326" t="s">
        <v>4</v>
      </c>
      <c r="G1326" t="str">
        <f t="shared" si="20"/>
        <v>2023-01</v>
      </c>
    </row>
    <row r="1327" spans="1:7" x14ac:dyDescent="0.3">
      <c r="A1327">
        <v>4062</v>
      </c>
      <c r="B1327" t="s">
        <v>36</v>
      </c>
      <c r="C1327" s="7">
        <v>14</v>
      </c>
      <c r="D1327" s="1">
        <v>45044</v>
      </c>
      <c r="E1327" s="29">
        <v>4.5999999999999996</v>
      </c>
      <c r="F1327" t="s">
        <v>1</v>
      </c>
      <c r="G1327" t="str">
        <f t="shared" si="20"/>
        <v>2023-04</v>
      </c>
    </row>
    <row r="1328" spans="1:7" x14ac:dyDescent="0.3">
      <c r="A1328">
        <v>4046</v>
      </c>
      <c r="B1328" t="s">
        <v>38</v>
      </c>
      <c r="C1328" s="7">
        <v>159</v>
      </c>
      <c r="D1328" s="1">
        <v>45141</v>
      </c>
      <c r="E1328" s="29">
        <v>4.8</v>
      </c>
      <c r="F1328" t="s">
        <v>1</v>
      </c>
      <c r="G1328" t="str">
        <f t="shared" si="20"/>
        <v>2023-08</v>
      </c>
    </row>
    <row r="1329" spans="1:7" x14ac:dyDescent="0.3">
      <c r="A1329">
        <v>3971</v>
      </c>
      <c r="B1329" t="s">
        <v>36</v>
      </c>
      <c r="C1329" s="7">
        <v>116</v>
      </c>
      <c r="D1329" s="1">
        <v>44845</v>
      </c>
      <c r="E1329" s="29">
        <v>4.5</v>
      </c>
      <c r="F1329" t="s">
        <v>1</v>
      </c>
      <c r="G1329" t="str">
        <f t="shared" si="20"/>
        <v>2022-10</v>
      </c>
    </row>
    <row r="1330" spans="1:7" x14ac:dyDescent="0.3">
      <c r="A1330">
        <v>4019</v>
      </c>
      <c r="B1330" t="s">
        <v>47</v>
      </c>
      <c r="C1330" s="7">
        <v>60</v>
      </c>
      <c r="D1330" s="1">
        <v>45135</v>
      </c>
      <c r="E1330" s="29">
        <v>4.5</v>
      </c>
      <c r="F1330" t="s">
        <v>4</v>
      </c>
      <c r="G1330" t="str">
        <f t="shared" si="20"/>
        <v>2023-07</v>
      </c>
    </row>
    <row r="1331" spans="1:7" x14ac:dyDescent="0.3">
      <c r="A1331">
        <v>4020</v>
      </c>
      <c r="B1331" t="s">
        <v>5</v>
      </c>
      <c r="C1331" s="7">
        <v>107</v>
      </c>
      <c r="D1331" s="1">
        <v>44882</v>
      </c>
      <c r="E1331" s="29">
        <v>2.6520547945205402</v>
      </c>
      <c r="F1331" t="s">
        <v>4</v>
      </c>
      <c r="G1331" t="str">
        <f t="shared" si="20"/>
        <v>2022-11</v>
      </c>
    </row>
    <row r="1332" spans="1:7" x14ac:dyDescent="0.3">
      <c r="A1332">
        <v>4017</v>
      </c>
      <c r="B1332" t="s">
        <v>14</v>
      </c>
      <c r="C1332" s="7">
        <v>72</v>
      </c>
      <c r="D1332" s="1">
        <v>44915</v>
      </c>
      <c r="E1332" s="29">
        <v>2.2000000000000002</v>
      </c>
      <c r="F1332" t="s">
        <v>1</v>
      </c>
      <c r="G1332" t="str">
        <f t="shared" si="20"/>
        <v>2022-12</v>
      </c>
    </row>
    <row r="1333" spans="1:7" x14ac:dyDescent="0.3">
      <c r="A1333">
        <v>4122</v>
      </c>
      <c r="B1333" t="s">
        <v>46</v>
      </c>
      <c r="C1333" s="7">
        <v>177</v>
      </c>
      <c r="D1333" s="1">
        <v>44950</v>
      </c>
      <c r="E1333" s="29">
        <v>1.6</v>
      </c>
      <c r="F1333" t="s">
        <v>4</v>
      </c>
      <c r="G1333" t="str">
        <f t="shared" si="20"/>
        <v>2023-01</v>
      </c>
    </row>
    <row r="1334" spans="1:7" x14ac:dyDescent="0.3">
      <c r="A1334">
        <v>4036</v>
      </c>
      <c r="B1334" t="s">
        <v>39</v>
      </c>
      <c r="C1334" s="7">
        <v>96</v>
      </c>
      <c r="D1334" s="1">
        <v>45070</v>
      </c>
      <c r="E1334" s="29">
        <v>4.2</v>
      </c>
      <c r="F1334" t="s">
        <v>4</v>
      </c>
      <c r="G1334" t="str">
        <f t="shared" si="20"/>
        <v>2023-05</v>
      </c>
    </row>
    <row r="1335" spans="1:7" x14ac:dyDescent="0.3">
      <c r="A1335">
        <v>4108</v>
      </c>
      <c r="B1335" t="s">
        <v>18</v>
      </c>
      <c r="C1335" s="7">
        <v>135</v>
      </c>
      <c r="D1335" s="1">
        <v>45022</v>
      </c>
      <c r="E1335" s="29">
        <v>4.8</v>
      </c>
      <c r="F1335" t="s">
        <v>1</v>
      </c>
      <c r="G1335" t="str">
        <f t="shared" si="20"/>
        <v>2023-04</v>
      </c>
    </row>
    <row r="1336" spans="1:7" x14ac:dyDescent="0.3">
      <c r="A1336">
        <v>3978</v>
      </c>
      <c r="B1336" t="s">
        <v>16</v>
      </c>
      <c r="C1336" s="7">
        <v>174</v>
      </c>
      <c r="D1336" s="1">
        <v>44963</v>
      </c>
      <c r="E1336" s="29">
        <v>3.8</v>
      </c>
      <c r="F1336" t="s">
        <v>1</v>
      </c>
      <c r="G1336" t="str">
        <f t="shared" si="20"/>
        <v>2023-02</v>
      </c>
    </row>
    <row r="1337" spans="1:7" x14ac:dyDescent="0.3">
      <c r="A1337">
        <v>3973</v>
      </c>
      <c r="B1337" t="s">
        <v>47</v>
      </c>
      <c r="C1337" s="7">
        <v>127</v>
      </c>
      <c r="D1337" s="1">
        <v>44840</v>
      </c>
      <c r="E1337" s="29">
        <v>1.3</v>
      </c>
      <c r="F1337" t="s">
        <v>4</v>
      </c>
      <c r="G1337" t="str">
        <f t="shared" si="20"/>
        <v>2022-10</v>
      </c>
    </row>
    <row r="1338" spans="1:7" x14ac:dyDescent="0.3">
      <c r="A1338">
        <v>4035</v>
      </c>
      <c r="B1338" t="s">
        <v>11</v>
      </c>
      <c r="C1338" s="7">
        <v>109.08474576271099</v>
      </c>
      <c r="D1338" s="1">
        <v>44929</v>
      </c>
      <c r="E1338" s="29">
        <v>4.2</v>
      </c>
      <c r="F1338" t="s">
        <v>4</v>
      </c>
      <c r="G1338" t="str">
        <f t="shared" si="20"/>
        <v>2023-01</v>
      </c>
    </row>
    <row r="1339" spans="1:7" x14ac:dyDescent="0.3">
      <c r="A1339">
        <v>3986</v>
      </c>
      <c r="B1339" t="s">
        <v>35</v>
      </c>
      <c r="C1339" s="7">
        <v>53</v>
      </c>
      <c r="D1339" s="1">
        <v>45118</v>
      </c>
      <c r="E1339" s="29">
        <v>3.4933333333333301</v>
      </c>
      <c r="F1339" t="s">
        <v>4</v>
      </c>
      <c r="G1339" t="str">
        <f t="shared" si="20"/>
        <v>2023-07</v>
      </c>
    </row>
    <row r="1340" spans="1:7" x14ac:dyDescent="0.3">
      <c r="A1340">
        <v>4043</v>
      </c>
      <c r="B1340" t="s">
        <v>48</v>
      </c>
      <c r="C1340" s="7">
        <v>107.26027397260199</v>
      </c>
      <c r="D1340" s="1">
        <v>44972</v>
      </c>
      <c r="E1340" s="29">
        <v>2.7</v>
      </c>
      <c r="F1340" t="s">
        <v>4</v>
      </c>
      <c r="G1340" t="str">
        <f t="shared" si="20"/>
        <v>2023-02</v>
      </c>
    </row>
    <row r="1341" spans="1:7" x14ac:dyDescent="0.3">
      <c r="A1341">
        <v>4000</v>
      </c>
      <c r="B1341" t="s">
        <v>40</v>
      </c>
      <c r="C1341" s="7">
        <v>57</v>
      </c>
      <c r="D1341" s="1">
        <v>45127</v>
      </c>
      <c r="E1341" s="29">
        <v>4.4000000000000004</v>
      </c>
      <c r="F1341" t="s">
        <v>4</v>
      </c>
      <c r="G1341" t="str">
        <f t="shared" si="20"/>
        <v>2023-07</v>
      </c>
    </row>
    <row r="1342" spans="1:7" x14ac:dyDescent="0.3">
      <c r="A1342">
        <v>3962</v>
      </c>
      <c r="B1342" t="s">
        <v>18</v>
      </c>
      <c r="C1342" s="7">
        <v>148</v>
      </c>
      <c r="D1342" s="1">
        <v>45067</v>
      </c>
      <c r="E1342" s="29">
        <v>2.1</v>
      </c>
      <c r="F1342" t="s">
        <v>4</v>
      </c>
      <c r="G1342" t="str">
        <f t="shared" si="20"/>
        <v>2023-05</v>
      </c>
    </row>
    <row r="1343" spans="1:7" x14ac:dyDescent="0.3">
      <c r="A1343">
        <v>4094</v>
      </c>
      <c r="B1343" t="s">
        <v>2</v>
      </c>
      <c r="C1343" s="7">
        <v>25</v>
      </c>
      <c r="D1343" s="1">
        <v>45043</v>
      </c>
      <c r="E1343" s="29">
        <v>4.7</v>
      </c>
      <c r="F1343" t="s">
        <v>4</v>
      </c>
      <c r="G1343" t="str">
        <f t="shared" si="20"/>
        <v>2023-04</v>
      </c>
    </row>
    <row r="1344" spans="1:7" x14ac:dyDescent="0.3">
      <c r="A1344">
        <v>4040</v>
      </c>
      <c r="B1344" t="s">
        <v>20</v>
      </c>
      <c r="C1344" s="7">
        <v>29</v>
      </c>
      <c r="D1344" s="1">
        <v>45196</v>
      </c>
      <c r="E1344" s="29">
        <v>4.5999999999999996</v>
      </c>
      <c r="F1344" t="s">
        <v>4</v>
      </c>
      <c r="G1344" t="str">
        <f t="shared" si="20"/>
        <v>2023-09</v>
      </c>
    </row>
    <row r="1345" spans="1:7" x14ac:dyDescent="0.3">
      <c r="A1345">
        <v>3966</v>
      </c>
      <c r="B1345" t="s">
        <v>3</v>
      </c>
      <c r="C1345" s="7">
        <v>181</v>
      </c>
      <c r="D1345" s="1">
        <v>44866</v>
      </c>
      <c r="E1345" s="29">
        <v>3.2285714285714202</v>
      </c>
      <c r="F1345" t="s">
        <v>1</v>
      </c>
      <c r="G1345" t="str">
        <f t="shared" si="20"/>
        <v>2022-11</v>
      </c>
    </row>
    <row r="1346" spans="1:7" x14ac:dyDescent="0.3">
      <c r="A1346">
        <v>4074</v>
      </c>
      <c r="B1346" t="s">
        <v>16</v>
      </c>
      <c r="C1346" s="7">
        <v>110.56666666666599</v>
      </c>
      <c r="D1346" s="1">
        <v>44963</v>
      </c>
      <c r="E1346" s="29">
        <v>2.2000000000000002</v>
      </c>
      <c r="F1346" t="s">
        <v>4</v>
      </c>
      <c r="G1346" t="str">
        <f t="shared" si="20"/>
        <v>2023-02</v>
      </c>
    </row>
    <row r="1347" spans="1:7" x14ac:dyDescent="0.3">
      <c r="A1347">
        <v>4065</v>
      </c>
      <c r="B1347" t="s">
        <v>2</v>
      </c>
      <c r="C1347" s="7">
        <v>93.340909090908994</v>
      </c>
      <c r="D1347" s="1">
        <v>45148</v>
      </c>
      <c r="E1347" s="29">
        <v>2.7</v>
      </c>
      <c r="F1347" t="s">
        <v>4</v>
      </c>
      <c r="G1347" t="str">
        <f t="shared" ref="G1347:G1410" si="21">TEXT(D1347,"ГГГГ-ММ")</f>
        <v>2023-08</v>
      </c>
    </row>
    <row r="1348" spans="1:7" x14ac:dyDescent="0.3">
      <c r="A1348">
        <v>4102</v>
      </c>
      <c r="B1348" t="s">
        <v>27</v>
      </c>
      <c r="C1348" s="7">
        <v>103.98245614035</v>
      </c>
      <c r="D1348" s="1">
        <v>45028</v>
      </c>
      <c r="E1348" s="29">
        <v>3.2016129032257998</v>
      </c>
      <c r="F1348" t="s">
        <v>4</v>
      </c>
      <c r="G1348" t="str">
        <f t="shared" si="21"/>
        <v>2023-04</v>
      </c>
    </row>
    <row r="1349" spans="1:7" x14ac:dyDescent="0.3">
      <c r="A1349">
        <v>4088</v>
      </c>
      <c r="B1349" t="s">
        <v>32</v>
      </c>
      <c r="C1349" s="7">
        <v>27</v>
      </c>
      <c r="D1349" s="1">
        <v>45168</v>
      </c>
      <c r="E1349" s="29">
        <v>4</v>
      </c>
      <c r="F1349" t="s">
        <v>4</v>
      </c>
      <c r="G1349" t="str">
        <f t="shared" si="21"/>
        <v>2023-08</v>
      </c>
    </row>
    <row r="1350" spans="1:7" x14ac:dyDescent="0.3">
      <c r="A1350">
        <v>4064</v>
      </c>
      <c r="B1350" t="s">
        <v>11</v>
      </c>
      <c r="C1350" s="7">
        <v>12</v>
      </c>
      <c r="D1350" s="1">
        <v>45065</v>
      </c>
      <c r="E1350" s="29">
        <v>1.3</v>
      </c>
      <c r="F1350" t="s">
        <v>1</v>
      </c>
      <c r="G1350" t="str">
        <f t="shared" si="21"/>
        <v>2023-05</v>
      </c>
    </row>
    <row r="1351" spans="1:7" x14ac:dyDescent="0.3">
      <c r="A1351">
        <v>4025</v>
      </c>
      <c r="B1351" t="s">
        <v>10</v>
      </c>
      <c r="C1351" s="7">
        <v>126</v>
      </c>
      <c r="D1351" s="1">
        <v>44836</v>
      </c>
      <c r="E1351" s="29">
        <v>1.5</v>
      </c>
      <c r="F1351" t="s">
        <v>4</v>
      </c>
      <c r="G1351" t="str">
        <f t="shared" si="21"/>
        <v>2022-10</v>
      </c>
    </row>
    <row r="1352" spans="1:7" x14ac:dyDescent="0.3">
      <c r="A1352">
        <v>3962</v>
      </c>
      <c r="B1352" t="s">
        <v>11</v>
      </c>
      <c r="C1352" s="7">
        <v>168</v>
      </c>
      <c r="D1352" s="1">
        <v>44903</v>
      </c>
      <c r="E1352" s="29">
        <v>3.5</v>
      </c>
      <c r="F1352" t="s">
        <v>4</v>
      </c>
      <c r="G1352" t="str">
        <f t="shared" si="21"/>
        <v>2022-12</v>
      </c>
    </row>
    <row r="1353" spans="1:7" x14ac:dyDescent="0.3">
      <c r="A1353">
        <v>4077</v>
      </c>
      <c r="B1353" t="s">
        <v>21</v>
      </c>
      <c r="C1353" s="7">
        <v>167</v>
      </c>
      <c r="D1353" s="1">
        <v>44986</v>
      </c>
      <c r="E1353" s="29">
        <v>1.1000000000000001</v>
      </c>
      <c r="F1353" t="s">
        <v>1</v>
      </c>
      <c r="G1353" t="str">
        <f t="shared" si="21"/>
        <v>2023-03</v>
      </c>
    </row>
    <row r="1354" spans="1:7" x14ac:dyDescent="0.3">
      <c r="A1354">
        <v>4107</v>
      </c>
      <c r="B1354" t="s">
        <v>0</v>
      </c>
      <c r="C1354" s="7">
        <v>178</v>
      </c>
      <c r="D1354" s="1">
        <v>44960</v>
      </c>
      <c r="E1354" s="29">
        <v>4.5999999999999996</v>
      </c>
      <c r="F1354" t="s">
        <v>4</v>
      </c>
      <c r="G1354" t="str">
        <f t="shared" si="21"/>
        <v>2023-02</v>
      </c>
    </row>
    <row r="1355" spans="1:7" x14ac:dyDescent="0.3">
      <c r="A1355">
        <v>3962</v>
      </c>
      <c r="B1355" t="s">
        <v>3</v>
      </c>
      <c r="C1355" s="7">
        <v>11</v>
      </c>
      <c r="D1355" s="1">
        <v>45028</v>
      </c>
      <c r="E1355" s="29">
        <v>1.1000000000000001</v>
      </c>
      <c r="F1355" t="s">
        <v>1</v>
      </c>
      <c r="G1355" t="str">
        <f t="shared" si="21"/>
        <v>2023-04</v>
      </c>
    </row>
    <row r="1356" spans="1:7" x14ac:dyDescent="0.3">
      <c r="A1356">
        <v>4038</v>
      </c>
      <c r="B1356" t="s">
        <v>19</v>
      </c>
      <c r="C1356" s="7">
        <v>115</v>
      </c>
      <c r="D1356" s="1">
        <v>44998</v>
      </c>
      <c r="E1356" s="29">
        <v>3.8</v>
      </c>
      <c r="F1356" t="s">
        <v>4</v>
      </c>
      <c r="G1356" t="str">
        <f t="shared" si="21"/>
        <v>2023-03</v>
      </c>
    </row>
    <row r="1357" spans="1:7" x14ac:dyDescent="0.3">
      <c r="A1357">
        <v>4053</v>
      </c>
      <c r="B1357" t="s">
        <v>20</v>
      </c>
      <c r="C1357" s="7">
        <v>105.95348837209301</v>
      </c>
      <c r="D1357" s="1">
        <v>44904</v>
      </c>
      <c r="E1357" s="29">
        <v>4.2</v>
      </c>
      <c r="F1357" t="s">
        <v>1</v>
      </c>
      <c r="G1357" t="str">
        <f t="shared" si="21"/>
        <v>2022-12</v>
      </c>
    </row>
    <row r="1358" spans="1:7" x14ac:dyDescent="0.3">
      <c r="A1358">
        <v>4103</v>
      </c>
      <c r="B1358" t="s">
        <v>48</v>
      </c>
      <c r="C1358" s="7">
        <v>80</v>
      </c>
      <c r="D1358" s="1">
        <v>45189</v>
      </c>
      <c r="E1358" s="29">
        <v>4.0999999999999996</v>
      </c>
      <c r="F1358" t="s">
        <v>1</v>
      </c>
      <c r="G1358" t="str">
        <f t="shared" si="21"/>
        <v>2023-09</v>
      </c>
    </row>
    <row r="1359" spans="1:7" x14ac:dyDescent="0.3">
      <c r="A1359">
        <v>4056</v>
      </c>
      <c r="B1359" t="s">
        <v>28</v>
      </c>
      <c r="C1359" s="7">
        <v>83</v>
      </c>
      <c r="D1359" s="1">
        <v>44993</v>
      </c>
      <c r="E1359" s="29">
        <v>2.4</v>
      </c>
      <c r="F1359" t="s">
        <v>4</v>
      </c>
      <c r="G1359" t="str">
        <f t="shared" si="21"/>
        <v>2023-03</v>
      </c>
    </row>
    <row r="1360" spans="1:7" x14ac:dyDescent="0.3">
      <c r="A1360">
        <v>4039</v>
      </c>
      <c r="B1360" t="s">
        <v>0</v>
      </c>
      <c r="C1360" s="7">
        <v>112.145454545454</v>
      </c>
      <c r="D1360" s="1">
        <v>44857</v>
      </c>
      <c r="E1360" s="29">
        <v>3.9</v>
      </c>
      <c r="F1360" t="s">
        <v>4</v>
      </c>
      <c r="G1360" t="str">
        <f t="shared" si="21"/>
        <v>2022-10</v>
      </c>
    </row>
    <row r="1361" spans="1:7" x14ac:dyDescent="0.3">
      <c r="A1361">
        <v>4103</v>
      </c>
      <c r="B1361" t="s">
        <v>50</v>
      </c>
      <c r="C1361" s="7">
        <v>182</v>
      </c>
      <c r="D1361" s="1">
        <v>45016</v>
      </c>
      <c r="E1361" s="29">
        <v>3</v>
      </c>
      <c r="F1361" t="s">
        <v>4</v>
      </c>
      <c r="G1361" t="str">
        <f t="shared" si="21"/>
        <v>2023-03</v>
      </c>
    </row>
    <row r="1362" spans="1:7" x14ac:dyDescent="0.3">
      <c r="A1362">
        <v>3982</v>
      </c>
      <c r="B1362" t="s">
        <v>27</v>
      </c>
      <c r="C1362" s="7">
        <v>55</v>
      </c>
      <c r="D1362" s="1">
        <v>45017</v>
      </c>
      <c r="E1362" s="29">
        <v>4.7</v>
      </c>
      <c r="F1362" t="s">
        <v>4</v>
      </c>
      <c r="G1362" t="str">
        <f t="shared" si="21"/>
        <v>2023-04</v>
      </c>
    </row>
    <row r="1363" spans="1:7" x14ac:dyDescent="0.3">
      <c r="A1363">
        <v>4082</v>
      </c>
      <c r="B1363" t="s">
        <v>6</v>
      </c>
      <c r="C1363" s="7">
        <v>114.77966101694901</v>
      </c>
      <c r="D1363" s="1">
        <v>44949</v>
      </c>
      <c r="E1363" s="29">
        <v>1.3</v>
      </c>
      <c r="F1363" t="s">
        <v>1</v>
      </c>
      <c r="G1363" t="str">
        <f t="shared" si="21"/>
        <v>2023-01</v>
      </c>
    </row>
    <row r="1364" spans="1:7" x14ac:dyDescent="0.3">
      <c r="A1364">
        <v>3982</v>
      </c>
      <c r="B1364" t="s">
        <v>43</v>
      </c>
      <c r="C1364" s="7">
        <v>117.354166666666</v>
      </c>
      <c r="D1364" s="1">
        <v>45193</v>
      </c>
      <c r="E1364" s="29">
        <v>2.2999999999999998</v>
      </c>
      <c r="F1364" t="s">
        <v>4</v>
      </c>
      <c r="G1364" t="str">
        <f t="shared" si="21"/>
        <v>2023-09</v>
      </c>
    </row>
    <row r="1365" spans="1:7" x14ac:dyDescent="0.3">
      <c r="A1365">
        <v>4009</v>
      </c>
      <c r="B1365" t="s">
        <v>12</v>
      </c>
      <c r="C1365" s="7">
        <v>103.354166666666</v>
      </c>
      <c r="D1365" s="1">
        <v>45053</v>
      </c>
      <c r="E1365" s="29">
        <v>1.5</v>
      </c>
      <c r="F1365" t="s">
        <v>4</v>
      </c>
      <c r="G1365" t="str">
        <f t="shared" si="21"/>
        <v>2023-05</v>
      </c>
    </row>
    <row r="1366" spans="1:7" x14ac:dyDescent="0.3">
      <c r="A1366">
        <v>4043</v>
      </c>
      <c r="B1366" t="s">
        <v>33</v>
      </c>
      <c r="C1366" s="7">
        <v>113.54098360655701</v>
      </c>
      <c r="D1366" s="1">
        <v>44966</v>
      </c>
      <c r="E1366" s="29">
        <v>4.2</v>
      </c>
      <c r="F1366" t="s">
        <v>4</v>
      </c>
      <c r="G1366" t="str">
        <f t="shared" si="21"/>
        <v>2023-02</v>
      </c>
    </row>
    <row r="1367" spans="1:7" x14ac:dyDescent="0.3">
      <c r="A1367">
        <v>4084</v>
      </c>
      <c r="B1367" t="s">
        <v>47</v>
      </c>
      <c r="C1367" s="7">
        <v>100</v>
      </c>
      <c r="D1367" s="1">
        <v>45092</v>
      </c>
      <c r="E1367" s="29">
        <v>1.3</v>
      </c>
      <c r="F1367" t="s">
        <v>1</v>
      </c>
      <c r="G1367" t="str">
        <f t="shared" si="21"/>
        <v>2023-06</v>
      </c>
    </row>
    <row r="1368" spans="1:7" x14ac:dyDescent="0.3">
      <c r="A1368">
        <v>4085</v>
      </c>
      <c r="B1368" t="s">
        <v>35</v>
      </c>
      <c r="C1368" s="7">
        <v>111</v>
      </c>
      <c r="D1368" s="1">
        <v>44876</v>
      </c>
      <c r="E1368" s="29">
        <v>1.6</v>
      </c>
      <c r="F1368" t="s">
        <v>1</v>
      </c>
      <c r="G1368" t="str">
        <f t="shared" si="21"/>
        <v>2022-11</v>
      </c>
    </row>
    <row r="1369" spans="1:7" x14ac:dyDescent="0.3">
      <c r="A1369">
        <v>4043</v>
      </c>
      <c r="B1369" t="s">
        <v>46</v>
      </c>
      <c r="C1369" s="7">
        <v>118.531914893617</v>
      </c>
      <c r="D1369" s="1">
        <v>45194</v>
      </c>
      <c r="E1369" s="29">
        <v>4.0999999999999996</v>
      </c>
      <c r="F1369" t="s">
        <v>1</v>
      </c>
      <c r="G1369" t="str">
        <f t="shared" si="21"/>
        <v>2023-09</v>
      </c>
    </row>
    <row r="1370" spans="1:7" x14ac:dyDescent="0.3">
      <c r="A1370">
        <v>3999</v>
      </c>
      <c r="B1370" t="s">
        <v>5</v>
      </c>
      <c r="C1370" s="7">
        <v>127</v>
      </c>
      <c r="D1370" s="1">
        <v>45108</v>
      </c>
      <c r="E1370" s="29">
        <v>1</v>
      </c>
      <c r="F1370" t="s">
        <v>1</v>
      </c>
      <c r="G1370" t="str">
        <f t="shared" si="21"/>
        <v>2023-07</v>
      </c>
    </row>
    <row r="1371" spans="1:7" x14ac:dyDescent="0.3">
      <c r="A1371">
        <v>4114</v>
      </c>
      <c r="B1371" t="s">
        <v>10</v>
      </c>
      <c r="C1371" s="7">
        <v>188</v>
      </c>
      <c r="D1371" s="1">
        <v>45061</v>
      </c>
      <c r="E1371" s="29">
        <v>2.91904761904761</v>
      </c>
      <c r="F1371" t="s">
        <v>1</v>
      </c>
      <c r="G1371" t="str">
        <f t="shared" si="21"/>
        <v>2023-05</v>
      </c>
    </row>
    <row r="1372" spans="1:7" x14ac:dyDescent="0.3">
      <c r="A1372">
        <v>4033</v>
      </c>
      <c r="B1372" t="s">
        <v>15</v>
      </c>
      <c r="C1372" s="7">
        <v>185</v>
      </c>
      <c r="D1372" s="1">
        <v>45024</v>
      </c>
      <c r="E1372" s="29">
        <v>4.5</v>
      </c>
      <c r="F1372" t="s">
        <v>4</v>
      </c>
      <c r="G1372" t="str">
        <f t="shared" si="21"/>
        <v>2023-04</v>
      </c>
    </row>
    <row r="1373" spans="1:7" x14ac:dyDescent="0.3">
      <c r="A1373">
        <v>4050</v>
      </c>
      <c r="B1373" t="s">
        <v>45</v>
      </c>
      <c r="C1373" s="7">
        <v>30</v>
      </c>
      <c r="D1373" s="1">
        <v>44978</v>
      </c>
      <c r="E1373" s="29">
        <v>1.6</v>
      </c>
      <c r="F1373" t="s">
        <v>4</v>
      </c>
      <c r="G1373" t="str">
        <f t="shared" si="21"/>
        <v>2023-02</v>
      </c>
    </row>
    <row r="1374" spans="1:7" x14ac:dyDescent="0.3">
      <c r="A1374">
        <v>4068</v>
      </c>
      <c r="B1374" t="s">
        <v>16</v>
      </c>
      <c r="C1374" s="7">
        <v>176</v>
      </c>
      <c r="D1374" s="1">
        <v>45183</v>
      </c>
      <c r="E1374" s="29">
        <v>4.5</v>
      </c>
      <c r="F1374" t="s">
        <v>1</v>
      </c>
      <c r="G1374" t="str">
        <f t="shared" si="21"/>
        <v>2023-09</v>
      </c>
    </row>
    <row r="1375" spans="1:7" x14ac:dyDescent="0.3">
      <c r="A1375">
        <v>4008</v>
      </c>
      <c r="B1375" t="s">
        <v>12</v>
      </c>
      <c r="C1375" s="7">
        <v>33</v>
      </c>
      <c r="D1375" s="1">
        <v>44844</v>
      </c>
      <c r="E1375" s="29">
        <v>4.5</v>
      </c>
      <c r="F1375" t="s">
        <v>4</v>
      </c>
      <c r="G1375" t="str">
        <f t="shared" si="21"/>
        <v>2022-10</v>
      </c>
    </row>
    <row r="1376" spans="1:7" x14ac:dyDescent="0.3">
      <c r="A1376">
        <v>4084</v>
      </c>
      <c r="B1376" t="s">
        <v>21</v>
      </c>
      <c r="C1376" s="7">
        <v>106</v>
      </c>
      <c r="D1376" s="1">
        <v>44960</v>
      </c>
      <c r="E1376" s="29">
        <v>1.4</v>
      </c>
      <c r="F1376" t="s">
        <v>1</v>
      </c>
      <c r="G1376" t="str">
        <f t="shared" si="21"/>
        <v>2023-02</v>
      </c>
    </row>
    <row r="1377" spans="1:7" x14ac:dyDescent="0.3">
      <c r="A1377">
        <v>4119</v>
      </c>
      <c r="B1377" t="s">
        <v>27</v>
      </c>
      <c r="C1377" s="7">
        <v>24</v>
      </c>
      <c r="D1377" s="1">
        <v>45040</v>
      </c>
      <c r="E1377" s="29">
        <v>3.8</v>
      </c>
      <c r="F1377" t="s">
        <v>4</v>
      </c>
      <c r="G1377" t="str">
        <f t="shared" si="21"/>
        <v>2023-04</v>
      </c>
    </row>
    <row r="1378" spans="1:7" x14ac:dyDescent="0.3">
      <c r="A1378">
        <v>3976</v>
      </c>
      <c r="B1378" t="s">
        <v>28</v>
      </c>
      <c r="C1378" s="7">
        <v>189</v>
      </c>
      <c r="D1378" s="1">
        <v>45195</v>
      </c>
      <c r="E1378" s="29">
        <v>4</v>
      </c>
      <c r="F1378" t="s">
        <v>1</v>
      </c>
      <c r="G1378" t="str">
        <f t="shared" si="21"/>
        <v>2023-09</v>
      </c>
    </row>
    <row r="1379" spans="1:7" x14ac:dyDescent="0.3">
      <c r="A1379">
        <v>4094</v>
      </c>
      <c r="B1379" t="s">
        <v>50</v>
      </c>
      <c r="C1379" s="7">
        <v>123.21818181818099</v>
      </c>
      <c r="D1379" s="1">
        <v>44975</v>
      </c>
      <c r="E1379" s="29">
        <v>3</v>
      </c>
      <c r="F1379" t="s">
        <v>1</v>
      </c>
      <c r="G1379" t="str">
        <f t="shared" si="21"/>
        <v>2023-02</v>
      </c>
    </row>
    <row r="1380" spans="1:7" x14ac:dyDescent="0.3">
      <c r="A1380">
        <v>4011</v>
      </c>
      <c r="B1380" t="s">
        <v>18</v>
      </c>
      <c r="C1380" s="7">
        <v>121</v>
      </c>
      <c r="D1380" s="1">
        <v>45097</v>
      </c>
      <c r="E1380" s="29">
        <v>3.06153846153846</v>
      </c>
      <c r="F1380" t="s">
        <v>1</v>
      </c>
      <c r="G1380" t="str">
        <f t="shared" si="21"/>
        <v>2023-06</v>
      </c>
    </row>
    <row r="1381" spans="1:7" x14ac:dyDescent="0.3">
      <c r="A1381">
        <v>4030</v>
      </c>
      <c r="B1381" t="s">
        <v>5</v>
      </c>
      <c r="C1381" s="7">
        <v>94</v>
      </c>
      <c r="D1381" s="1">
        <v>45115</v>
      </c>
      <c r="E1381" s="29">
        <v>1</v>
      </c>
      <c r="F1381" t="s">
        <v>1</v>
      </c>
      <c r="G1381" t="str">
        <f t="shared" si="21"/>
        <v>2023-07</v>
      </c>
    </row>
    <row r="1382" spans="1:7" x14ac:dyDescent="0.3">
      <c r="A1382">
        <v>4024</v>
      </c>
      <c r="B1382" t="s">
        <v>11</v>
      </c>
      <c r="C1382" s="7">
        <v>34</v>
      </c>
      <c r="D1382" s="1">
        <v>44911</v>
      </c>
      <c r="E1382" s="29">
        <v>1.9</v>
      </c>
      <c r="F1382" t="s">
        <v>1</v>
      </c>
      <c r="G1382" t="str">
        <f t="shared" si="21"/>
        <v>2022-12</v>
      </c>
    </row>
    <row r="1383" spans="1:7" x14ac:dyDescent="0.3">
      <c r="A1383">
        <v>3969</v>
      </c>
      <c r="B1383" t="s">
        <v>26</v>
      </c>
      <c r="C1383" s="7">
        <v>20</v>
      </c>
      <c r="D1383" s="1">
        <v>44896</v>
      </c>
      <c r="E1383" s="29">
        <v>2.88305084745762</v>
      </c>
      <c r="F1383" t="s">
        <v>4</v>
      </c>
      <c r="G1383" t="str">
        <f t="shared" si="21"/>
        <v>2022-12</v>
      </c>
    </row>
    <row r="1384" spans="1:7" x14ac:dyDescent="0.3">
      <c r="A1384">
        <v>4033</v>
      </c>
      <c r="B1384" t="s">
        <v>46</v>
      </c>
      <c r="C1384" s="7">
        <v>187</v>
      </c>
      <c r="D1384" s="1">
        <v>45016</v>
      </c>
      <c r="E1384" s="29">
        <v>3.262</v>
      </c>
      <c r="F1384" t="s">
        <v>1</v>
      </c>
      <c r="G1384" t="str">
        <f t="shared" si="21"/>
        <v>2023-03</v>
      </c>
    </row>
    <row r="1385" spans="1:7" x14ac:dyDescent="0.3">
      <c r="A1385">
        <v>4103</v>
      </c>
      <c r="B1385" t="s">
        <v>17</v>
      </c>
      <c r="C1385" s="7">
        <v>131</v>
      </c>
      <c r="D1385" s="1">
        <v>45127</v>
      </c>
      <c r="E1385" s="29">
        <v>3.1</v>
      </c>
      <c r="F1385" t="s">
        <v>1</v>
      </c>
      <c r="G1385" t="str">
        <f t="shared" si="21"/>
        <v>2023-07</v>
      </c>
    </row>
    <row r="1386" spans="1:7" x14ac:dyDescent="0.3">
      <c r="A1386">
        <v>4059</v>
      </c>
      <c r="B1386" t="s">
        <v>20</v>
      </c>
      <c r="C1386" s="7">
        <v>29</v>
      </c>
      <c r="D1386" s="1">
        <v>45067</v>
      </c>
      <c r="E1386" s="29">
        <v>1.8</v>
      </c>
      <c r="F1386" t="s">
        <v>1</v>
      </c>
      <c r="G1386" t="str">
        <f t="shared" si="21"/>
        <v>2023-05</v>
      </c>
    </row>
    <row r="1387" spans="1:7" x14ac:dyDescent="0.3">
      <c r="A1387">
        <v>4014</v>
      </c>
      <c r="B1387" t="s">
        <v>22</v>
      </c>
      <c r="C1387" s="7">
        <v>81</v>
      </c>
      <c r="D1387" s="1">
        <v>45091</v>
      </c>
      <c r="E1387" s="29">
        <v>3.4</v>
      </c>
      <c r="F1387" t="s">
        <v>1</v>
      </c>
      <c r="G1387" t="str">
        <f t="shared" si="21"/>
        <v>2023-06</v>
      </c>
    </row>
    <row r="1388" spans="1:7" x14ac:dyDescent="0.3">
      <c r="A1388">
        <v>4116</v>
      </c>
      <c r="B1388" t="s">
        <v>49</v>
      </c>
      <c r="C1388" s="7">
        <v>154</v>
      </c>
      <c r="D1388" s="1">
        <v>44963</v>
      </c>
      <c r="E1388" s="29">
        <v>2.2000000000000002</v>
      </c>
      <c r="F1388" t="s">
        <v>4</v>
      </c>
      <c r="G1388" t="str">
        <f t="shared" si="21"/>
        <v>2023-02</v>
      </c>
    </row>
    <row r="1389" spans="1:7" x14ac:dyDescent="0.3">
      <c r="A1389">
        <v>3980</v>
      </c>
      <c r="B1389" t="s">
        <v>49</v>
      </c>
      <c r="C1389" s="7">
        <v>55</v>
      </c>
      <c r="D1389" s="1">
        <v>45101</v>
      </c>
      <c r="E1389" s="29">
        <v>4.5</v>
      </c>
      <c r="F1389" t="s">
        <v>1</v>
      </c>
      <c r="G1389" t="str">
        <f t="shared" si="21"/>
        <v>2023-06</v>
      </c>
    </row>
    <row r="1390" spans="1:7" x14ac:dyDescent="0.3">
      <c r="A1390">
        <v>4105</v>
      </c>
      <c r="B1390" t="s">
        <v>34</v>
      </c>
      <c r="C1390" s="7">
        <v>90</v>
      </c>
      <c r="D1390" s="1">
        <v>45025</v>
      </c>
      <c r="E1390" s="29">
        <v>3.01249999999999</v>
      </c>
      <c r="F1390" t="s">
        <v>4</v>
      </c>
      <c r="G1390" t="str">
        <f t="shared" si="21"/>
        <v>2023-04</v>
      </c>
    </row>
    <row r="1391" spans="1:7" x14ac:dyDescent="0.3">
      <c r="A1391">
        <v>3981</v>
      </c>
      <c r="B1391" t="s">
        <v>51</v>
      </c>
      <c r="C1391" s="7">
        <v>105.1</v>
      </c>
      <c r="D1391" s="1">
        <v>44977</v>
      </c>
      <c r="E1391" s="29">
        <v>1</v>
      </c>
      <c r="F1391" t="s">
        <v>4</v>
      </c>
      <c r="G1391" t="str">
        <f t="shared" si="21"/>
        <v>2023-02</v>
      </c>
    </row>
    <row r="1392" spans="1:7" x14ac:dyDescent="0.3">
      <c r="A1392">
        <v>4108</v>
      </c>
      <c r="B1392" t="s">
        <v>5</v>
      </c>
      <c r="C1392" s="7">
        <v>46</v>
      </c>
      <c r="D1392" s="1">
        <v>45200</v>
      </c>
      <c r="E1392" s="29">
        <v>1.8</v>
      </c>
      <c r="F1392" t="s">
        <v>4</v>
      </c>
      <c r="G1392" t="str">
        <f t="shared" si="21"/>
        <v>2023-10</v>
      </c>
    </row>
    <row r="1393" spans="1:7" x14ac:dyDescent="0.3">
      <c r="A1393">
        <v>4043</v>
      </c>
      <c r="B1393" t="s">
        <v>8</v>
      </c>
      <c r="C1393" s="7">
        <v>192</v>
      </c>
      <c r="D1393" s="1">
        <v>45040</v>
      </c>
      <c r="E1393" s="29">
        <v>3.2</v>
      </c>
      <c r="F1393" t="s">
        <v>4</v>
      </c>
      <c r="G1393" t="str">
        <f t="shared" si="21"/>
        <v>2023-04</v>
      </c>
    </row>
    <row r="1394" spans="1:7" x14ac:dyDescent="0.3">
      <c r="A1394">
        <v>4026</v>
      </c>
      <c r="B1394" t="s">
        <v>24</v>
      </c>
      <c r="C1394" s="7">
        <v>29</v>
      </c>
      <c r="D1394" s="1">
        <v>45046</v>
      </c>
      <c r="E1394" s="29">
        <v>3.8</v>
      </c>
      <c r="F1394" t="s">
        <v>1</v>
      </c>
      <c r="G1394" t="str">
        <f t="shared" si="21"/>
        <v>2023-04</v>
      </c>
    </row>
    <row r="1395" spans="1:7" x14ac:dyDescent="0.3">
      <c r="A1395">
        <v>3974</v>
      </c>
      <c r="B1395" t="s">
        <v>25</v>
      </c>
      <c r="C1395" s="7">
        <v>154</v>
      </c>
      <c r="D1395" s="1">
        <v>44913</v>
      </c>
      <c r="E1395" s="29">
        <v>1.3</v>
      </c>
      <c r="F1395" t="s">
        <v>4</v>
      </c>
      <c r="G1395" t="str">
        <f t="shared" si="21"/>
        <v>2022-12</v>
      </c>
    </row>
    <row r="1396" spans="1:7" x14ac:dyDescent="0.3">
      <c r="A1396">
        <v>4102</v>
      </c>
      <c r="B1396" t="s">
        <v>0</v>
      </c>
      <c r="C1396" s="7">
        <v>109</v>
      </c>
      <c r="D1396" s="1">
        <v>44937</v>
      </c>
      <c r="E1396" s="29">
        <v>2.2999999999999998</v>
      </c>
      <c r="F1396" t="s">
        <v>4</v>
      </c>
      <c r="G1396" t="str">
        <f t="shared" si="21"/>
        <v>2023-01</v>
      </c>
    </row>
    <row r="1397" spans="1:7" x14ac:dyDescent="0.3">
      <c r="A1397">
        <v>4092</v>
      </c>
      <c r="B1397" t="s">
        <v>46</v>
      </c>
      <c r="C1397" s="7">
        <v>148</v>
      </c>
      <c r="D1397" s="1">
        <v>44901</v>
      </c>
      <c r="E1397" s="29">
        <v>1.6</v>
      </c>
      <c r="F1397" t="s">
        <v>4</v>
      </c>
      <c r="G1397" t="str">
        <f t="shared" si="21"/>
        <v>2022-12</v>
      </c>
    </row>
    <row r="1398" spans="1:7" x14ac:dyDescent="0.3">
      <c r="A1398">
        <v>4078</v>
      </c>
      <c r="B1398" t="s">
        <v>27</v>
      </c>
      <c r="C1398" s="7">
        <v>199</v>
      </c>
      <c r="D1398" s="1">
        <v>44954</v>
      </c>
      <c r="E1398" s="29">
        <v>3.4</v>
      </c>
      <c r="F1398" t="s">
        <v>4</v>
      </c>
      <c r="G1398" t="str">
        <f t="shared" si="21"/>
        <v>2023-01</v>
      </c>
    </row>
    <row r="1399" spans="1:7" x14ac:dyDescent="0.3">
      <c r="A1399">
        <v>4066</v>
      </c>
      <c r="B1399" t="s">
        <v>27</v>
      </c>
      <c r="C1399" s="7">
        <v>103.98245614035</v>
      </c>
      <c r="D1399" s="1">
        <v>45055</v>
      </c>
      <c r="E1399" s="29">
        <v>3</v>
      </c>
      <c r="F1399" t="s">
        <v>4</v>
      </c>
      <c r="G1399" t="str">
        <f t="shared" si="21"/>
        <v>2023-05</v>
      </c>
    </row>
    <row r="1400" spans="1:7" x14ac:dyDescent="0.3">
      <c r="A1400">
        <v>4010</v>
      </c>
      <c r="B1400" t="s">
        <v>6</v>
      </c>
      <c r="C1400" s="7">
        <v>195</v>
      </c>
      <c r="D1400" s="1">
        <v>44855</v>
      </c>
      <c r="E1400" s="29">
        <v>2.7</v>
      </c>
      <c r="F1400" t="s">
        <v>1</v>
      </c>
      <c r="G1400" t="str">
        <f t="shared" si="21"/>
        <v>2022-10</v>
      </c>
    </row>
    <row r="1401" spans="1:7" x14ac:dyDescent="0.3">
      <c r="A1401">
        <v>4045</v>
      </c>
      <c r="B1401" t="s">
        <v>35</v>
      </c>
      <c r="C1401" s="7">
        <v>97.071428571428498</v>
      </c>
      <c r="D1401" s="1">
        <v>45031</v>
      </c>
      <c r="E1401" s="29">
        <v>3.9</v>
      </c>
      <c r="F1401" t="s">
        <v>1</v>
      </c>
      <c r="G1401" t="str">
        <f t="shared" si="21"/>
        <v>2023-04</v>
      </c>
    </row>
    <row r="1402" spans="1:7" x14ac:dyDescent="0.3">
      <c r="A1402">
        <v>3976</v>
      </c>
      <c r="B1402" t="s">
        <v>19</v>
      </c>
      <c r="C1402" s="7">
        <v>98</v>
      </c>
      <c r="D1402" s="1">
        <v>45042</v>
      </c>
      <c r="E1402" s="29">
        <v>3.6</v>
      </c>
      <c r="F1402" t="s">
        <v>1</v>
      </c>
      <c r="G1402" t="str">
        <f t="shared" si="21"/>
        <v>2023-04</v>
      </c>
    </row>
    <row r="1403" spans="1:7" x14ac:dyDescent="0.3">
      <c r="A1403">
        <v>4034</v>
      </c>
      <c r="B1403" t="s">
        <v>7</v>
      </c>
      <c r="C1403" s="7">
        <v>99.697674418604606</v>
      </c>
      <c r="D1403" s="1">
        <v>45073</v>
      </c>
      <c r="E1403" s="29">
        <v>2</v>
      </c>
      <c r="F1403" t="s">
        <v>1</v>
      </c>
      <c r="G1403" t="str">
        <f t="shared" si="21"/>
        <v>2023-05</v>
      </c>
    </row>
    <row r="1404" spans="1:7" x14ac:dyDescent="0.3">
      <c r="A1404">
        <v>4086</v>
      </c>
      <c r="B1404" t="s">
        <v>18</v>
      </c>
      <c r="C1404" s="7">
        <v>29</v>
      </c>
      <c r="D1404" s="1">
        <v>45145</v>
      </c>
      <c r="E1404" s="29">
        <v>1.3</v>
      </c>
      <c r="F1404" t="s">
        <v>1</v>
      </c>
      <c r="G1404" t="str">
        <f t="shared" si="21"/>
        <v>2023-08</v>
      </c>
    </row>
    <row r="1405" spans="1:7" x14ac:dyDescent="0.3">
      <c r="A1405">
        <v>4033</v>
      </c>
      <c r="B1405" t="s">
        <v>12</v>
      </c>
      <c r="C1405" s="7">
        <v>167</v>
      </c>
      <c r="D1405" s="1">
        <v>45155</v>
      </c>
      <c r="E1405" s="29">
        <v>2.7471698113207501</v>
      </c>
      <c r="F1405" t="s">
        <v>1</v>
      </c>
      <c r="G1405" t="str">
        <f t="shared" si="21"/>
        <v>2023-08</v>
      </c>
    </row>
    <row r="1406" spans="1:7" x14ac:dyDescent="0.3">
      <c r="A1406">
        <v>4067</v>
      </c>
      <c r="B1406" t="s">
        <v>11</v>
      </c>
      <c r="C1406" s="7">
        <v>111</v>
      </c>
      <c r="D1406" s="1">
        <v>45106</v>
      </c>
      <c r="E1406" s="29">
        <v>3.9</v>
      </c>
      <c r="F1406" t="s">
        <v>4</v>
      </c>
      <c r="G1406" t="str">
        <f t="shared" si="21"/>
        <v>2023-06</v>
      </c>
    </row>
    <row r="1407" spans="1:7" x14ac:dyDescent="0.3">
      <c r="A1407">
        <v>4095</v>
      </c>
      <c r="B1407" t="s">
        <v>19</v>
      </c>
      <c r="C1407" s="7">
        <v>93</v>
      </c>
      <c r="D1407" s="1">
        <v>45044</v>
      </c>
      <c r="E1407" s="29">
        <v>4.3</v>
      </c>
      <c r="F1407" t="s">
        <v>4</v>
      </c>
      <c r="G1407" t="str">
        <f t="shared" si="21"/>
        <v>2023-04</v>
      </c>
    </row>
    <row r="1408" spans="1:7" x14ac:dyDescent="0.3">
      <c r="A1408">
        <v>4037</v>
      </c>
      <c r="B1408" t="s">
        <v>34</v>
      </c>
      <c r="C1408" s="7">
        <v>110.431818181818</v>
      </c>
      <c r="D1408" s="1">
        <v>44981</v>
      </c>
      <c r="E1408" s="29">
        <v>3.0125000000000002</v>
      </c>
      <c r="F1408" t="s">
        <v>4</v>
      </c>
      <c r="G1408" t="str">
        <f t="shared" si="21"/>
        <v>2023-02</v>
      </c>
    </row>
    <row r="1409" spans="1:7" x14ac:dyDescent="0.3">
      <c r="A1409">
        <v>4008</v>
      </c>
      <c r="B1409" t="s">
        <v>27</v>
      </c>
      <c r="C1409" s="7">
        <v>125</v>
      </c>
      <c r="D1409" s="1">
        <v>45135</v>
      </c>
      <c r="E1409" s="29">
        <v>3.9</v>
      </c>
      <c r="F1409" t="s">
        <v>4</v>
      </c>
      <c r="G1409" t="str">
        <f t="shared" si="21"/>
        <v>2023-07</v>
      </c>
    </row>
    <row r="1410" spans="1:7" x14ac:dyDescent="0.3">
      <c r="A1410">
        <v>4063</v>
      </c>
      <c r="B1410" t="s">
        <v>13</v>
      </c>
      <c r="C1410" s="7">
        <v>101</v>
      </c>
      <c r="D1410" s="1">
        <v>44873</v>
      </c>
      <c r="E1410" s="29">
        <v>2.45818181818181</v>
      </c>
      <c r="F1410" t="s">
        <v>4</v>
      </c>
      <c r="G1410" t="str">
        <f t="shared" si="21"/>
        <v>2022-11</v>
      </c>
    </row>
    <row r="1411" spans="1:7" x14ac:dyDescent="0.3">
      <c r="A1411">
        <v>4059</v>
      </c>
      <c r="B1411" t="s">
        <v>44</v>
      </c>
      <c r="C1411" s="7">
        <v>106</v>
      </c>
      <c r="D1411" s="1">
        <v>44902</v>
      </c>
      <c r="E1411" s="29">
        <v>1.4</v>
      </c>
      <c r="F1411" t="s">
        <v>1</v>
      </c>
      <c r="G1411" t="str">
        <f t="shared" ref="G1411:G1474" si="22">TEXT(D1411,"ГГГГ-ММ")</f>
        <v>2022-12</v>
      </c>
    </row>
    <row r="1412" spans="1:7" x14ac:dyDescent="0.3">
      <c r="A1412">
        <v>4021</v>
      </c>
      <c r="B1412" t="s">
        <v>32</v>
      </c>
      <c r="C1412" s="7">
        <v>184</v>
      </c>
      <c r="D1412" s="1">
        <v>45026</v>
      </c>
      <c r="E1412" s="29">
        <v>4.7</v>
      </c>
      <c r="F1412" t="s">
        <v>1</v>
      </c>
      <c r="G1412" t="str">
        <f t="shared" si="22"/>
        <v>2023-04</v>
      </c>
    </row>
    <row r="1413" spans="1:7" x14ac:dyDescent="0.3">
      <c r="A1413">
        <v>4116</v>
      </c>
      <c r="B1413" t="s">
        <v>7</v>
      </c>
      <c r="C1413" s="7">
        <v>107</v>
      </c>
      <c r="D1413" s="1">
        <v>45133</v>
      </c>
      <c r="E1413" s="29">
        <v>3.7</v>
      </c>
      <c r="F1413" t="s">
        <v>1</v>
      </c>
      <c r="G1413" t="str">
        <f t="shared" si="22"/>
        <v>2023-07</v>
      </c>
    </row>
    <row r="1414" spans="1:7" x14ac:dyDescent="0.3">
      <c r="A1414">
        <v>4088</v>
      </c>
      <c r="B1414" t="s">
        <v>18</v>
      </c>
      <c r="C1414" s="7">
        <v>102.74</v>
      </c>
      <c r="D1414" s="1">
        <v>44994</v>
      </c>
      <c r="E1414" s="29">
        <v>1.3</v>
      </c>
      <c r="F1414" t="s">
        <v>1</v>
      </c>
      <c r="G1414" t="str">
        <f t="shared" si="22"/>
        <v>2023-03</v>
      </c>
    </row>
    <row r="1415" spans="1:7" x14ac:dyDescent="0.3">
      <c r="A1415">
        <v>4073</v>
      </c>
      <c r="B1415" t="s">
        <v>5</v>
      </c>
      <c r="C1415" s="7">
        <v>73</v>
      </c>
      <c r="D1415" s="1">
        <v>45126</v>
      </c>
      <c r="E1415" s="29">
        <v>4.4000000000000004</v>
      </c>
      <c r="F1415" t="s">
        <v>1</v>
      </c>
      <c r="G1415" t="str">
        <f t="shared" si="22"/>
        <v>2023-07</v>
      </c>
    </row>
    <row r="1416" spans="1:7" x14ac:dyDescent="0.3">
      <c r="A1416">
        <v>4097</v>
      </c>
      <c r="B1416" t="s">
        <v>5</v>
      </c>
      <c r="C1416" s="7">
        <v>31</v>
      </c>
      <c r="D1416" s="1">
        <v>45084</v>
      </c>
      <c r="E1416" s="29">
        <v>4</v>
      </c>
      <c r="F1416" t="s">
        <v>1</v>
      </c>
      <c r="G1416" t="str">
        <f t="shared" si="22"/>
        <v>2023-06</v>
      </c>
    </row>
    <row r="1417" spans="1:7" x14ac:dyDescent="0.3">
      <c r="A1417">
        <v>4003</v>
      </c>
      <c r="B1417" t="s">
        <v>37</v>
      </c>
      <c r="C1417" s="7">
        <v>107</v>
      </c>
      <c r="D1417" s="1">
        <v>45177</v>
      </c>
      <c r="E1417" s="29">
        <v>3</v>
      </c>
      <c r="F1417" t="s">
        <v>4</v>
      </c>
      <c r="G1417" t="str">
        <f t="shared" si="22"/>
        <v>2023-09</v>
      </c>
    </row>
    <row r="1418" spans="1:7" x14ac:dyDescent="0.3">
      <c r="A1418">
        <v>3961</v>
      </c>
      <c r="B1418" t="s">
        <v>43</v>
      </c>
      <c r="C1418" s="7">
        <v>172</v>
      </c>
      <c r="D1418" s="1">
        <v>44925</v>
      </c>
      <c r="E1418" s="29">
        <v>2.2999999999999998</v>
      </c>
      <c r="F1418" t="s">
        <v>1</v>
      </c>
      <c r="G1418" t="str">
        <f t="shared" si="22"/>
        <v>2022-12</v>
      </c>
    </row>
    <row r="1419" spans="1:7" x14ac:dyDescent="0.3">
      <c r="A1419">
        <v>4117</v>
      </c>
      <c r="B1419" t="s">
        <v>32</v>
      </c>
      <c r="C1419" s="7">
        <v>84.528571428571396</v>
      </c>
      <c r="D1419" s="1">
        <v>44905</v>
      </c>
      <c r="E1419" s="29">
        <v>1.8</v>
      </c>
      <c r="F1419" t="s">
        <v>1</v>
      </c>
      <c r="G1419" t="str">
        <f t="shared" si="22"/>
        <v>2022-12</v>
      </c>
    </row>
    <row r="1420" spans="1:7" x14ac:dyDescent="0.3">
      <c r="A1420">
        <v>4089</v>
      </c>
      <c r="B1420" t="s">
        <v>42</v>
      </c>
      <c r="C1420" s="7">
        <v>102</v>
      </c>
      <c r="D1420" s="1">
        <v>44861</v>
      </c>
      <c r="E1420" s="29">
        <v>1.2</v>
      </c>
      <c r="F1420" t="s">
        <v>1</v>
      </c>
      <c r="G1420" t="str">
        <f t="shared" si="22"/>
        <v>2022-10</v>
      </c>
    </row>
    <row r="1421" spans="1:7" x14ac:dyDescent="0.3">
      <c r="A1421">
        <v>4004</v>
      </c>
      <c r="B1421" t="s">
        <v>33</v>
      </c>
      <c r="C1421" s="7">
        <v>113.54098360655701</v>
      </c>
      <c r="D1421" s="1">
        <v>44967</v>
      </c>
      <c r="E1421" s="29">
        <v>2.9</v>
      </c>
      <c r="F1421" t="s">
        <v>1</v>
      </c>
      <c r="G1421" t="str">
        <f t="shared" si="22"/>
        <v>2023-02</v>
      </c>
    </row>
    <row r="1422" spans="1:7" x14ac:dyDescent="0.3">
      <c r="A1422">
        <v>4104</v>
      </c>
      <c r="B1422" t="s">
        <v>30</v>
      </c>
      <c r="C1422" s="7">
        <v>99.866666666666603</v>
      </c>
      <c r="D1422" s="1">
        <v>44931</v>
      </c>
      <c r="E1422" s="29">
        <v>4.7</v>
      </c>
      <c r="F1422" t="s">
        <v>4</v>
      </c>
      <c r="G1422" t="str">
        <f t="shared" si="22"/>
        <v>2023-01</v>
      </c>
    </row>
    <row r="1423" spans="1:7" x14ac:dyDescent="0.3">
      <c r="A1423">
        <v>4084</v>
      </c>
      <c r="B1423" t="s">
        <v>26</v>
      </c>
      <c r="C1423" s="7">
        <v>102</v>
      </c>
      <c r="D1423" s="1">
        <v>45145</v>
      </c>
      <c r="E1423" s="29">
        <v>4.9000000000000004</v>
      </c>
      <c r="F1423" t="s">
        <v>4</v>
      </c>
      <c r="G1423" t="str">
        <f t="shared" si="22"/>
        <v>2023-08</v>
      </c>
    </row>
    <row r="1424" spans="1:7" x14ac:dyDescent="0.3">
      <c r="A1424">
        <v>4011</v>
      </c>
      <c r="B1424" t="s">
        <v>38</v>
      </c>
      <c r="C1424" s="7">
        <v>36</v>
      </c>
      <c r="D1424" s="1">
        <v>45104</v>
      </c>
      <c r="E1424" s="29">
        <v>4.5999999999999996</v>
      </c>
      <c r="F1424" t="s">
        <v>4</v>
      </c>
      <c r="G1424" t="str">
        <f t="shared" si="22"/>
        <v>2023-06</v>
      </c>
    </row>
    <row r="1425" spans="1:7" x14ac:dyDescent="0.3">
      <c r="A1425">
        <v>4076</v>
      </c>
      <c r="B1425" t="s">
        <v>26</v>
      </c>
      <c r="C1425" s="7">
        <v>103.267857142857</v>
      </c>
      <c r="D1425" s="1">
        <v>45034</v>
      </c>
      <c r="E1425" s="29">
        <v>1.6</v>
      </c>
      <c r="F1425" t="s">
        <v>4</v>
      </c>
      <c r="G1425" t="str">
        <f t="shared" si="22"/>
        <v>2023-04</v>
      </c>
    </row>
    <row r="1426" spans="1:7" x14ac:dyDescent="0.3">
      <c r="A1426">
        <v>4025</v>
      </c>
      <c r="B1426" t="s">
        <v>26</v>
      </c>
      <c r="C1426" s="7">
        <v>103.267857142857</v>
      </c>
      <c r="D1426" s="1">
        <v>44930</v>
      </c>
      <c r="E1426" s="29">
        <v>2.7</v>
      </c>
      <c r="F1426" t="s">
        <v>4</v>
      </c>
      <c r="G1426" t="str">
        <f t="shared" si="22"/>
        <v>2023-01</v>
      </c>
    </row>
    <row r="1427" spans="1:7" x14ac:dyDescent="0.3">
      <c r="A1427">
        <v>4120</v>
      </c>
      <c r="B1427" t="s">
        <v>31</v>
      </c>
      <c r="C1427" s="7">
        <v>152</v>
      </c>
      <c r="D1427" s="1">
        <v>44920</v>
      </c>
      <c r="E1427" s="29">
        <v>2.6590163934426201</v>
      </c>
      <c r="F1427" t="s">
        <v>1</v>
      </c>
      <c r="G1427" t="str">
        <f t="shared" si="22"/>
        <v>2022-12</v>
      </c>
    </row>
    <row r="1428" spans="1:7" x14ac:dyDescent="0.3">
      <c r="A1428">
        <v>4093</v>
      </c>
      <c r="B1428" t="s">
        <v>41</v>
      </c>
      <c r="C1428" s="7">
        <v>36</v>
      </c>
      <c r="D1428" s="1">
        <v>45046</v>
      </c>
      <c r="E1428" s="29">
        <v>2.2999999999999998</v>
      </c>
      <c r="F1428" t="s">
        <v>4</v>
      </c>
      <c r="G1428" t="str">
        <f t="shared" si="22"/>
        <v>2023-04</v>
      </c>
    </row>
    <row r="1429" spans="1:7" x14ac:dyDescent="0.3">
      <c r="A1429">
        <v>4114</v>
      </c>
      <c r="B1429" t="s">
        <v>30</v>
      </c>
      <c r="C1429" s="7">
        <v>99.866666666666603</v>
      </c>
      <c r="D1429" s="1">
        <v>45124</v>
      </c>
      <c r="E1429" s="29">
        <v>3.5</v>
      </c>
      <c r="F1429" t="s">
        <v>4</v>
      </c>
      <c r="G1429" t="str">
        <f t="shared" si="22"/>
        <v>2023-07</v>
      </c>
    </row>
    <row r="1430" spans="1:7" x14ac:dyDescent="0.3">
      <c r="A1430">
        <v>4068</v>
      </c>
      <c r="B1430" t="s">
        <v>5</v>
      </c>
      <c r="C1430" s="7">
        <v>33</v>
      </c>
      <c r="D1430" s="1">
        <v>45153</v>
      </c>
      <c r="E1430" s="29">
        <v>1.1000000000000001</v>
      </c>
      <c r="F1430" t="s">
        <v>4</v>
      </c>
      <c r="G1430" t="str">
        <f t="shared" si="22"/>
        <v>2023-08</v>
      </c>
    </row>
    <row r="1431" spans="1:7" x14ac:dyDescent="0.3">
      <c r="A1431">
        <v>4101</v>
      </c>
      <c r="B1431" t="s">
        <v>26</v>
      </c>
      <c r="C1431" s="7">
        <v>93</v>
      </c>
      <c r="D1431" s="1">
        <v>44901</v>
      </c>
      <c r="E1431" s="29">
        <v>3.6</v>
      </c>
      <c r="F1431" t="s">
        <v>1</v>
      </c>
      <c r="G1431" t="str">
        <f t="shared" si="22"/>
        <v>2022-12</v>
      </c>
    </row>
    <row r="1432" spans="1:7" x14ac:dyDescent="0.3">
      <c r="A1432">
        <v>4117</v>
      </c>
      <c r="B1432" t="s">
        <v>0</v>
      </c>
      <c r="C1432" s="7">
        <v>13</v>
      </c>
      <c r="D1432" s="1">
        <v>44841</v>
      </c>
      <c r="E1432" s="29">
        <v>3.4</v>
      </c>
      <c r="F1432" t="s">
        <v>4</v>
      </c>
      <c r="G1432" t="str">
        <f t="shared" si="22"/>
        <v>2022-10</v>
      </c>
    </row>
    <row r="1433" spans="1:7" x14ac:dyDescent="0.3">
      <c r="A1433">
        <v>3972</v>
      </c>
      <c r="B1433" t="s">
        <v>16</v>
      </c>
      <c r="C1433" s="7">
        <v>109</v>
      </c>
      <c r="D1433" s="1">
        <v>45032</v>
      </c>
      <c r="E1433" s="29">
        <v>1.4</v>
      </c>
      <c r="F1433" t="s">
        <v>1</v>
      </c>
      <c r="G1433" t="str">
        <f t="shared" si="22"/>
        <v>2023-04</v>
      </c>
    </row>
    <row r="1434" spans="1:7" x14ac:dyDescent="0.3">
      <c r="A1434">
        <v>4090</v>
      </c>
      <c r="B1434" t="s">
        <v>17</v>
      </c>
      <c r="C1434" s="7">
        <v>195</v>
      </c>
      <c r="D1434" s="1">
        <v>45049</v>
      </c>
      <c r="E1434" s="29">
        <v>1.6</v>
      </c>
      <c r="F1434" t="s">
        <v>1</v>
      </c>
      <c r="G1434" t="str">
        <f t="shared" si="22"/>
        <v>2023-05</v>
      </c>
    </row>
    <row r="1435" spans="1:7" x14ac:dyDescent="0.3">
      <c r="A1435">
        <v>4008</v>
      </c>
      <c r="B1435" t="s">
        <v>39</v>
      </c>
      <c r="C1435" s="7">
        <v>72</v>
      </c>
      <c r="D1435" s="1">
        <v>45039</v>
      </c>
      <c r="E1435" s="29">
        <v>1.1000000000000001</v>
      </c>
      <c r="F1435" t="s">
        <v>1</v>
      </c>
      <c r="G1435" t="str">
        <f t="shared" si="22"/>
        <v>2023-04</v>
      </c>
    </row>
    <row r="1436" spans="1:7" x14ac:dyDescent="0.3">
      <c r="A1436">
        <v>4050</v>
      </c>
      <c r="B1436" t="s">
        <v>40</v>
      </c>
      <c r="C1436" s="7">
        <v>53</v>
      </c>
      <c r="D1436" s="1">
        <v>44873</v>
      </c>
      <c r="E1436" s="29">
        <v>2.2000000000000002</v>
      </c>
      <c r="F1436" t="s">
        <v>4</v>
      </c>
      <c r="G1436" t="str">
        <f t="shared" si="22"/>
        <v>2022-11</v>
      </c>
    </row>
    <row r="1437" spans="1:7" x14ac:dyDescent="0.3">
      <c r="A1437">
        <v>4075</v>
      </c>
      <c r="B1437" t="s">
        <v>26</v>
      </c>
      <c r="C1437" s="7">
        <v>53</v>
      </c>
      <c r="D1437" s="1">
        <v>45068</v>
      </c>
      <c r="E1437" s="29">
        <v>3.2</v>
      </c>
      <c r="F1437" t="s">
        <v>4</v>
      </c>
      <c r="G1437" t="str">
        <f t="shared" si="22"/>
        <v>2023-05</v>
      </c>
    </row>
    <row r="1438" spans="1:7" x14ac:dyDescent="0.3">
      <c r="A1438">
        <v>3994</v>
      </c>
      <c r="B1438" t="s">
        <v>44</v>
      </c>
      <c r="C1438" s="7">
        <v>106.72413793103399</v>
      </c>
      <c r="D1438" s="1">
        <v>45127</v>
      </c>
      <c r="E1438" s="29">
        <v>2.9</v>
      </c>
      <c r="F1438" t="s">
        <v>4</v>
      </c>
      <c r="G1438" t="str">
        <f t="shared" si="22"/>
        <v>2023-07</v>
      </c>
    </row>
    <row r="1439" spans="1:7" x14ac:dyDescent="0.3">
      <c r="A1439">
        <v>4018</v>
      </c>
      <c r="B1439" t="s">
        <v>23</v>
      </c>
      <c r="C1439" s="7">
        <v>136</v>
      </c>
      <c r="D1439" s="1">
        <v>45134</v>
      </c>
      <c r="E1439" s="29">
        <v>2.7</v>
      </c>
      <c r="F1439" t="s">
        <v>1</v>
      </c>
      <c r="G1439" t="str">
        <f t="shared" si="22"/>
        <v>2023-07</v>
      </c>
    </row>
    <row r="1440" spans="1:7" x14ac:dyDescent="0.3">
      <c r="A1440">
        <v>3995</v>
      </c>
      <c r="B1440" t="s">
        <v>6</v>
      </c>
      <c r="C1440" s="7">
        <v>114.77966101694901</v>
      </c>
      <c r="D1440" s="1">
        <v>45044</v>
      </c>
      <c r="E1440" s="29">
        <v>1.6</v>
      </c>
      <c r="F1440" t="s">
        <v>4</v>
      </c>
      <c r="G1440" t="str">
        <f t="shared" si="22"/>
        <v>2023-04</v>
      </c>
    </row>
    <row r="1441" spans="1:7" x14ac:dyDescent="0.3">
      <c r="A1441">
        <v>4033</v>
      </c>
      <c r="B1441" t="s">
        <v>31</v>
      </c>
      <c r="C1441" s="7">
        <v>88.827586206896498</v>
      </c>
      <c r="D1441" s="1">
        <v>44926</v>
      </c>
      <c r="E1441" s="29">
        <v>1.2</v>
      </c>
      <c r="F1441" t="s">
        <v>4</v>
      </c>
      <c r="G1441" t="str">
        <f t="shared" si="22"/>
        <v>2022-12</v>
      </c>
    </row>
    <row r="1442" spans="1:7" x14ac:dyDescent="0.3">
      <c r="A1442">
        <v>4068</v>
      </c>
      <c r="B1442" t="s">
        <v>29</v>
      </c>
      <c r="C1442" s="7">
        <v>86</v>
      </c>
      <c r="D1442" s="1">
        <v>44932</v>
      </c>
      <c r="E1442" s="29">
        <v>1.3</v>
      </c>
      <c r="F1442" t="s">
        <v>4</v>
      </c>
      <c r="G1442" t="str">
        <f t="shared" si="22"/>
        <v>2023-01</v>
      </c>
    </row>
    <row r="1443" spans="1:7" x14ac:dyDescent="0.3">
      <c r="A1443">
        <v>4062</v>
      </c>
      <c r="B1443" t="s">
        <v>32</v>
      </c>
      <c r="C1443" s="7">
        <v>29</v>
      </c>
      <c r="D1443" s="1">
        <v>45012</v>
      </c>
      <c r="E1443" s="29">
        <v>2.9</v>
      </c>
      <c r="F1443" t="s">
        <v>4</v>
      </c>
      <c r="G1443" t="str">
        <f t="shared" si="22"/>
        <v>2023-03</v>
      </c>
    </row>
    <row r="1444" spans="1:7" x14ac:dyDescent="0.3">
      <c r="A1444">
        <v>4038</v>
      </c>
      <c r="B1444" t="s">
        <v>29</v>
      </c>
      <c r="C1444" s="7">
        <v>73</v>
      </c>
      <c r="D1444" s="1">
        <v>45029</v>
      </c>
      <c r="E1444" s="29">
        <v>1.9</v>
      </c>
      <c r="F1444" t="s">
        <v>1</v>
      </c>
      <c r="G1444" t="str">
        <f t="shared" si="22"/>
        <v>2023-04</v>
      </c>
    </row>
    <row r="1445" spans="1:7" x14ac:dyDescent="0.3">
      <c r="A1445">
        <v>3973</v>
      </c>
      <c r="B1445" t="s">
        <v>37</v>
      </c>
      <c r="C1445" s="7">
        <v>136</v>
      </c>
      <c r="D1445" s="1">
        <v>45148</v>
      </c>
      <c r="E1445" s="29">
        <v>4.2</v>
      </c>
      <c r="F1445" t="s">
        <v>1</v>
      </c>
      <c r="G1445" t="str">
        <f t="shared" si="22"/>
        <v>2023-08</v>
      </c>
    </row>
    <row r="1446" spans="1:7" x14ac:dyDescent="0.3">
      <c r="A1446">
        <v>4119</v>
      </c>
      <c r="B1446" t="s">
        <v>3</v>
      </c>
      <c r="C1446" s="7">
        <v>60</v>
      </c>
      <c r="D1446" s="1">
        <v>45138</v>
      </c>
      <c r="E1446" s="29">
        <v>1.1000000000000001</v>
      </c>
      <c r="F1446" t="s">
        <v>1</v>
      </c>
      <c r="G1446" t="str">
        <f t="shared" si="22"/>
        <v>2023-07</v>
      </c>
    </row>
    <row r="1447" spans="1:7" x14ac:dyDescent="0.3">
      <c r="A1447">
        <v>4009</v>
      </c>
      <c r="B1447" t="s">
        <v>38</v>
      </c>
      <c r="C1447" s="7">
        <v>44</v>
      </c>
      <c r="D1447" s="1">
        <v>45143</v>
      </c>
      <c r="E1447" s="29">
        <v>1.6</v>
      </c>
      <c r="F1447" t="s">
        <v>1</v>
      </c>
      <c r="G1447" t="str">
        <f t="shared" si="22"/>
        <v>2023-08</v>
      </c>
    </row>
    <row r="1448" spans="1:7" x14ac:dyDescent="0.3">
      <c r="A1448">
        <v>4062</v>
      </c>
      <c r="B1448" t="s">
        <v>0</v>
      </c>
      <c r="C1448" s="7">
        <v>111</v>
      </c>
      <c r="D1448" s="1">
        <v>45172</v>
      </c>
      <c r="E1448" s="29">
        <v>3.7</v>
      </c>
      <c r="F1448" t="s">
        <v>4</v>
      </c>
      <c r="G1448" t="str">
        <f t="shared" si="22"/>
        <v>2023-09</v>
      </c>
    </row>
    <row r="1449" spans="1:7" x14ac:dyDescent="0.3">
      <c r="A1449">
        <v>4025</v>
      </c>
      <c r="B1449" t="s">
        <v>44</v>
      </c>
      <c r="C1449" s="7">
        <v>168</v>
      </c>
      <c r="D1449" s="1">
        <v>44915</v>
      </c>
      <c r="E1449" s="29">
        <v>1.5</v>
      </c>
      <c r="F1449" t="s">
        <v>1</v>
      </c>
      <c r="G1449" t="str">
        <f t="shared" si="22"/>
        <v>2022-12</v>
      </c>
    </row>
    <row r="1450" spans="1:7" x14ac:dyDescent="0.3">
      <c r="A1450">
        <v>4030</v>
      </c>
      <c r="B1450" t="s">
        <v>51</v>
      </c>
      <c r="C1450" s="7">
        <v>94</v>
      </c>
      <c r="D1450" s="1">
        <v>45137</v>
      </c>
      <c r="E1450" s="29">
        <v>2.1</v>
      </c>
      <c r="F1450" t="s">
        <v>1</v>
      </c>
      <c r="G1450" t="str">
        <f t="shared" si="22"/>
        <v>2023-07</v>
      </c>
    </row>
    <row r="1451" spans="1:7" x14ac:dyDescent="0.3">
      <c r="A1451">
        <v>4122</v>
      </c>
      <c r="B1451" t="s">
        <v>5</v>
      </c>
      <c r="C1451" s="7">
        <v>120</v>
      </c>
      <c r="D1451" s="1">
        <v>45144</v>
      </c>
      <c r="E1451" s="29">
        <v>4.2</v>
      </c>
      <c r="F1451" t="s">
        <v>4</v>
      </c>
      <c r="G1451" t="str">
        <f t="shared" si="22"/>
        <v>2023-08</v>
      </c>
    </row>
    <row r="1452" spans="1:7" x14ac:dyDescent="0.3">
      <c r="A1452">
        <v>3998</v>
      </c>
      <c r="B1452" t="s">
        <v>14</v>
      </c>
      <c r="C1452" s="7">
        <v>176</v>
      </c>
      <c r="D1452" s="1">
        <v>45116</v>
      </c>
      <c r="E1452" s="29">
        <v>2.5</v>
      </c>
      <c r="F1452" t="s">
        <v>1</v>
      </c>
      <c r="G1452" t="str">
        <f t="shared" si="22"/>
        <v>2023-07</v>
      </c>
    </row>
    <row r="1453" spans="1:7" x14ac:dyDescent="0.3">
      <c r="A1453">
        <v>4022</v>
      </c>
      <c r="B1453" t="s">
        <v>10</v>
      </c>
      <c r="C1453" s="7">
        <v>44</v>
      </c>
      <c r="D1453" s="1">
        <v>44962</v>
      </c>
      <c r="E1453" s="29">
        <v>1.3</v>
      </c>
      <c r="F1453" t="s">
        <v>1</v>
      </c>
      <c r="G1453" t="str">
        <f t="shared" si="22"/>
        <v>2023-02</v>
      </c>
    </row>
    <row r="1454" spans="1:7" x14ac:dyDescent="0.3">
      <c r="A1454">
        <v>4110</v>
      </c>
      <c r="B1454" t="s">
        <v>5</v>
      </c>
      <c r="C1454" s="7">
        <v>164</v>
      </c>
      <c r="D1454" s="1">
        <v>44946</v>
      </c>
      <c r="E1454" s="29">
        <v>2.7</v>
      </c>
      <c r="F1454" t="s">
        <v>4</v>
      </c>
      <c r="G1454" t="str">
        <f t="shared" si="22"/>
        <v>2023-01</v>
      </c>
    </row>
    <row r="1455" spans="1:7" x14ac:dyDescent="0.3">
      <c r="A1455">
        <v>4017</v>
      </c>
      <c r="B1455" t="s">
        <v>13</v>
      </c>
      <c r="C1455" s="7">
        <v>61</v>
      </c>
      <c r="D1455" s="1">
        <v>45000</v>
      </c>
      <c r="E1455" s="29">
        <v>2.2999999999999998</v>
      </c>
      <c r="F1455" t="s">
        <v>1</v>
      </c>
      <c r="G1455" t="str">
        <f t="shared" si="22"/>
        <v>2023-03</v>
      </c>
    </row>
    <row r="1456" spans="1:7" x14ac:dyDescent="0.3">
      <c r="A1456">
        <v>4060</v>
      </c>
      <c r="B1456" t="s">
        <v>28</v>
      </c>
      <c r="C1456" s="7">
        <v>55</v>
      </c>
      <c r="D1456" s="1">
        <v>45119</v>
      </c>
      <c r="E1456" s="29">
        <v>4.5</v>
      </c>
      <c r="F1456" t="s">
        <v>1</v>
      </c>
      <c r="G1456" t="str">
        <f t="shared" si="22"/>
        <v>2023-07</v>
      </c>
    </row>
    <row r="1457" spans="1:7" x14ac:dyDescent="0.3">
      <c r="A1457">
        <v>4018</v>
      </c>
      <c r="B1457" t="s">
        <v>6</v>
      </c>
      <c r="C1457" s="7">
        <v>91</v>
      </c>
      <c r="D1457" s="1">
        <v>45080</v>
      </c>
      <c r="E1457" s="29">
        <v>4.7</v>
      </c>
      <c r="F1457" t="s">
        <v>1</v>
      </c>
      <c r="G1457" t="str">
        <f t="shared" si="22"/>
        <v>2023-06</v>
      </c>
    </row>
    <row r="1458" spans="1:7" x14ac:dyDescent="0.3">
      <c r="A1458">
        <v>3986</v>
      </c>
      <c r="B1458" t="s">
        <v>51</v>
      </c>
      <c r="C1458" s="7">
        <v>187</v>
      </c>
      <c r="D1458" s="1">
        <v>45040</v>
      </c>
      <c r="E1458" s="29">
        <v>4.0999999999999996</v>
      </c>
      <c r="F1458" t="s">
        <v>1</v>
      </c>
      <c r="G1458" t="str">
        <f t="shared" si="22"/>
        <v>2023-04</v>
      </c>
    </row>
    <row r="1459" spans="1:7" x14ac:dyDescent="0.3">
      <c r="A1459">
        <v>3995</v>
      </c>
      <c r="B1459" t="s">
        <v>25</v>
      </c>
      <c r="C1459" s="7">
        <v>157</v>
      </c>
      <c r="D1459" s="1">
        <v>45120</v>
      </c>
      <c r="E1459" s="29">
        <v>3.3</v>
      </c>
      <c r="F1459" t="s">
        <v>1</v>
      </c>
      <c r="G1459" t="str">
        <f t="shared" si="22"/>
        <v>2023-07</v>
      </c>
    </row>
    <row r="1460" spans="1:7" x14ac:dyDescent="0.3">
      <c r="A1460">
        <v>4006</v>
      </c>
      <c r="B1460" t="s">
        <v>25</v>
      </c>
      <c r="C1460" s="7">
        <v>93</v>
      </c>
      <c r="D1460" s="1">
        <v>45099</v>
      </c>
      <c r="E1460" s="29">
        <v>1.8</v>
      </c>
      <c r="F1460" t="s">
        <v>4</v>
      </c>
      <c r="G1460" t="str">
        <f t="shared" si="22"/>
        <v>2023-06</v>
      </c>
    </row>
    <row r="1461" spans="1:7" x14ac:dyDescent="0.3">
      <c r="A1461">
        <v>3964</v>
      </c>
      <c r="B1461" t="s">
        <v>17</v>
      </c>
      <c r="C1461" s="7">
        <v>110</v>
      </c>
      <c r="D1461" s="1">
        <v>45073</v>
      </c>
      <c r="E1461" s="29">
        <v>2.2999999999999998</v>
      </c>
      <c r="F1461" t="s">
        <v>4</v>
      </c>
      <c r="G1461" t="str">
        <f t="shared" si="22"/>
        <v>2023-05</v>
      </c>
    </row>
    <row r="1462" spans="1:7" x14ac:dyDescent="0.3">
      <c r="A1462">
        <v>4019</v>
      </c>
      <c r="B1462" t="s">
        <v>48</v>
      </c>
      <c r="C1462" s="7">
        <v>154</v>
      </c>
      <c r="D1462" s="1">
        <v>45199</v>
      </c>
      <c r="E1462" s="29">
        <v>4.9000000000000004</v>
      </c>
      <c r="F1462" t="s">
        <v>4</v>
      </c>
      <c r="G1462" t="str">
        <f t="shared" si="22"/>
        <v>2023-09</v>
      </c>
    </row>
    <row r="1463" spans="1:7" x14ac:dyDescent="0.3">
      <c r="A1463">
        <v>4036</v>
      </c>
      <c r="B1463" t="s">
        <v>28</v>
      </c>
      <c r="C1463" s="7">
        <v>111.854838709677</v>
      </c>
      <c r="D1463" s="1">
        <v>45089</v>
      </c>
      <c r="E1463" s="29">
        <v>3.4</v>
      </c>
      <c r="F1463" t="s">
        <v>1</v>
      </c>
      <c r="G1463" t="str">
        <f t="shared" si="22"/>
        <v>2023-06</v>
      </c>
    </row>
    <row r="1464" spans="1:7" x14ac:dyDescent="0.3">
      <c r="A1464">
        <v>4075</v>
      </c>
      <c r="B1464" t="s">
        <v>13</v>
      </c>
      <c r="C1464" s="7">
        <v>56</v>
      </c>
      <c r="D1464" s="1">
        <v>45066</v>
      </c>
      <c r="E1464" s="29">
        <v>4.3</v>
      </c>
      <c r="F1464" t="s">
        <v>4</v>
      </c>
      <c r="G1464" t="str">
        <f t="shared" si="22"/>
        <v>2023-05</v>
      </c>
    </row>
    <row r="1465" spans="1:7" x14ac:dyDescent="0.3">
      <c r="A1465">
        <v>4081</v>
      </c>
      <c r="B1465" t="s">
        <v>0</v>
      </c>
      <c r="C1465" s="7">
        <v>150</v>
      </c>
      <c r="D1465" s="1">
        <v>45148</v>
      </c>
      <c r="E1465" s="29">
        <v>2.9</v>
      </c>
      <c r="F1465" t="s">
        <v>4</v>
      </c>
      <c r="G1465" t="str">
        <f t="shared" si="22"/>
        <v>2023-08</v>
      </c>
    </row>
    <row r="1466" spans="1:7" x14ac:dyDescent="0.3">
      <c r="A1466">
        <v>4100</v>
      </c>
      <c r="B1466" t="s">
        <v>2</v>
      </c>
      <c r="C1466" s="7">
        <v>93.340909090908994</v>
      </c>
      <c r="D1466" s="1">
        <v>44931</v>
      </c>
      <c r="E1466" s="29">
        <v>3.0185185185185102</v>
      </c>
      <c r="F1466" t="s">
        <v>1</v>
      </c>
      <c r="G1466" t="str">
        <f t="shared" si="22"/>
        <v>2023-01</v>
      </c>
    </row>
    <row r="1467" spans="1:7" x14ac:dyDescent="0.3">
      <c r="A1467">
        <v>4068</v>
      </c>
      <c r="B1467" t="s">
        <v>10</v>
      </c>
      <c r="C1467" s="7">
        <v>191</v>
      </c>
      <c r="D1467" s="1">
        <v>45026</v>
      </c>
      <c r="E1467" s="29">
        <v>1.4</v>
      </c>
      <c r="F1467" t="s">
        <v>1</v>
      </c>
      <c r="G1467" t="str">
        <f t="shared" si="22"/>
        <v>2023-04</v>
      </c>
    </row>
    <row r="1468" spans="1:7" x14ac:dyDescent="0.3">
      <c r="A1468">
        <v>4065</v>
      </c>
      <c r="B1468" t="s">
        <v>3</v>
      </c>
      <c r="C1468" s="7">
        <v>84</v>
      </c>
      <c r="D1468" s="1">
        <v>45058</v>
      </c>
      <c r="E1468" s="29">
        <v>3.5</v>
      </c>
      <c r="F1468" t="s">
        <v>1</v>
      </c>
      <c r="G1468" t="str">
        <f t="shared" si="22"/>
        <v>2023-05</v>
      </c>
    </row>
    <row r="1469" spans="1:7" x14ac:dyDescent="0.3">
      <c r="A1469">
        <v>4122</v>
      </c>
      <c r="B1469" t="s">
        <v>49</v>
      </c>
      <c r="C1469" s="7">
        <v>27</v>
      </c>
      <c r="D1469" s="1">
        <v>44842</v>
      </c>
      <c r="E1469" s="29">
        <v>3.2020408163265301</v>
      </c>
      <c r="F1469" t="s">
        <v>4</v>
      </c>
      <c r="G1469" t="str">
        <f t="shared" si="22"/>
        <v>2022-10</v>
      </c>
    </row>
    <row r="1470" spans="1:7" x14ac:dyDescent="0.3">
      <c r="A1470">
        <v>3966</v>
      </c>
      <c r="B1470" t="s">
        <v>33</v>
      </c>
      <c r="C1470" s="7">
        <v>114</v>
      </c>
      <c r="D1470" s="1">
        <v>44990</v>
      </c>
      <c r="E1470" s="29">
        <v>3.4</v>
      </c>
      <c r="F1470" t="s">
        <v>1</v>
      </c>
      <c r="G1470" t="str">
        <f t="shared" si="22"/>
        <v>2023-03</v>
      </c>
    </row>
    <row r="1471" spans="1:7" x14ac:dyDescent="0.3">
      <c r="A1471">
        <v>4008</v>
      </c>
      <c r="B1471" t="s">
        <v>11</v>
      </c>
      <c r="C1471" s="7">
        <v>45</v>
      </c>
      <c r="D1471" s="1">
        <v>44898</v>
      </c>
      <c r="E1471" s="29">
        <v>4.8</v>
      </c>
      <c r="F1471" t="s">
        <v>4</v>
      </c>
      <c r="G1471" t="str">
        <f t="shared" si="22"/>
        <v>2022-12</v>
      </c>
    </row>
    <row r="1472" spans="1:7" x14ac:dyDescent="0.3">
      <c r="A1472">
        <v>3997</v>
      </c>
      <c r="B1472" t="s">
        <v>32</v>
      </c>
      <c r="C1472" s="7">
        <v>71</v>
      </c>
      <c r="D1472" s="1">
        <v>44962</v>
      </c>
      <c r="E1472" s="29">
        <v>2.8</v>
      </c>
      <c r="F1472" t="s">
        <v>4</v>
      </c>
      <c r="G1472" t="str">
        <f t="shared" si="22"/>
        <v>2023-02</v>
      </c>
    </row>
    <row r="1473" spans="1:7" x14ac:dyDescent="0.3">
      <c r="A1473">
        <v>4026</v>
      </c>
      <c r="B1473" t="s">
        <v>27</v>
      </c>
      <c r="C1473" s="7">
        <v>49</v>
      </c>
      <c r="D1473" s="1">
        <v>44966</v>
      </c>
      <c r="E1473" s="29">
        <v>4.2</v>
      </c>
      <c r="F1473" t="s">
        <v>4</v>
      </c>
      <c r="G1473" t="str">
        <f t="shared" si="22"/>
        <v>2023-02</v>
      </c>
    </row>
    <row r="1474" spans="1:7" x14ac:dyDescent="0.3">
      <c r="A1474">
        <v>3991</v>
      </c>
      <c r="B1474" t="s">
        <v>6</v>
      </c>
      <c r="C1474" s="7">
        <v>106</v>
      </c>
      <c r="D1474" s="1">
        <v>45104</v>
      </c>
      <c r="E1474" s="29">
        <v>1.6</v>
      </c>
      <c r="F1474" t="s">
        <v>1</v>
      </c>
      <c r="G1474" t="str">
        <f t="shared" si="22"/>
        <v>2023-06</v>
      </c>
    </row>
    <row r="1475" spans="1:7" x14ac:dyDescent="0.3">
      <c r="A1475">
        <v>3964</v>
      </c>
      <c r="B1475" t="s">
        <v>28</v>
      </c>
      <c r="C1475" s="7">
        <v>111.854838709677</v>
      </c>
      <c r="D1475" s="1">
        <v>44924</v>
      </c>
      <c r="E1475" s="29">
        <v>1.2</v>
      </c>
      <c r="F1475" t="s">
        <v>1</v>
      </c>
      <c r="G1475" t="str">
        <f t="shared" ref="G1475:G1538" si="23">TEXT(D1475,"ГГГГ-ММ")</f>
        <v>2022-12</v>
      </c>
    </row>
    <row r="1476" spans="1:7" x14ac:dyDescent="0.3">
      <c r="A1476">
        <v>4023</v>
      </c>
      <c r="B1476" t="s">
        <v>28</v>
      </c>
      <c r="C1476" s="7">
        <v>132</v>
      </c>
      <c r="D1476" s="1">
        <v>44861</v>
      </c>
      <c r="E1476" s="29">
        <v>3.5</v>
      </c>
      <c r="F1476" t="s">
        <v>4</v>
      </c>
      <c r="G1476" t="str">
        <f t="shared" si="23"/>
        <v>2022-10</v>
      </c>
    </row>
    <row r="1477" spans="1:7" x14ac:dyDescent="0.3">
      <c r="A1477">
        <v>4028</v>
      </c>
      <c r="B1477" t="s">
        <v>51</v>
      </c>
      <c r="C1477" s="7">
        <v>146</v>
      </c>
      <c r="D1477" s="1">
        <v>45103</v>
      </c>
      <c r="E1477" s="29">
        <v>4.3</v>
      </c>
      <c r="F1477" t="s">
        <v>1</v>
      </c>
      <c r="G1477" t="str">
        <f t="shared" si="23"/>
        <v>2023-06</v>
      </c>
    </row>
    <row r="1478" spans="1:7" x14ac:dyDescent="0.3">
      <c r="A1478">
        <v>4097</v>
      </c>
      <c r="B1478" t="s">
        <v>20</v>
      </c>
      <c r="C1478" s="7">
        <v>187</v>
      </c>
      <c r="D1478" s="1">
        <v>44964</v>
      </c>
      <c r="E1478" s="29">
        <v>1.6</v>
      </c>
      <c r="F1478" t="s">
        <v>4</v>
      </c>
      <c r="G1478" t="str">
        <f t="shared" si="23"/>
        <v>2023-02</v>
      </c>
    </row>
    <row r="1479" spans="1:7" x14ac:dyDescent="0.3">
      <c r="A1479">
        <v>4002</v>
      </c>
      <c r="B1479" t="s">
        <v>8</v>
      </c>
      <c r="C1479" s="7">
        <v>19</v>
      </c>
      <c r="D1479" s="1">
        <v>45147</v>
      </c>
      <c r="E1479" s="29">
        <v>2.2999999999999998</v>
      </c>
      <c r="F1479" t="s">
        <v>4</v>
      </c>
      <c r="G1479" t="str">
        <f t="shared" si="23"/>
        <v>2023-08</v>
      </c>
    </row>
    <row r="1480" spans="1:7" x14ac:dyDescent="0.3">
      <c r="A1480">
        <v>4121</v>
      </c>
      <c r="B1480" t="s">
        <v>9</v>
      </c>
      <c r="C1480" s="7">
        <v>102</v>
      </c>
      <c r="D1480" s="1">
        <v>44962</v>
      </c>
      <c r="E1480" s="29">
        <v>3.4</v>
      </c>
      <c r="F1480" t="s">
        <v>1</v>
      </c>
      <c r="G1480" t="str">
        <f t="shared" si="23"/>
        <v>2023-02</v>
      </c>
    </row>
    <row r="1481" spans="1:7" x14ac:dyDescent="0.3">
      <c r="A1481">
        <v>3967</v>
      </c>
      <c r="B1481" t="s">
        <v>47</v>
      </c>
      <c r="C1481" s="7">
        <v>147</v>
      </c>
      <c r="D1481" s="1">
        <v>44884</v>
      </c>
      <c r="E1481" s="29">
        <v>4.3</v>
      </c>
      <c r="F1481" t="s">
        <v>1</v>
      </c>
      <c r="G1481" t="str">
        <f t="shared" si="23"/>
        <v>2022-11</v>
      </c>
    </row>
    <row r="1482" spans="1:7" x14ac:dyDescent="0.3">
      <c r="A1482">
        <v>4081</v>
      </c>
      <c r="B1482" t="s">
        <v>33</v>
      </c>
      <c r="C1482" s="7">
        <v>31</v>
      </c>
      <c r="D1482" s="1">
        <v>45003</v>
      </c>
      <c r="E1482" s="29">
        <v>4.8</v>
      </c>
      <c r="F1482" t="s">
        <v>1</v>
      </c>
      <c r="G1482" t="str">
        <f t="shared" si="23"/>
        <v>2023-03</v>
      </c>
    </row>
    <row r="1483" spans="1:7" x14ac:dyDescent="0.3">
      <c r="A1483">
        <v>3962</v>
      </c>
      <c r="B1483" t="s">
        <v>31</v>
      </c>
      <c r="C1483" s="7">
        <v>88.827586206896498</v>
      </c>
      <c r="D1483" s="1">
        <v>44938</v>
      </c>
      <c r="E1483" s="29">
        <v>1.5</v>
      </c>
      <c r="F1483" t="s">
        <v>4</v>
      </c>
      <c r="G1483" t="str">
        <f t="shared" si="23"/>
        <v>2023-01</v>
      </c>
    </row>
    <row r="1484" spans="1:7" x14ac:dyDescent="0.3">
      <c r="A1484">
        <v>3971</v>
      </c>
      <c r="B1484" t="s">
        <v>10</v>
      </c>
      <c r="C1484" s="7">
        <v>180</v>
      </c>
      <c r="D1484" s="1">
        <v>45144</v>
      </c>
      <c r="E1484" s="29">
        <v>3.9</v>
      </c>
      <c r="F1484" t="s">
        <v>4</v>
      </c>
      <c r="G1484" t="str">
        <f t="shared" si="23"/>
        <v>2023-08</v>
      </c>
    </row>
    <row r="1485" spans="1:7" x14ac:dyDescent="0.3">
      <c r="A1485">
        <v>3978</v>
      </c>
      <c r="B1485" t="s">
        <v>42</v>
      </c>
      <c r="C1485" s="7">
        <v>175</v>
      </c>
      <c r="D1485" s="1">
        <v>45106</v>
      </c>
      <c r="E1485" s="29">
        <v>4.2</v>
      </c>
      <c r="F1485" t="s">
        <v>4</v>
      </c>
      <c r="G1485" t="str">
        <f t="shared" si="23"/>
        <v>2023-06</v>
      </c>
    </row>
    <row r="1486" spans="1:7" x14ac:dyDescent="0.3">
      <c r="A1486">
        <v>4037</v>
      </c>
      <c r="B1486" t="s">
        <v>13</v>
      </c>
      <c r="C1486" s="7">
        <v>154</v>
      </c>
      <c r="D1486" s="1">
        <v>44933</v>
      </c>
      <c r="E1486" s="29">
        <v>4.2</v>
      </c>
      <c r="F1486" t="s">
        <v>1</v>
      </c>
      <c r="G1486" t="str">
        <f t="shared" si="23"/>
        <v>2023-01</v>
      </c>
    </row>
    <row r="1487" spans="1:7" x14ac:dyDescent="0.3">
      <c r="A1487">
        <v>4111</v>
      </c>
      <c r="B1487" t="s">
        <v>41</v>
      </c>
      <c r="C1487" s="7">
        <v>183</v>
      </c>
      <c r="D1487" s="1">
        <v>45142</v>
      </c>
      <c r="E1487" s="29">
        <v>4.3</v>
      </c>
      <c r="F1487" t="s">
        <v>4</v>
      </c>
      <c r="G1487" t="str">
        <f t="shared" si="23"/>
        <v>2023-08</v>
      </c>
    </row>
    <row r="1488" spans="1:7" x14ac:dyDescent="0.3">
      <c r="A1488">
        <v>4033</v>
      </c>
      <c r="B1488" t="s">
        <v>7</v>
      </c>
      <c r="C1488" s="7">
        <v>94</v>
      </c>
      <c r="D1488" s="1">
        <v>44879</v>
      </c>
      <c r="E1488" s="29">
        <v>2.8953488372092999</v>
      </c>
      <c r="F1488" t="s">
        <v>4</v>
      </c>
      <c r="G1488" t="str">
        <f t="shared" si="23"/>
        <v>2022-11</v>
      </c>
    </row>
    <row r="1489" spans="1:7" x14ac:dyDescent="0.3">
      <c r="A1489">
        <v>3973</v>
      </c>
      <c r="B1489" t="s">
        <v>40</v>
      </c>
      <c r="C1489" s="7">
        <v>120</v>
      </c>
      <c r="D1489" s="1">
        <v>44915</v>
      </c>
      <c r="E1489" s="29">
        <v>1.6</v>
      </c>
      <c r="F1489" t="s">
        <v>1</v>
      </c>
      <c r="G1489" t="str">
        <f t="shared" si="23"/>
        <v>2022-12</v>
      </c>
    </row>
    <row r="1490" spans="1:7" x14ac:dyDescent="0.3">
      <c r="A1490">
        <v>4061</v>
      </c>
      <c r="B1490" t="s">
        <v>39</v>
      </c>
      <c r="C1490" s="7">
        <v>108.54716981132</v>
      </c>
      <c r="D1490" s="1">
        <v>44900</v>
      </c>
      <c r="E1490" s="29">
        <v>3.0546875</v>
      </c>
      <c r="F1490" t="s">
        <v>1</v>
      </c>
      <c r="G1490" t="str">
        <f t="shared" si="23"/>
        <v>2022-12</v>
      </c>
    </row>
    <row r="1491" spans="1:7" x14ac:dyDescent="0.3">
      <c r="A1491">
        <v>4050</v>
      </c>
      <c r="B1491" t="s">
        <v>9</v>
      </c>
      <c r="C1491" s="7">
        <v>103.564102564102</v>
      </c>
      <c r="D1491" s="1">
        <v>45042</v>
      </c>
      <c r="E1491" s="29">
        <v>4</v>
      </c>
      <c r="F1491" t="s">
        <v>4</v>
      </c>
      <c r="G1491" t="str">
        <f t="shared" si="23"/>
        <v>2023-04</v>
      </c>
    </row>
    <row r="1492" spans="1:7" x14ac:dyDescent="0.3">
      <c r="A1492">
        <v>3980</v>
      </c>
      <c r="B1492" t="s">
        <v>42</v>
      </c>
      <c r="C1492" s="7">
        <v>142</v>
      </c>
      <c r="D1492" s="1">
        <v>44841</v>
      </c>
      <c r="E1492" s="29">
        <v>2.9761904761904701</v>
      </c>
      <c r="F1492" t="s">
        <v>1</v>
      </c>
      <c r="G1492" t="str">
        <f t="shared" si="23"/>
        <v>2022-10</v>
      </c>
    </row>
    <row r="1493" spans="1:7" x14ac:dyDescent="0.3">
      <c r="A1493">
        <v>4058</v>
      </c>
      <c r="B1493" t="s">
        <v>32</v>
      </c>
      <c r="C1493" s="7">
        <v>186</v>
      </c>
      <c r="D1493" s="1">
        <v>44851</v>
      </c>
      <c r="E1493" s="29">
        <v>4.5999999999999996</v>
      </c>
      <c r="F1493" t="s">
        <v>4</v>
      </c>
      <c r="G1493" t="str">
        <f t="shared" si="23"/>
        <v>2022-10</v>
      </c>
    </row>
    <row r="1494" spans="1:7" x14ac:dyDescent="0.3">
      <c r="A1494">
        <v>3992</v>
      </c>
      <c r="B1494" t="s">
        <v>3</v>
      </c>
      <c r="C1494" s="7">
        <v>124</v>
      </c>
      <c r="D1494" s="1">
        <v>44838</v>
      </c>
      <c r="E1494" s="29">
        <v>3.5</v>
      </c>
      <c r="F1494" t="s">
        <v>1</v>
      </c>
      <c r="G1494" t="str">
        <f t="shared" si="23"/>
        <v>2022-10</v>
      </c>
    </row>
    <row r="1495" spans="1:7" x14ac:dyDescent="0.3">
      <c r="A1495">
        <v>4017</v>
      </c>
      <c r="B1495" t="s">
        <v>21</v>
      </c>
      <c r="C1495" s="7">
        <v>128</v>
      </c>
      <c r="D1495" s="1">
        <v>44870</v>
      </c>
      <c r="E1495" s="29">
        <v>3.4</v>
      </c>
      <c r="F1495" t="s">
        <v>1</v>
      </c>
      <c r="G1495" t="str">
        <f t="shared" si="23"/>
        <v>2022-11</v>
      </c>
    </row>
    <row r="1496" spans="1:7" x14ac:dyDescent="0.3">
      <c r="A1496">
        <v>3985</v>
      </c>
      <c r="B1496" t="s">
        <v>20</v>
      </c>
      <c r="C1496" s="7">
        <v>160</v>
      </c>
      <c r="D1496" s="1">
        <v>44984</v>
      </c>
      <c r="E1496" s="29">
        <v>1.4</v>
      </c>
      <c r="F1496" t="s">
        <v>1</v>
      </c>
      <c r="G1496" t="str">
        <f t="shared" si="23"/>
        <v>2023-02</v>
      </c>
    </row>
    <row r="1497" spans="1:7" x14ac:dyDescent="0.3">
      <c r="A1497">
        <v>4103</v>
      </c>
      <c r="B1497" t="s">
        <v>24</v>
      </c>
      <c r="C1497" s="7">
        <v>48</v>
      </c>
      <c r="D1497" s="1">
        <v>44988</v>
      </c>
      <c r="E1497" s="29">
        <v>2.1</v>
      </c>
      <c r="F1497" t="s">
        <v>4</v>
      </c>
      <c r="G1497" t="str">
        <f t="shared" si="23"/>
        <v>2023-03</v>
      </c>
    </row>
    <row r="1498" spans="1:7" x14ac:dyDescent="0.3">
      <c r="A1498">
        <v>4085</v>
      </c>
      <c r="B1498" t="s">
        <v>11</v>
      </c>
      <c r="C1498" s="7">
        <v>16</v>
      </c>
      <c r="D1498" s="1">
        <v>44861</v>
      </c>
      <c r="E1498" s="29">
        <v>2.8</v>
      </c>
      <c r="F1498" t="s">
        <v>1</v>
      </c>
      <c r="G1498" t="str">
        <f t="shared" si="23"/>
        <v>2022-10</v>
      </c>
    </row>
    <row r="1499" spans="1:7" x14ac:dyDescent="0.3">
      <c r="A1499">
        <v>3987</v>
      </c>
      <c r="B1499" t="s">
        <v>27</v>
      </c>
      <c r="C1499" s="7">
        <v>85</v>
      </c>
      <c r="D1499" s="1">
        <v>45170</v>
      </c>
      <c r="E1499" s="29">
        <v>1.5</v>
      </c>
      <c r="F1499" t="s">
        <v>1</v>
      </c>
      <c r="G1499" t="str">
        <f t="shared" si="23"/>
        <v>2023-09</v>
      </c>
    </row>
    <row r="1500" spans="1:7" x14ac:dyDescent="0.3">
      <c r="A1500">
        <v>4090</v>
      </c>
      <c r="B1500" t="s">
        <v>20</v>
      </c>
      <c r="C1500" s="7">
        <v>31</v>
      </c>
      <c r="D1500" s="1">
        <v>45173</v>
      </c>
      <c r="E1500" s="29">
        <v>1.5</v>
      </c>
      <c r="F1500" t="s">
        <v>1</v>
      </c>
      <c r="G1500" t="str">
        <f t="shared" si="23"/>
        <v>2023-09</v>
      </c>
    </row>
    <row r="1501" spans="1:7" x14ac:dyDescent="0.3">
      <c r="A1501">
        <v>4105</v>
      </c>
      <c r="B1501" t="s">
        <v>48</v>
      </c>
      <c r="C1501" s="7">
        <v>107.26027397260199</v>
      </c>
      <c r="D1501" s="1">
        <v>45193</v>
      </c>
      <c r="E1501" s="29">
        <v>3.2</v>
      </c>
      <c r="F1501" t="s">
        <v>4</v>
      </c>
      <c r="G1501" t="str">
        <f t="shared" si="23"/>
        <v>2023-09</v>
      </c>
    </row>
    <row r="1502" spans="1:7" x14ac:dyDescent="0.3">
      <c r="A1502">
        <v>4091</v>
      </c>
      <c r="B1502" t="s">
        <v>17</v>
      </c>
      <c r="C1502" s="7">
        <v>46</v>
      </c>
      <c r="D1502" s="1">
        <v>45074</v>
      </c>
      <c r="E1502" s="29">
        <v>2.2999999999999998</v>
      </c>
      <c r="F1502" t="s">
        <v>4</v>
      </c>
      <c r="G1502" t="str">
        <f t="shared" si="23"/>
        <v>2023-05</v>
      </c>
    </row>
    <row r="1503" spans="1:7" x14ac:dyDescent="0.3">
      <c r="A1503">
        <v>4021</v>
      </c>
      <c r="B1503" t="s">
        <v>2</v>
      </c>
      <c r="C1503" s="7">
        <v>97</v>
      </c>
      <c r="D1503" s="1">
        <v>45040</v>
      </c>
      <c r="E1503" s="29">
        <v>3.2</v>
      </c>
      <c r="F1503" t="s">
        <v>4</v>
      </c>
      <c r="G1503" t="str">
        <f t="shared" si="23"/>
        <v>2023-04</v>
      </c>
    </row>
    <row r="1504" spans="1:7" x14ac:dyDescent="0.3">
      <c r="A1504">
        <v>4084</v>
      </c>
      <c r="B1504" t="s">
        <v>51</v>
      </c>
      <c r="C1504" s="7">
        <v>62</v>
      </c>
      <c r="D1504" s="1">
        <v>44911</v>
      </c>
      <c r="E1504" s="29">
        <v>3.6</v>
      </c>
      <c r="F1504" t="s">
        <v>4</v>
      </c>
      <c r="G1504" t="str">
        <f t="shared" si="23"/>
        <v>2022-12</v>
      </c>
    </row>
    <row r="1505" spans="1:7" x14ac:dyDescent="0.3">
      <c r="A1505">
        <v>3980</v>
      </c>
      <c r="B1505" t="s">
        <v>20</v>
      </c>
      <c r="C1505" s="7">
        <v>99</v>
      </c>
      <c r="D1505" s="1">
        <v>45151</v>
      </c>
      <c r="E1505" s="29">
        <v>2.2999999999999998</v>
      </c>
      <c r="F1505" t="s">
        <v>1</v>
      </c>
      <c r="G1505" t="str">
        <f t="shared" si="23"/>
        <v>2023-08</v>
      </c>
    </row>
    <row r="1506" spans="1:7" x14ac:dyDescent="0.3">
      <c r="A1506">
        <v>4017</v>
      </c>
      <c r="B1506" t="s">
        <v>16</v>
      </c>
      <c r="C1506" s="7">
        <v>122</v>
      </c>
      <c r="D1506" s="1">
        <v>44870</v>
      </c>
      <c r="E1506" s="29">
        <v>1.1000000000000001</v>
      </c>
      <c r="F1506" t="s">
        <v>4</v>
      </c>
      <c r="G1506" t="str">
        <f t="shared" si="23"/>
        <v>2022-11</v>
      </c>
    </row>
    <row r="1507" spans="1:7" x14ac:dyDescent="0.3">
      <c r="A1507">
        <v>4110</v>
      </c>
      <c r="B1507" t="s">
        <v>51</v>
      </c>
      <c r="C1507" s="7">
        <v>125</v>
      </c>
      <c r="D1507" s="1">
        <v>44992</v>
      </c>
      <c r="E1507" s="29">
        <v>3.3</v>
      </c>
      <c r="F1507" t="s">
        <v>4</v>
      </c>
      <c r="G1507" t="str">
        <f t="shared" si="23"/>
        <v>2023-03</v>
      </c>
    </row>
    <row r="1508" spans="1:7" x14ac:dyDescent="0.3">
      <c r="A1508">
        <v>3988</v>
      </c>
      <c r="B1508" t="s">
        <v>36</v>
      </c>
      <c r="C1508" s="7">
        <v>86</v>
      </c>
      <c r="D1508" s="1">
        <v>45169</v>
      </c>
      <c r="E1508" s="29">
        <v>4.5</v>
      </c>
      <c r="F1508" t="s">
        <v>1</v>
      </c>
      <c r="G1508" t="str">
        <f t="shared" si="23"/>
        <v>2023-08</v>
      </c>
    </row>
    <row r="1509" spans="1:7" x14ac:dyDescent="0.3">
      <c r="A1509">
        <v>4037</v>
      </c>
      <c r="B1509" t="s">
        <v>15</v>
      </c>
      <c r="C1509" s="7">
        <v>103.108695652173</v>
      </c>
      <c r="D1509" s="1">
        <v>45174</v>
      </c>
      <c r="E1509" s="29">
        <v>3.04897959183673</v>
      </c>
      <c r="F1509" t="s">
        <v>1</v>
      </c>
      <c r="G1509" t="str">
        <f t="shared" si="23"/>
        <v>2023-09</v>
      </c>
    </row>
    <row r="1510" spans="1:7" x14ac:dyDescent="0.3">
      <c r="A1510">
        <v>4041</v>
      </c>
      <c r="B1510" t="s">
        <v>32</v>
      </c>
      <c r="C1510" s="7">
        <v>15</v>
      </c>
      <c r="D1510" s="1">
        <v>44952</v>
      </c>
      <c r="E1510" s="29">
        <v>1.5</v>
      </c>
      <c r="F1510" t="s">
        <v>1</v>
      </c>
      <c r="G1510" t="str">
        <f t="shared" si="23"/>
        <v>2023-01</v>
      </c>
    </row>
    <row r="1511" spans="1:7" x14ac:dyDescent="0.3">
      <c r="A1511">
        <v>4106</v>
      </c>
      <c r="B1511" t="s">
        <v>28</v>
      </c>
      <c r="C1511" s="7">
        <v>175</v>
      </c>
      <c r="D1511" s="1">
        <v>44853</v>
      </c>
      <c r="E1511" s="29">
        <v>3</v>
      </c>
      <c r="F1511" t="s">
        <v>1</v>
      </c>
      <c r="G1511" t="str">
        <f t="shared" si="23"/>
        <v>2022-10</v>
      </c>
    </row>
    <row r="1512" spans="1:7" x14ac:dyDescent="0.3">
      <c r="A1512">
        <v>4056</v>
      </c>
      <c r="B1512" t="s">
        <v>18</v>
      </c>
      <c r="C1512" s="7">
        <v>102.74</v>
      </c>
      <c r="D1512" s="1">
        <v>44981</v>
      </c>
      <c r="E1512" s="29">
        <v>3.06153846153846</v>
      </c>
      <c r="F1512" t="s">
        <v>1</v>
      </c>
      <c r="G1512" t="str">
        <f t="shared" si="23"/>
        <v>2023-02</v>
      </c>
    </row>
    <row r="1513" spans="1:7" x14ac:dyDescent="0.3">
      <c r="A1513">
        <v>4017</v>
      </c>
      <c r="B1513" t="s">
        <v>17</v>
      </c>
      <c r="C1513" s="7">
        <v>199</v>
      </c>
      <c r="D1513" s="1">
        <v>45124</v>
      </c>
      <c r="E1513" s="29">
        <v>3.1</v>
      </c>
      <c r="F1513" t="s">
        <v>1</v>
      </c>
      <c r="G1513" t="str">
        <f t="shared" si="23"/>
        <v>2023-07</v>
      </c>
    </row>
    <row r="1514" spans="1:7" x14ac:dyDescent="0.3">
      <c r="A1514">
        <v>4065</v>
      </c>
      <c r="B1514" t="s">
        <v>18</v>
      </c>
      <c r="C1514" s="7">
        <v>54</v>
      </c>
      <c r="D1514" s="1">
        <v>44872</v>
      </c>
      <c r="E1514" s="29">
        <v>1.9</v>
      </c>
      <c r="F1514" t="s">
        <v>1</v>
      </c>
      <c r="G1514" t="str">
        <f t="shared" si="23"/>
        <v>2022-11</v>
      </c>
    </row>
    <row r="1515" spans="1:7" x14ac:dyDescent="0.3">
      <c r="A1515">
        <v>4012</v>
      </c>
      <c r="B1515" t="s">
        <v>37</v>
      </c>
      <c r="C1515" s="7">
        <v>94</v>
      </c>
      <c r="D1515" s="1">
        <v>44947</v>
      </c>
      <c r="E1515" s="29">
        <v>4.9000000000000004</v>
      </c>
      <c r="F1515" t="s">
        <v>1</v>
      </c>
      <c r="G1515" t="str">
        <f t="shared" si="23"/>
        <v>2023-01</v>
      </c>
    </row>
    <row r="1516" spans="1:7" x14ac:dyDescent="0.3">
      <c r="A1516">
        <v>3993</v>
      </c>
      <c r="B1516" t="s">
        <v>25</v>
      </c>
      <c r="C1516" s="7">
        <v>128</v>
      </c>
      <c r="D1516" s="1">
        <v>44989</v>
      </c>
      <c r="E1516" s="29">
        <v>2.7</v>
      </c>
      <c r="F1516" t="s">
        <v>1</v>
      </c>
      <c r="G1516" t="str">
        <f t="shared" si="23"/>
        <v>2023-03</v>
      </c>
    </row>
    <row r="1517" spans="1:7" x14ac:dyDescent="0.3">
      <c r="A1517">
        <v>3984</v>
      </c>
      <c r="B1517" t="s">
        <v>32</v>
      </c>
      <c r="C1517" s="7">
        <v>113</v>
      </c>
      <c r="D1517" s="1">
        <v>44896</v>
      </c>
      <c r="E1517" s="29">
        <v>3</v>
      </c>
      <c r="F1517" t="s">
        <v>1</v>
      </c>
      <c r="G1517" t="str">
        <f t="shared" si="23"/>
        <v>2022-12</v>
      </c>
    </row>
    <row r="1518" spans="1:7" x14ac:dyDescent="0.3">
      <c r="A1518">
        <v>4001</v>
      </c>
      <c r="B1518" t="s">
        <v>50</v>
      </c>
      <c r="C1518" s="7">
        <v>57</v>
      </c>
      <c r="D1518" s="1">
        <v>44844</v>
      </c>
      <c r="E1518" s="29">
        <v>3.1</v>
      </c>
      <c r="F1518" t="s">
        <v>4</v>
      </c>
      <c r="G1518" t="str">
        <f t="shared" si="23"/>
        <v>2022-10</v>
      </c>
    </row>
    <row r="1519" spans="1:7" x14ac:dyDescent="0.3">
      <c r="A1519">
        <v>4011</v>
      </c>
      <c r="B1519" t="s">
        <v>0</v>
      </c>
      <c r="C1519" s="7">
        <v>120</v>
      </c>
      <c r="D1519" s="1">
        <v>44940</v>
      </c>
      <c r="E1519" s="29">
        <v>2.6</v>
      </c>
      <c r="F1519" t="s">
        <v>4</v>
      </c>
      <c r="G1519" t="str">
        <f t="shared" si="23"/>
        <v>2023-01</v>
      </c>
    </row>
    <row r="1520" spans="1:7" x14ac:dyDescent="0.3">
      <c r="A1520">
        <v>4027</v>
      </c>
      <c r="B1520" t="s">
        <v>16</v>
      </c>
      <c r="C1520" s="7">
        <v>198</v>
      </c>
      <c r="D1520" s="1">
        <v>45100</v>
      </c>
      <c r="E1520" s="29">
        <v>4.3</v>
      </c>
      <c r="F1520" t="s">
        <v>1</v>
      </c>
      <c r="G1520" t="str">
        <f t="shared" si="23"/>
        <v>2023-06</v>
      </c>
    </row>
    <row r="1521" spans="1:7" x14ac:dyDescent="0.3">
      <c r="A1521">
        <v>4069</v>
      </c>
      <c r="B1521" t="s">
        <v>18</v>
      </c>
      <c r="C1521" s="7">
        <v>60</v>
      </c>
      <c r="D1521" s="1">
        <v>45130</v>
      </c>
      <c r="E1521" s="29">
        <v>2.8</v>
      </c>
      <c r="F1521" t="s">
        <v>1</v>
      </c>
      <c r="G1521" t="str">
        <f t="shared" si="23"/>
        <v>2023-07</v>
      </c>
    </row>
    <row r="1522" spans="1:7" x14ac:dyDescent="0.3">
      <c r="A1522">
        <v>4061</v>
      </c>
      <c r="B1522" t="s">
        <v>23</v>
      </c>
      <c r="C1522" s="7">
        <v>119</v>
      </c>
      <c r="D1522" s="1">
        <v>45089</v>
      </c>
      <c r="E1522" s="29">
        <v>4.5999999999999996</v>
      </c>
      <c r="F1522" t="s">
        <v>1</v>
      </c>
      <c r="G1522" t="str">
        <f t="shared" si="23"/>
        <v>2023-06</v>
      </c>
    </row>
    <row r="1523" spans="1:7" x14ac:dyDescent="0.3">
      <c r="A1523">
        <v>4022</v>
      </c>
      <c r="B1523" t="s">
        <v>25</v>
      </c>
      <c r="C1523" s="7">
        <v>190</v>
      </c>
      <c r="D1523" s="1">
        <v>45000</v>
      </c>
      <c r="E1523" s="29">
        <v>2</v>
      </c>
      <c r="F1523" t="s">
        <v>1</v>
      </c>
      <c r="G1523" t="str">
        <f t="shared" si="23"/>
        <v>2023-03</v>
      </c>
    </row>
    <row r="1524" spans="1:7" x14ac:dyDescent="0.3">
      <c r="A1524">
        <v>4107</v>
      </c>
      <c r="B1524" t="s">
        <v>23</v>
      </c>
      <c r="C1524" s="7">
        <v>81</v>
      </c>
      <c r="D1524" s="1">
        <v>44913</v>
      </c>
      <c r="E1524" s="29">
        <v>3.2</v>
      </c>
      <c r="F1524" t="s">
        <v>1</v>
      </c>
      <c r="G1524" t="str">
        <f t="shared" si="23"/>
        <v>2022-12</v>
      </c>
    </row>
    <row r="1525" spans="1:7" x14ac:dyDescent="0.3">
      <c r="A1525">
        <v>3971</v>
      </c>
      <c r="B1525" t="s">
        <v>47</v>
      </c>
      <c r="C1525" s="7">
        <v>26</v>
      </c>
      <c r="D1525" s="1">
        <v>45161</v>
      </c>
      <c r="E1525" s="29">
        <v>3.1235294117647001</v>
      </c>
      <c r="F1525" t="s">
        <v>1</v>
      </c>
      <c r="G1525" t="str">
        <f t="shared" si="23"/>
        <v>2023-08</v>
      </c>
    </row>
    <row r="1526" spans="1:7" x14ac:dyDescent="0.3">
      <c r="A1526">
        <v>4082</v>
      </c>
      <c r="B1526" t="s">
        <v>48</v>
      </c>
      <c r="C1526" s="7">
        <v>147</v>
      </c>
      <c r="D1526" s="1">
        <v>45114</v>
      </c>
      <c r="E1526" s="29">
        <v>1.9</v>
      </c>
      <c r="F1526" t="s">
        <v>1</v>
      </c>
      <c r="G1526" t="str">
        <f t="shared" si="23"/>
        <v>2023-07</v>
      </c>
    </row>
    <row r="1527" spans="1:7" x14ac:dyDescent="0.3">
      <c r="A1527">
        <v>4093</v>
      </c>
      <c r="B1527" t="s">
        <v>30</v>
      </c>
      <c r="C1527" s="7">
        <v>99.866666666666603</v>
      </c>
      <c r="D1527" s="1">
        <v>45076</v>
      </c>
      <c r="E1527" s="29">
        <v>2.9636363636363598</v>
      </c>
      <c r="F1527" t="s">
        <v>1</v>
      </c>
      <c r="G1527" t="str">
        <f t="shared" si="23"/>
        <v>2023-05</v>
      </c>
    </row>
    <row r="1528" spans="1:7" x14ac:dyDescent="0.3">
      <c r="A1528">
        <v>4052</v>
      </c>
      <c r="B1528" t="s">
        <v>40</v>
      </c>
      <c r="C1528" s="7">
        <v>127</v>
      </c>
      <c r="D1528" s="1">
        <v>44903</v>
      </c>
      <c r="E1528" s="29">
        <v>1.9</v>
      </c>
      <c r="F1528" t="s">
        <v>4</v>
      </c>
      <c r="G1528" t="str">
        <f t="shared" si="23"/>
        <v>2022-12</v>
      </c>
    </row>
    <row r="1529" spans="1:7" x14ac:dyDescent="0.3">
      <c r="A1529">
        <v>3985</v>
      </c>
      <c r="B1529" t="s">
        <v>48</v>
      </c>
      <c r="C1529" s="7">
        <v>107.26027397260199</v>
      </c>
      <c r="D1529" s="1">
        <v>44852</v>
      </c>
      <c r="E1529" s="29">
        <v>4.5</v>
      </c>
      <c r="F1529" t="s">
        <v>4</v>
      </c>
      <c r="G1529" t="str">
        <f t="shared" si="23"/>
        <v>2022-10</v>
      </c>
    </row>
    <row r="1530" spans="1:7" x14ac:dyDescent="0.3">
      <c r="A1530">
        <v>4038</v>
      </c>
      <c r="B1530" t="s">
        <v>18</v>
      </c>
      <c r="C1530" s="7">
        <v>135</v>
      </c>
      <c r="D1530" s="1">
        <v>45138</v>
      </c>
      <c r="E1530" s="29">
        <v>2.2999999999999998</v>
      </c>
      <c r="F1530" t="s">
        <v>4</v>
      </c>
      <c r="G1530" t="str">
        <f t="shared" si="23"/>
        <v>2023-07</v>
      </c>
    </row>
    <row r="1531" spans="1:7" x14ac:dyDescent="0.3">
      <c r="A1531">
        <v>4096</v>
      </c>
      <c r="B1531" t="s">
        <v>51</v>
      </c>
      <c r="C1531" s="7">
        <v>173</v>
      </c>
      <c r="D1531" s="1">
        <v>45149</v>
      </c>
      <c r="E1531" s="29">
        <v>3.7</v>
      </c>
      <c r="F1531" t="s">
        <v>4</v>
      </c>
      <c r="G1531" t="str">
        <f t="shared" si="23"/>
        <v>2023-08</v>
      </c>
    </row>
    <row r="1532" spans="1:7" x14ac:dyDescent="0.3">
      <c r="A1532">
        <v>4065</v>
      </c>
      <c r="B1532" t="s">
        <v>16</v>
      </c>
      <c r="C1532" s="7">
        <v>109</v>
      </c>
      <c r="D1532" s="1">
        <v>45112</v>
      </c>
      <c r="E1532" s="29">
        <v>3.05820895522388</v>
      </c>
      <c r="F1532" t="s">
        <v>1</v>
      </c>
      <c r="G1532" t="str">
        <f t="shared" si="23"/>
        <v>2023-07</v>
      </c>
    </row>
    <row r="1533" spans="1:7" x14ac:dyDescent="0.3">
      <c r="A1533">
        <v>4078</v>
      </c>
      <c r="B1533" t="s">
        <v>50</v>
      </c>
      <c r="C1533" s="7">
        <v>160</v>
      </c>
      <c r="D1533" s="1">
        <v>45058</v>
      </c>
      <c r="E1533" s="29">
        <v>3</v>
      </c>
      <c r="F1533" t="s">
        <v>1</v>
      </c>
      <c r="G1533" t="str">
        <f t="shared" si="23"/>
        <v>2023-05</v>
      </c>
    </row>
    <row r="1534" spans="1:7" x14ac:dyDescent="0.3">
      <c r="A1534">
        <v>4020</v>
      </c>
      <c r="B1534" t="s">
        <v>29</v>
      </c>
      <c r="C1534" s="7">
        <v>108.734693877551</v>
      </c>
      <c r="D1534" s="1">
        <v>45165</v>
      </c>
      <c r="E1534" s="29">
        <v>3.8</v>
      </c>
      <c r="F1534" t="s">
        <v>4</v>
      </c>
      <c r="G1534" t="str">
        <f t="shared" si="23"/>
        <v>2023-08</v>
      </c>
    </row>
    <row r="1535" spans="1:7" x14ac:dyDescent="0.3">
      <c r="A1535">
        <v>4028</v>
      </c>
      <c r="B1535" t="s">
        <v>45</v>
      </c>
      <c r="C1535" s="7">
        <v>127</v>
      </c>
      <c r="D1535" s="1">
        <v>45003</v>
      </c>
      <c r="E1535" s="29">
        <v>1.2</v>
      </c>
      <c r="F1535" t="s">
        <v>4</v>
      </c>
      <c r="G1535" t="str">
        <f t="shared" si="23"/>
        <v>2023-03</v>
      </c>
    </row>
    <row r="1536" spans="1:7" x14ac:dyDescent="0.3">
      <c r="A1536">
        <v>3994</v>
      </c>
      <c r="B1536" t="s">
        <v>9</v>
      </c>
      <c r="C1536" s="7">
        <v>182</v>
      </c>
      <c r="D1536" s="1">
        <v>45179</v>
      </c>
      <c r="E1536" s="29">
        <v>1.8</v>
      </c>
      <c r="F1536" t="s">
        <v>4</v>
      </c>
      <c r="G1536" t="str">
        <f t="shared" si="23"/>
        <v>2023-09</v>
      </c>
    </row>
    <row r="1537" spans="1:7" x14ac:dyDescent="0.3">
      <c r="A1537">
        <v>4049</v>
      </c>
      <c r="B1537" t="s">
        <v>48</v>
      </c>
      <c r="C1537" s="7">
        <v>86</v>
      </c>
      <c r="D1537" s="1">
        <v>45032</v>
      </c>
      <c r="E1537" s="29">
        <v>1</v>
      </c>
      <c r="F1537" t="s">
        <v>1</v>
      </c>
      <c r="G1537" t="str">
        <f t="shared" si="23"/>
        <v>2023-04</v>
      </c>
    </row>
    <row r="1538" spans="1:7" x14ac:dyDescent="0.3">
      <c r="A1538">
        <v>4078</v>
      </c>
      <c r="B1538" t="s">
        <v>43</v>
      </c>
      <c r="C1538" s="7">
        <v>161</v>
      </c>
      <c r="D1538" s="1">
        <v>44988</v>
      </c>
      <c r="E1538" s="29">
        <v>3.3</v>
      </c>
      <c r="F1538" t="s">
        <v>4</v>
      </c>
      <c r="G1538" t="str">
        <f t="shared" si="23"/>
        <v>2023-03</v>
      </c>
    </row>
    <row r="1539" spans="1:7" x14ac:dyDescent="0.3">
      <c r="A1539">
        <v>4051</v>
      </c>
      <c r="B1539" t="s">
        <v>33</v>
      </c>
      <c r="C1539" s="7">
        <v>113.54098360655701</v>
      </c>
      <c r="D1539" s="1">
        <v>44917</v>
      </c>
      <c r="E1539" s="29">
        <v>4.5999999999999996</v>
      </c>
      <c r="F1539" t="s">
        <v>4</v>
      </c>
      <c r="G1539" t="str">
        <f t="shared" ref="G1539:G1602" si="24">TEXT(D1539,"ГГГГ-ММ")</f>
        <v>2022-12</v>
      </c>
    </row>
    <row r="1540" spans="1:7" x14ac:dyDescent="0.3">
      <c r="A1540">
        <v>4035</v>
      </c>
      <c r="B1540" t="s">
        <v>2</v>
      </c>
      <c r="C1540" s="7">
        <v>93.340909090908994</v>
      </c>
      <c r="D1540" s="1">
        <v>45177</v>
      </c>
      <c r="E1540" s="29">
        <v>1.9</v>
      </c>
      <c r="F1540" t="s">
        <v>1</v>
      </c>
      <c r="G1540" t="str">
        <f t="shared" si="24"/>
        <v>2023-09</v>
      </c>
    </row>
    <row r="1541" spans="1:7" x14ac:dyDescent="0.3">
      <c r="A1541">
        <v>3962</v>
      </c>
      <c r="B1541" t="s">
        <v>6</v>
      </c>
      <c r="C1541" s="7">
        <v>114.77966101694901</v>
      </c>
      <c r="D1541" s="1">
        <v>45193</v>
      </c>
      <c r="E1541" s="29">
        <v>4.7</v>
      </c>
      <c r="F1541" t="s">
        <v>4</v>
      </c>
      <c r="G1541" t="str">
        <f t="shared" si="24"/>
        <v>2023-09</v>
      </c>
    </row>
    <row r="1542" spans="1:7" x14ac:dyDescent="0.3">
      <c r="A1542">
        <v>4122</v>
      </c>
      <c r="B1542" t="s">
        <v>32</v>
      </c>
      <c r="C1542" s="7">
        <v>56</v>
      </c>
      <c r="D1542" s="1">
        <v>44905</v>
      </c>
      <c r="E1542" s="29">
        <v>2.1</v>
      </c>
      <c r="F1542" t="s">
        <v>4</v>
      </c>
      <c r="G1542" t="str">
        <f t="shared" si="24"/>
        <v>2022-12</v>
      </c>
    </row>
    <row r="1543" spans="1:7" x14ac:dyDescent="0.3">
      <c r="A1543">
        <v>4112</v>
      </c>
      <c r="B1543" t="s">
        <v>26</v>
      </c>
      <c r="C1543" s="7">
        <v>46</v>
      </c>
      <c r="D1543" s="1">
        <v>44987</v>
      </c>
      <c r="E1543" s="29">
        <v>3</v>
      </c>
      <c r="F1543" t="s">
        <v>4</v>
      </c>
      <c r="G1543" t="str">
        <f t="shared" si="24"/>
        <v>2023-03</v>
      </c>
    </row>
    <row r="1544" spans="1:7" x14ac:dyDescent="0.3">
      <c r="A1544">
        <v>3965</v>
      </c>
      <c r="B1544" t="s">
        <v>37</v>
      </c>
      <c r="C1544" s="7">
        <v>117</v>
      </c>
      <c r="D1544" s="1">
        <v>44841</v>
      </c>
      <c r="E1544" s="29">
        <v>1.8</v>
      </c>
      <c r="F1544" t="s">
        <v>1</v>
      </c>
      <c r="G1544" t="str">
        <f t="shared" si="24"/>
        <v>2022-10</v>
      </c>
    </row>
    <row r="1545" spans="1:7" x14ac:dyDescent="0.3">
      <c r="A1545">
        <v>3970</v>
      </c>
      <c r="B1545" t="s">
        <v>14</v>
      </c>
      <c r="C1545" s="7">
        <v>157</v>
      </c>
      <c r="D1545" s="1">
        <v>45004</v>
      </c>
      <c r="E1545" s="29">
        <v>2.2999999999999998</v>
      </c>
      <c r="F1545" t="s">
        <v>1</v>
      </c>
      <c r="G1545" t="str">
        <f t="shared" si="24"/>
        <v>2023-03</v>
      </c>
    </row>
    <row r="1546" spans="1:7" x14ac:dyDescent="0.3">
      <c r="A1546">
        <v>4018</v>
      </c>
      <c r="B1546" t="s">
        <v>9</v>
      </c>
      <c r="C1546" s="7">
        <v>57</v>
      </c>
      <c r="D1546" s="1">
        <v>45153</v>
      </c>
      <c r="E1546" s="29">
        <v>2</v>
      </c>
      <c r="F1546" t="s">
        <v>1</v>
      </c>
      <c r="G1546" t="str">
        <f t="shared" si="24"/>
        <v>2023-08</v>
      </c>
    </row>
    <row r="1547" spans="1:7" x14ac:dyDescent="0.3">
      <c r="A1547">
        <v>4021</v>
      </c>
      <c r="B1547" t="s">
        <v>6</v>
      </c>
      <c r="C1547" s="7">
        <v>147</v>
      </c>
      <c r="D1547" s="1">
        <v>45199</v>
      </c>
      <c r="E1547" s="29">
        <v>2.1</v>
      </c>
      <c r="F1547" t="s">
        <v>4</v>
      </c>
      <c r="G1547" t="str">
        <f t="shared" si="24"/>
        <v>2023-09</v>
      </c>
    </row>
    <row r="1548" spans="1:7" x14ac:dyDescent="0.3">
      <c r="A1548">
        <v>4098</v>
      </c>
      <c r="B1548" t="s">
        <v>26</v>
      </c>
      <c r="C1548" s="7">
        <v>175</v>
      </c>
      <c r="D1548" s="1">
        <v>45168</v>
      </c>
      <c r="E1548" s="29">
        <v>2.88305084745762</v>
      </c>
      <c r="F1548" t="s">
        <v>4</v>
      </c>
      <c r="G1548" t="str">
        <f t="shared" si="24"/>
        <v>2023-08</v>
      </c>
    </row>
    <row r="1549" spans="1:7" x14ac:dyDescent="0.3">
      <c r="A1549">
        <v>4055</v>
      </c>
      <c r="B1549" t="s">
        <v>23</v>
      </c>
      <c r="C1549" s="7">
        <v>54</v>
      </c>
      <c r="D1549" s="1">
        <v>44913</v>
      </c>
      <c r="E1549" s="29">
        <v>3.6</v>
      </c>
      <c r="F1549" t="s">
        <v>1</v>
      </c>
      <c r="G1549" t="str">
        <f t="shared" si="24"/>
        <v>2022-12</v>
      </c>
    </row>
    <row r="1550" spans="1:7" x14ac:dyDescent="0.3">
      <c r="A1550">
        <v>4036</v>
      </c>
      <c r="B1550" t="s">
        <v>37</v>
      </c>
      <c r="C1550" s="7">
        <v>135</v>
      </c>
      <c r="D1550" s="1">
        <v>44864</v>
      </c>
      <c r="E1550" s="29">
        <v>2.6</v>
      </c>
      <c r="F1550" t="s">
        <v>1</v>
      </c>
      <c r="G1550" t="str">
        <f t="shared" si="24"/>
        <v>2022-10</v>
      </c>
    </row>
    <row r="1551" spans="1:7" x14ac:dyDescent="0.3">
      <c r="A1551">
        <v>4120</v>
      </c>
      <c r="B1551" t="s">
        <v>32</v>
      </c>
      <c r="C1551" s="7">
        <v>57</v>
      </c>
      <c r="D1551" s="1">
        <v>45101</v>
      </c>
      <c r="E1551" s="29">
        <v>1.2</v>
      </c>
      <c r="F1551" t="s">
        <v>1</v>
      </c>
      <c r="G1551" t="str">
        <f t="shared" si="24"/>
        <v>2023-06</v>
      </c>
    </row>
    <row r="1552" spans="1:7" x14ac:dyDescent="0.3">
      <c r="A1552">
        <v>4049</v>
      </c>
      <c r="B1552" t="s">
        <v>22</v>
      </c>
      <c r="C1552" s="7">
        <v>125</v>
      </c>
      <c r="D1552" s="1">
        <v>44929</v>
      </c>
      <c r="E1552" s="29">
        <v>4</v>
      </c>
      <c r="F1552" t="s">
        <v>1</v>
      </c>
      <c r="G1552" t="str">
        <f t="shared" si="24"/>
        <v>2023-01</v>
      </c>
    </row>
    <row r="1553" spans="1:7" x14ac:dyDescent="0.3">
      <c r="A1553">
        <v>3988</v>
      </c>
      <c r="B1553" t="s">
        <v>23</v>
      </c>
      <c r="C1553" s="7">
        <v>101</v>
      </c>
      <c r="D1553" s="1">
        <v>44955</v>
      </c>
      <c r="E1553" s="29">
        <v>1.8</v>
      </c>
      <c r="F1553" t="s">
        <v>1</v>
      </c>
      <c r="G1553" t="str">
        <f t="shared" si="24"/>
        <v>2023-01</v>
      </c>
    </row>
    <row r="1554" spans="1:7" x14ac:dyDescent="0.3">
      <c r="A1554">
        <v>4093</v>
      </c>
      <c r="B1554" t="s">
        <v>39</v>
      </c>
      <c r="C1554" s="7">
        <v>134</v>
      </c>
      <c r="D1554" s="1">
        <v>45008</v>
      </c>
      <c r="E1554" s="29">
        <v>4</v>
      </c>
      <c r="F1554" t="s">
        <v>4</v>
      </c>
      <c r="G1554" t="str">
        <f t="shared" si="24"/>
        <v>2023-03</v>
      </c>
    </row>
    <row r="1555" spans="1:7" x14ac:dyDescent="0.3">
      <c r="A1555">
        <v>4017</v>
      </c>
      <c r="B1555" t="s">
        <v>45</v>
      </c>
      <c r="C1555" s="7">
        <v>111.564102564102</v>
      </c>
      <c r="D1555" s="1">
        <v>44954</v>
      </c>
      <c r="E1555" s="29">
        <v>3.7</v>
      </c>
      <c r="F1555" t="s">
        <v>4</v>
      </c>
      <c r="G1555" t="str">
        <f t="shared" si="24"/>
        <v>2023-01</v>
      </c>
    </row>
    <row r="1556" spans="1:7" x14ac:dyDescent="0.3">
      <c r="A1556">
        <v>4070</v>
      </c>
      <c r="B1556" t="s">
        <v>16</v>
      </c>
      <c r="C1556" s="7">
        <v>153</v>
      </c>
      <c r="D1556" s="1">
        <v>44851</v>
      </c>
      <c r="E1556" s="29">
        <v>4.3</v>
      </c>
      <c r="F1556" t="s">
        <v>1</v>
      </c>
      <c r="G1556" t="str">
        <f t="shared" si="24"/>
        <v>2022-10</v>
      </c>
    </row>
    <row r="1557" spans="1:7" x14ac:dyDescent="0.3">
      <c r="A1557">
        <v>4056</v>
      </c>
      <c r="B1557" t="s">
        <v>50</v>
      </c>
      <c r="C1557" s="7">
        <v>136</v>
      </c>
      <c r="D1557" s="1">
        <v>45127</v>
      </c>
      <c r="E1557" s="29">
        <v>1.2</v>
      </c>
      <c r="F1557" t="s">
        <v>1</v>
      </c>
      <c r="G1557" t="str">
        <f t="shared" si="24"/>
        <v>2023-07</v>
      </c>
    </row>
    <row r="1558" spans="1:7" x14ac:dyDescent="0.3">
      <c r="A1558">
        <v>3959</v>
      </c>
      <c r="B1558" t="s">
        <v>51</v>
      </c>
      <c r="C1558" s="7">
        <v>135</v>
      </c>
      <c r="D1558" s="1">
        <v>45084</v>
      </c>
      <c r="E1558" s="29">
        <v>3.3</v>
      </c>
      <c r="F1558" t="s">
        <v>1</v>
      </c>
      <c r="G1558" t="str">
        <f t="shared" si="24"/>
        <v>2023-06</v>
      </c>
    </row>
    <row r="1559" spans="1:7" x14ac:dyDescent="0.3">
      <c r="A1559">
        <v>4057</v>
      </c>
      <c r="B1559" t="s">
        <v>11</v>
      </c>
      <c r="C1559" s="7">
        <v>123</v>
      </c>
      <c r="D1559" s="1">
        <v>45054</v>
      </c>
      <c r="E1559" s="29">
        <v>2</v>
      </c>
      <c r="F1559" t="s">
        <v>1</v>
      </c>
      <c r="G1559" t="str">
        <f t="shared" si="24"/>
        <v>2023-05</v>
      </c>
    </row>
    <row r="1560" spans="1:7" x14ac:dyDescent="0.3">
      <c r="A1560">
        <v>4022</v>
      </c>
      <c r="B1560" t="s">
        <v>30</v>
      </c>
      <c r="C1560" s="7">
        <v>31</v>
      </c>
      <c r="D1560" s="1">
        <v>45055</v>
      </c>
      <c r="E1560" s="29">
        <v>2.2000000000000002</v>
      </c>
      <c r="F1560" t="s">
        <v>4</v>
      </c>
      <c r="G1560" t="str">
        <f t="shared" si="24"/>
        <v>2023-05</v>
      </c>
    </row>
    <row r="1561" spans="1:7" x14ac:dyDescent="0.3">
      <c r="A1561">
        <v>4034</v>
      </c>
      <c r="B1561" t="s">
        <v>22</v>
      </c>
      <c r="C1561" s="7">
        <v>66</v>
      </c>
      <c r="D1561" s="1">
        <v>45147</v>
      </c>
      <c r="E1561" s="29">
        <v>1.7</v>
      </c>
      <c r="F1561" t="s">
        <v>1</v>
      </c>
      <c r="G1561" t="str">
        <f t="shared" si="24"/>
        <v>2023-08</v>
      </c>
    </row>
    <row r="1562" spans="1:7" x14ac:dyDescent="0.3">
      <c r="A1562">
        <v>3980</v>
      </c>
      <c r="B1562" t="s">
        <v>43</v>
      </c>
      <c r="C1562" s="7">
        <v>80</v>
      </c>
      <c r="D1562" s="1">
        <v>44888</v>
      </c>
      <c r="E1562" s="29">
        <v>3</v>
      </c>
      <c r="F1562" t="s">
        <v>1</v>
      </c>
      <c r="G1562" t="str">
        <f t="shared" si="24"/>
        <v>2022-11</v>
      </c>
    </row>
    <row r="1563" spans="1:7" x14ac:dyDescent="0.3">
      <c r="A1563">
        <v>4017</v>
      </c>
      <c r="B1563" t="s">
        <v>46</v>
      </c>
      <c r="C1563" s="7">
        <v>83</v>
      </c>
      <c r="D1563" s="1">
        <v>45154</v>
      </c>
      <c r="E1563" s="29">
        <v>3.9</v>
      </c>
      <c r="F1563" t="s">
        <v>1</v>
      </c>
      <c r="G1563" t="str">
        <f t="shared" si="24"/>
        <v>2023-08</v>
      </c>
    </row>
    <row r="1564" spans="1:7" x14ac:dyDescent="0.3">
      <c r="A1564">
        <v>4033</v>
      </c>
      <c r="B1564" t="s">
        <v>47</v>
      </c>
      <c r="C1564" s="7">
        <v>106.297872340425</v>
      </c>
      <c r="D1564" s="1">
        <v>44969</v>
      </c>
      <c r="E1564" s="29">
        <v>2.6</v>
      </c>
      <c r="F1564" t="s">
        <v>4</v>
      </c>
      <c r="G1564" t="str">
        <f t="shared" si="24"/>
        <v>2023-02</v>
      </c>
    </row>
    <row r="1565" spans="1:7" x14ac:dyDescent="0.3">
      <c r="A1565">
        <v>4010</v>
      </c>
      <c r="B1565" t="s">
        <v>29</v>
      </c>
      <c r="C1565" s="7">
        <v>200</v>
      </c>
      <c r="D1565" s="1">
        <v>45122</v>
      </c>
      <c r="E1565" s="29">
        <v>4.7</v>
      </c>
      <c r="F1565" t="s">
        <v>4</v>
      </c>
      <c r="G1565" t="str">
        <f t="shared" si="24"/>
        <v>2023-07</v>
      </c>
    </row>
    <row r="1566" spans="1:7" x14ac:dyDescent="0.3">
      <c r="A1566">
        <v>3998</v>
      </c>
      <c r="B1566" t="s">
        <v>28</v>
      </c>
      <c r="C1566" s="7">
        <v>136</v>
      </c>
      <c r="D1566" s="1">
        <v>45153</v>
      </c>
      <c r="E1566" s="29">
        <v>3.4</v>
      </c>
      <c r="F1566" t="s">
        <v>1</v>
      </c>
      <c r="G1566" t="str">
        <f t="shared" si="24"/>
        <v>2023-08</v>
      </c>
    </row>
    <row r="1567" spans="1:7" x14ac:dyDescent="0.3">
      <c r="A1567">
        <v>4069</v>
      </c>
      <c r="B1567" t="s">
        <v>32</v>
      </c>
      <c r="C1567" s="7">
        <v>38</v>
      </c>
      <c r="D1567" s="1">
        <v>45041</v>
      </c>
      <c r="E1567" s="29">
        <v>3.7</v>
      </c>
      <c r="F1567" t="s">
        <v>1</v>
      </c>
      <c r="G1567" t="str">
        <f t="shared" si="24"/>
        <v>2023-04</v>
      </c>
    </row>
    <row r="1568" spans="1:7" x14ac:dyDescent="0.3">
      <c r="A1568">
        <v>4118</v>
      </c>
      <c r="B1568" t="s">
        <v>49</v>
      </c>
      <c r="C1568" s="7">
        <v>78</v>
      </c>
      <c r="D1568" s="1">
        <v>44900</v>
      </c>
      <c r="E1568" s="29">
        <v>1.3</v>
      </c>
      <c r="F1568" t="s">
        <v>1</v>
      </c>
      <c r="G1568" t="str">
        <f t="shared" si="24"/>
        <v>2022-12</v>
      </c>
    </row>
    <row r="1569" spans="1:7" x14ac:dyDescent="0.3">
      <c r="A1569">
        <v>4038</v>
      </c>
      <c r="B1569" t="s">
        <v>0</v>
      </c>
      <c r="C1569" s="7">
        <v>103</v>
      </c>
      <c r="D1569" s="1">
        <v>45127</v>
      </c>
      <c r="E1569" s="29">
        <v>1</v>
      </c>
      <c r="F1569" t="s">
        <v>4</v>
      </c>
      <c r="G1569" t="str">
        <f t="shared" si="24"/>
        <v>2023-07</v>
      </c>
    </row>
    <row r="1570" spans="1:7" x14ac:dyDescent="0.3">
      <c r="A1570">
        <v>4121</v>
      </c>
      <c r="B1570" t="s">
        <v>32</v>
      </c>
      <c r="C1570" s="7">
        <v>20</v>
      </c>
      <c r="D1570" s="1">
        <v>45115</v>
      </c>
      <c r="E1570" s="29">
        <v>3.0542857142857098</v>
      </c>
      <c r="F1570" t="s">
        <v>1</v>
      </c>
      <c r="G1570" t="str">
        <f t="shared" si="24"/>
        <v>2023-07</v>
      </c>
    </row>
    <row r="1571" spans="1:7" x14ac:dyDescent="0.3">
      <c r="A1571">
        <v>4061</v>
      </c>
      <c r="B1571" t="s">
        <v>12</v>
      </c>
      <c r="C1571" s="7">
        <v>122</v>
      </c>
      <c r="D1571" s="1">
        <v>44853</v>
      </c>
      <c r="E1571" s="29">
        <v>2.7471698113207501</v>
      </c>
      <c r="F1571" t="s">
        <v>1</v>
      </c>
      <c r="G1571" t="str">
        <f t="shared" si="24"/>
        <v>2022-10</v>
      </c>
    </row>
    <row r="1572" spans="1:7" x14ac:dyDescent="0.3">
      <c r="A1572">
        <v>3965</v>
      </c>
      <c r="B1572" t="s">
        <v>32</v>
      </c>
      <c r="C1572" s="7">
        <v>118</v>
      </c>
      <c r="D1572" s="1">
        <v>45168</v>
      </c>
      <c r="E1572" s="29">
        <v>3.0542857142857098</v>
      </c>
      <c r="F1572" t="s">
        <v>1</v>
      </c>
      <c r="G1572" t="str">
        <f t="shared" si="24"/>
        <v>2023-08</v>
      </c>
    </row>
    <row r="1573" spans="1:7" x14ac:dyDescent="0.3">
      <c r="A1573">
        <v>4027</v>
      </c>
      <c r="B1573" t="s">
        <v>25</v>
      </c>
      <c r="C1573" s="7">
        <v>112.745762711864</v>
      </c>
      <c r="D1573" s="1">
        <v>45025</v>
      </c>
      <c r="E1573" s="29">
        <v>1</v>
      </c>
      <c r="F1573" t="s">
        <v>4</v>
      </c>
      <c r="G1573" t="str">
        <f t="shared" si="24"/>
        <v>2023-04</v>
      </c>
    </row>
    <row r="1574" spans="1:7" x14ac:dyDescent="0.3">
      <c r="A1574">
        <v>3977</v>
      </c>
      <c r="B1574" t="s">
        <v>7</v>
      </c>
      <c r="C1574" s="7">
        <v>73</v>
      </c>
      <c r="D1574" s="1">
        <v>45041</v>
      </c>
      <c r="E1574" s="29">
        <v>3.9</v>
      </c>
      <c r="F1574" t="s">
        <v>1</v>
      </c>
      <c r="G1574" t="str">
        <f t="shared" si="24"/>
        <v>2023-04</v>
      </c>
    </row>
    <row r="1575" spans="1:7" x14ac:dyDescent="0.3">
      <c r="A1575">
        <v>4082</v>
      </c>
      <c r="B1575" t="s">
        <v>5</v>
      </c>
      <c r="C1575" s="7">
        <v>18</v>
      </c>
      <c r="D1575" s="1">
        <v>45109</v>
      </c>
      <c r="E1575" s="29">
        <v>1.4</v>
      </c>
      <c r="F1575" t="s">
        <v>4</v>
      </c>
      <c r="G1575" t="str">
        <f t="shared" si="24"/>
        <v>2023-07</v>
      </c>
    </row>
    <row r="1576" spans="1:7" x14ac:dyDescent="0.3">
      <c r="A1576">
        <v>4077</v>
      </c>
      <c r="B1576" t="s">
        <v>42</v>
      </c>
      <c r="C1576" s="7">
        <v>99</v>
      </c>
      <c r="D1576" s="1">
        <v>44903</v>
      </c>
      <c r="E1576" s="29">
        <v>3.6</v>
      </c>
      <c r="F1576" t="s">
        <v>1</v>
      </c>
      <c r="G1576" t="str">
        <f t="shared" si="24"/>
        <v>2022-12</v>
      </c>
    </row>
    <row r="1577" spans="1:7" x14ac:dyDescent="0.3">
      <c r="A1577">
        <v>4062</v>
      </c>
      <c r="B1577" t="s">
        <v>29</v>
      </c>
      <c r="C1577" s="7">
        <v>32</v>
      </c>
      <c r="D1577" s="1">
        <v>44838</v>
      </c>
      <c r="E1577" s="29">
        <v>4</v>
      </c>
      <c r="F1577" t="s">
        <v>4</v>
      </c>
      <c r="G1577" t="str">
        <f t="shared" si="24"/>
        <v>2022-10</v>
      </c>
    </row>
    <row r="1578" spans="1:7" x14ac:dyDescent="0.3">
      <c r="A1578">
        <v>4042</v>
      </c>
      <c r="B1578" t="s">
        <v>48</v>
      </c>
      <c r="C1578" s="7">
        <v>40</v>
      </c>
      <c r="D1578" s="1">
        <v>44879</v>
      </c>
      <c r="E1578" s="29">
        <v>2.1</v>
      </c>
      <c r="F1578" t="s">
        <v>4</v>
      </c>
      <c r="G1578" t="str">
        <f t="shared" si="24"/>
        <v>2022-11</v>
      </c>
    </row>
    <row r="1579" spans="1:7" x14ac:dyDescent="0.3">
      <c r="A1579">
        <v>4065</v>
      </c>
      <c r="B1579" t="s">
        <v>41</v>
      </c>
      <c r="C1579" s="7">
        <v>70</v>
      </c>
      <c r="D1579" s="1">
        <v>45078</v>
      </c>
      <c r="E1579" s="29">
        <v>2.2000000000000002</v>
      </c>
      <c r="F1579" t="s">
        <v>4</v>
      </c>
      <c r="G1579" t="str">
        <f t="shared" si="24"/>
        <v>2023-06</v>
      </c>
    </row>
    <row r="1580" spans="1:7" x14ac:dyDescent="0.3">
      <c r="A1580">
        <v>3982</v>
      </c>
      <c r="B1580" t="s">
        <v>37</v>
      </c>
      <c r="C1580" s="7">
        <v>198</v>
      </c>
      <c r="D1580" s="1">
        <v>45173</v>
      </c>
      <c r="E1580" s="29">
        <v>3.01566265060241</v>
      </c>
      <c r="F1580" t="s">
        <v>4</v>
      </c>
      <c r="G1580" t="str">
        <f t="shared" si="24"/>
        <v>2023-09</v>
      </c>
    </row>
    <row r="1581" spans="1:7" x14ac:dyDescent="0.3">
      <c r="A1581">
        <v>3998</v>
      </c>
      <c r="B1581" t="s">
        <v>5</v>
      </c>
      <c r="C1581" s="7">
        <v>99</v>
      </c>
      <c r="D1581" s="1">
        <v>45022</v>
      </c>
      <c r="E1581" s="29">
        <v>1.6</v>
      </c>
      <c r="F1581" t="s">
        <v>1</v>
      </c>
      <c r="G1581" t="str">
        <f t="shared" si="24"/>
        <v>2023-04</v>
      </c>
    </row>
    <row r="1582" spans="1:7" x14ac:dyDescent="0.3">
      <c r="A1582">
        <v>4023</v>
      </c>
      <c r="B1582" t="s">
        <v>11</v>
      </c>
      <c r="C1582" s="7">
        <v>166</v>
      </c>
      <c r="D1582" s="1">
        <v>44961</v>
      </c>
      <c r="E1582" s="29">
        <v>4.7</v>
      </c>
      <c r="F1582" t="s">
        <v>4</v>
      </c>
      <c r="G1582" t="str">
        <f t="shared" si="24"/>
        <v>2023-02</v>
      </c>
    </row>
    <row r="1583" spans="1:7" x14ac:dyDescent="0.3">
      <c r="A1583">
        <v>4086</v>
      </c>
      <c r="B1583" t="s">
        <v>32</v>
      </c>
      <c r="C1583" s="7">
        <v>52</v>
      </c>
      <c r="D1583" s="1">
        <v>45157</v>
      </c>
      <c r="E1583" s="29">
        <v>4.7</v>
      </c>
      <c r="F1583" t="s">
        <v>4</v>
      </c>
      <c r="G1583" t="str">
        <f t="shared" si="24"/>
        <v>2023-08</v>
      </c>
    </row>
    <row r="1584" spans="1:7" x14ac:dyDescent="0.3">
      <c r="A1584">
        <v>3973</v>
      </c>
      <c r="B1584" t="s">
        <v>33</v>
      </c>
      <c r="C1584" s="7">
        <v>62</v>
      </c>
      <c r="D1584" s="1">
        <v>44837</v>
      </c>
      <c r="E1584" s="29">
        <v>3.5</v>
      </c>
      <c r="F1584" t="s">
        <v>4</v>
      </c>
      <c r="G1584" t="str">
        <f t="shared" si="24"/>
        <v>2022-10</v>
      </c>
    </row>
    <row r="1585" spans="1:7" x14ac:dyDescent="0.3">
      <c r="A1585">
        <v>4047</v>
      </c>
      <c r="B1585" t="s">
        <v>12</v>
      </c>
      <c r="C1585" s="7">
        <v>25</v>
      </c>
      <c r="D1585" s="1">
        <v>45065</v>
      </c>
      <c r="E1585" s="29">
        <v>4.2</v>
      </c>
      <c r="F1585" t="s">
        <v>4</v>
      </c>
      <c r="G1585" t="str">
        <f t="shared" si="24"/>
        <v>2023-05</v>
      </c>
    </row>
    <row r="1586" spans="1:7" x14ac:dyDescent="0.3">
      <c r="A1586">
        <v>4064</v>
      </c>
      <c r="B1586" t="s">
        <v>10</v>
      </c>
      <c r="C1586" s="7">
        <v>146</v>
      </c>
      <c r="D1586" s="1">
        <v>45151</v>
      </c>
      <c r="E1586" s="29">
        <v>4.7</v>
      </c>
      <c r="F1586" t="s">
        <v>4</v>
      </c>
      <c r="G1586" t="str">
        <f t="shared" si="24"/>
        <v>2023-08</v>
      </c>
    </row>
    <row r="1587" spans="1:7" x14ac:dyDescent="0.3">
      <c r="A1587">
        <v>4111</v>
      </c>
      <c r="B1587" t="s">
        <v>26</v>
      </c>
      <c r="C1587" s="7">
        <v>147</v>
      </c>
      <c r="D1587" s="1">
        <v>45045</v>
      </c>
      <c r="E1587" s="29">
        <v>1.5</v>
      </c>
      <c r="F1587" t="s">
        <v>1</v>
      </c>
      <c r="G1587" t="str">
        <f t="shared" si="24"/>
        <v>2023-04</v>
      </c>
    </row>
    <row r="1588" spans="1:7" x14ac:dyDescent="0.3">
      <c r="A1588">
        <v>4097</v>
      </c>
      <c r="B1588" t="s">
        <v>49</v>
      </c>
      <c r="C1588" s="7">
        <v>114.217391304347</v>
      </c>
      <c r="D1588" s="1">
        <v>45045</v>
      </c>
      <c r="E1588" s="29">
        <v>2.8</v>
      </c>
      <c r="F1588" t="s">
        <v>1</v>
      </c>
      <c r="G1588" t="str">
        <f t="shared" si="24"/>
        <v>2023-04</v>
      </c>
    </row>
    <row r="1589" spans="1:7" x14ac:dyDescent="0.3">
      <c r="A1589">
        <v>4040</v>
      </c>
      <c r="B1589" t="s">
        <v>25</v>
      </c>
      <c r="C1589" s="7">
        <v>84</v>
      </c>
      <c r="D1589" s="1">
        <v>44887</v>
      </c>
      <c r="E1589" s="29">
        <v>3.8</v>
      </c>
      <c r="F1589" t="s">
        <v>4</v>
      </c>
      <c r="G1589" t="str">
        <f t="shared" si="24"/>
        <v>2022-11</v>
      </c>
    </row>
    <row r="1590" spans="1:7" x14ac:dyDescent="0.3">
      <c r="A1590">
        <v>4073</v>
      </c>
      <c r="B1590" t="s">
        <v>50</v>
      </c>
      <c r="C1590" s="7">
        <v>78</v>
      </c>
      <c r="D1590" s="1">
        <v>45105</v>
      </c>
      <c r="E1590" s="29">
        <v>1.1000000000000001</v>
      </c>
      <c r="F1590" t="s">
        <v>1</v>
      </c>
      <c r="G1590" t="str">
        <f t="shared" si="24"/>
        <v>2023-06</v>
      </c>
    </row>
    <row r="1591" spans="1:7" x14ac:dyDescent="0.3">
      <c r="A1591">
        <v>3964</v>
      </c>
      <c r="B1591" t="s">
        <v>12</v>
      </c>
      <c r="C1591" s="7">
        <v>141</v>
      </c>
      <c r="D1591" s="1">
        <v>45056</v>
      </c>
      <c r="E1591" s="29">
        <v>1.3</v>
      </c>
      <c r="F1591" t="s">
        <v>4</v>
      </c>
      <c r="G1591" t="str">
        <f t="shared" si="24"/>
        <v>2023-05</v>
      </c>
    </row>
    <row r="1592" spans="1:7" x14ac:dyDescent="0.3">
      <c r="A1592">
        <v>3970</v>
      </c>
      <c r="B1592" t="s">
        <v>30</v>
      </c>
      <c r="C1592" s="7">
        <v>183</v>
      </c>
      <c r="D1592" s="1">
        <v>45128</v>
      </c>
      <c r="E1592" s="29">
        <v>1.9</v>
      </c>
      <c r="F1592" t="s">
        <v>4</v>
      </c>
      <c r="G1592" t="str">
        <f t="shared" si="24"/>
        <v>2023-07</v>
      </c>
    </row>
    <row r="1593" spans="1:7" x14ac:dyDescent="0.3">
      <c r="A1593">
        <v>4121</v>
      </c>
      <c r="B1593" t="s">
        <v>37</v>
      </c>
      <c r="C1593" s="7">
        <v>44</v>
      </c>
      <c r="D1593" s="1">
        <v>45006</v>
      </c>
      <c r="E1593" s="29">
        <v>2.5</v>
      </c>
      <c r="F1593" t="s">
        <v>1</v>
      </c>
      <c r="G1593" t="str">
        <f t="shared" si="24"/>
        <v>2023-03</v>
      </c>
    </row>
    <row r="1594" spans="1:7" x14ac:dyDescent="0.3">
      <c r="A1594">
        <v>4121</v>
      </c>
      <c r="B1594" t="s">
        <v>42</v>
      </c>
      <c r="C1594" s="7">
        <v>115</v>
      </c>
      <c r="D1594" s="1">
        <v>45081</v>
      </c>
      <c r="E1594" s="29">
        <v>2.9761904761904701</v>
      </c>
      <c r="F1594" t="s">
        <v>4</v>
      </c>
      <c r="G1594" t="str">
        <f t="shared" si="24"/>
        <v>2023-06</v>
      </c>
    </row>
    <row r="1595" spans="1:7" x14ac:dyDescent="0.3">
      <c r="A1595">
        <v>4004</v>
      </c>
      <c r="B1595" t="s">
        <v>24</v>
      </c>
      <c r="C1595" s="7">
        <v>80</v>
      </c>
      <c r="D1595" s="1">
        <v>44914</v>
      </c>
      <c r="E1595" s="29">
        <v>2.9</v>
      </c>
      <c r="F1595" t="s">
        <v>1</v>
      </c>
      <c r="G1595" t="str">
        <f t="shared" si="24"/>
        <v>2022-12</v>
      </c>
    </row>
    <row r="1596" spans="1:7" x14ac:dyDescent="0.3">
      <c r="A1596">
        <v>4118</v>
      </c>
      <c r="B1596" t="s">
        <v>15</v>
      </c>
      <c r="C1596" s="7">
        <v>42</v>
      </c>
      <c r="D1596" s="1">
        <v>45169</v>
      </c>
      <c r="E1596" s="29">
        <v>1.1000000000000001</v>
      </c>
      <c r="F1596" t="s">
        <v>4</v>
      </c>
      <c r="G1596" t="str">
        <f t="shared" si="24"/>
        <v>2023-08</v>
      </c>
    </row>
    <row r="1597" spans="1:7" x14ac:dyDescent="0.3">
      <c r="A1597">
        <v>4070</v>
      </c>
      <c r="B1597" t="s">
        <v>6</v>
      </c>
      <c r="C1597" s="7">
        <v>43</v>
      </c>
      <c r="D1597" s="1">
        <v>45164</v>
      </c>
      <c r="E1597" s="29">
        <v>3.6</v>
      </c>
      <c r="F1597" t="s">
        <v>1</v>
      </c>
      <c r="G1597" t="str">
        <f t="shared" si="24"/>
        <v>2023-08</v>
      </c>
    </row>
    <row r="1598" spans="1:7" x14ac:dyDescent="0.3">
      <c r="A1598">
        <v>4121</v>
      </c>
      <c r="B1598" t="s">
        <v>27</v>
      </c>
      <c r="C1598" s="7">
        <v>192</v>
      </c>
      <c r="D1598" s="1">
        <v>44984</v>
      </c>
      <c r="E1598" s="29">
        <v>4.5</v>
      </c>
      <c r="F1598" t="s">
        <v>4</v>
      </c>
      <c r="G1598" t="str">
        <f t="shared" si="24"/>
        <v>2023-02</v>
      </c>
    </row>
    <row r="1599" spans="1:7" x14ac:dyDescent="0.3">
      <c r="A1599">
        <v>3991</v>
      </c>
      <c r="B1599" t="s">
        <v>9</v>
      </c>
      <c r="C1599" s="7">
        <v>73</v>
      </c>
      <c r="D1599" s="1">
        <v>44839</v>
      </c>
      <c r="E1599" s="29">
        <v>3.9</v>
      </c>
      <c r="F1599" t="s">
        <v>1</v>
      </c>
      <c r="G1599" t="str">
        <f t="shared" si="24"/>
        <v>2022-10</v>
      </c>
    </row>
    <row r="1600" spans="1:7" x14ac:dyDescent="0.3">
      <c r="A1600">
        <v>3957</v>
      </c>
      <c r="B1600" t="s">
        <v>10</v>
      </c>
      <c r="C1600" s="7">
        <v>183</v>
      </c>
      <c r="D1600" s="1">
        <v>44994</v>
      </c>
      <c r="E1600" s="29">
        <v>2.1</v>
      </c>
      <c r="F1600" t="s">
        <v>1</v>
      </c>
      <c r="G1600" t="str">
        <f t="shared" si="24"/>
        <v>2023-03</v>
      </c>
    </row>
    <row r="1601" spans="1:7" x14ac:dyDescent="0.3">
      <c r="A1601">
        <v>4059</v>
      </c>
      <c r="B1601" t="s">
        <v>0</v>
      </c>
      <c r="C1601" s="7">
        <v>46</v>
      </c>
      <c r="D1601" s="1">
        <v>44962</v>
      </c>
      <c r="E1601" s="29">
        <v>4.9000000000000004</v>
      </c>
      <c r="F1601" t="s">
        <v>1</v>
      </c>
      <c r="G1601" t="str">
        <f t="shared" si="24"/>
        <v>2023-02</v>
      </c>
    </row>
    <row r="1602" spans="1:7" x14ac:dyDescent="0.3">
      <c r="A1602">
        <v>4008</v>
      </c>
      <c r="B1602" t="s">
        <v>3</v>
      </c>
      <c r="C1602" s="7">
        <v>78</v>
      </c>
      <c r="D1602" s="1">
        <v>44993</v>
      </c>
      <c r="E1602" s="29">
        <v>3.8</v>
      </c>
      <c r="F1602" t="s">
        <v>4</v>
      </c>
      <c r="G1602" t="str">
        <f t="shared" si="24"/>
        <v>2023-03</v>
      </c>
    </row>
    <row r="1603" spans="1:7" x14ac:dyDescent="0.3">
      <c r="A1603">
        <v>4117</v>
      </c>
      <c r="B1603" t="s">
        <v>25</v>
      </c>
      <c r="C1603" s="7">
        <v>106</v>
      </c>
      <c r="D1603" s="1">
        <v>45087</v>
      </c>
      <c r="E1603" s="29">
        <v>5</v>
      </c>
      <c r="F1603" t="s">
        <v>1</v>
      </c>
      <c r="G1603" t="str">
        <f t="shared" ref="G1603:G1666" si="25">TEXT(D1603,"ГГГГ-ММ")</f>
        <v>2023-06</v>
      </c>
    </row>
    <row r="1604" spans="1:7" x14ac:dyDescent="0.3">
      <c r="A1604">
        <v>4035</v>
      </c>
      <c r="B1604" t="s">
        <v>15</v>
      </c>
      <c r="C1604" s="7">
        <v>172</v>
      </c>
      <c r="D1604" s="1">
        <v>44967</v>
      </c>
      <c r="E1604" s="29">
        <v>3.04897959183673</v>
      </c>
      <c r="F1604" t="s">
        <v>4</v>
      </c>
      <c r="G1604" t="str">
        <f t="shared" si="25"/>
        <v>2023-02</v>
      </c>
    </row>
    <row r="1605" spans="1:7" x14ac:dyDescent="0.3">
      <c r="A1605">
        <v>4037</v>
      </c>
      <c r="B1605" t="s">
        <v>35</v>
      </c>
      <c r="C1605" s="7">
        <v>33</v>
      </c>
      <c r="D1605" s="1">
        <v>44897</v>
      </c>
      <c r="E1605" s="29">
        <v>4.4000000000000004</v>
      </c>
      <c r="F1605" t="s">
        <v>4</v>
      </c>
      <c r="G1605" t="str">
        <f t="shared" si="25"/>
        <v>2022-12</v>
      </c>
    </row>
    <row r="1606" spans="1:7" x14ac:dyDescent="0.3">
      <c r="A1606">
        <v>4104</v>
      </c>
      <c r="B1606" t="s">
        <v>30</v>
      </c>
      <c r="C1606" s="7">
        <v>81</v>
      </c>
      <c r="D1606" s="1">
        <v>45199</v>
      </c>
      <c r="E1606" s="29">
        <v>3.8</v>
      </c>
      <c r="F1606" t="s">
        <v>4</v>
      </c>
      <c r="G1606" t="str">
        <f t="shared" si="25"/>
        <v>2023-09</v>
      </c>
    </row>
    <row r="1607" spans="1:7" x14ac:dyDescent="0.3">
      <c r="A1607">
        <v>3978</v>
      </c>
      <c r="B1607" t="s">
        <v>20</v>
      </c>
      <c r="C1607" s="7">
        <v>104</v>
      </c>
      <c r="D1607" s="1">
        <v>44919</v>
      </c>
      <c r="E1607" s="29">
        <v>3.9</v>
      </c>
      <c r="F1607" t="s">
        <v>4</v>
      </c>
      <c r="G1607" t="str">
        <f t="shared" si="25"/>
        <v>2022-12</v>
      </c>
    </row>
    <row r="1608" spans="1:7" x14ac:dyDescent="0.3">
      <c r="A1608">
        <v>3985</v>
      </c>
      <c r="B1608" t="s">
        <v>20</v>
      </c>
      <c r="C1608" s="7">
        <v>134</v>
      </c>
      <c r="D1608" s="1">
        <v>44998</v>
      </c>
      <c r="E1608" s="29">
        <v>2.1</v>
      </c>
      <c r="F1608" t="s">
        <v>4</v>
      </c>
      <c r="G1608" t="str">
        <f t="shared" si="25"/>
        <v>2023-03</v>
      </c>
    </row>
    <row r="1609" spans="1:7" x14ac:dyDescent="0.3">
      <c r="A1609">
        <v>3997</v>
      </c>
      <c r="B1609" t="s">
        <v>30</v>
      </c>
      <c r="C1609" s="7">
        <v>10</v>
      </c>
      <c r="D1609" s="1">
        <v>44951</v>
      </c>
      <c r="E1609" s="29">
        <v>2.9636363636363598</v>
      </c>
      <c r="F1609" t="s">
        <v>1</v>
      </c>
      <c r="G1609" t="str">
        <f t="shared" si="25"/>
        <v>2023-01</v>
      </c>
    </row>
    <row r="1610" spans="1:7" x14ac:dyDescent="0.3">
      <c r="A1610">
        <v>4020</v>
      </c>
      <c r="B1610" t="s">
        <v>20</v>
      </c>
      <c r="C1610" s="7">
        <v>197</v>
      </c>
      <c r="D1610" s="1">
        <v>44873</v>
      </c>
      <c r="E1610" s="29">
        <v>4.3</v>
      </c>
      <c r="F1610" t="s">
        <v>1</v>
      </c>
      <c r="G1610" t="str">
        <f t="shared" si="25"/>
        <v>2022-11</v>
      </c>
    </row>
    <row r="1611" spans="1:7" x14ac:dyDescent="0.3">
      <c r="A1611">
        <v>4089</v>
      </c>
      <c r="B1611" t="s">
        <v>20</v>
      </c>
      <c r="C1611" s="7">
        <v>105.95348837209301</v>
      </c>
      <c r="D1611" s="1">
        <v>45172</v>
      </c>
      <c r="E1611" s="29">
        <v>2.5</v>
      </c>
      <c r="F1611" t="s">
        <v>4</v>
      </c>
      <c r="G1611" t="str">
        <f t="shared" si="25"/>
        <v>2023-09</v>
      </c>
    </row>
    <row r="1612" spans="1:7" x14ac:dyDescent="0.3">
      <c r="A1612">
        <v>3990</v>
      </c>
      <c r="B1612" t="s">
        <v>18</v>
      </c>
      <c r="C1612" s="7">
        <v>172</v>
      </c>
      <c r="D1612" s="1">
        <v>44935</v>
      </c>
      <c r="E1612" s="29">
        <v>3.9</v>
      </c>
      <c r="F1612" t="s">
        <v>1</v>
      </c>
      <c r="G1612" t="str">
        <f t="shared" si="25"/>
        <v>2023-01</v>
      </c>
    </row>
    <row r="1613" spans="1:7" x14ac:dyDescent="0.3">
      <c r="A1613">
        <v>4109</v>
      </c>
      <c r="B1613" t="s">
        <v>25</v>
      </c>
      <c r="C1613" s="7">
        <v>101</v>
      </c>
      <c r="D1613" s="1">
        <v>45082</v>
      </c>
      <c r="E1613" s="29">
        <v>2.2999999999999998</v>
      </c>
      <c r="F1613" t="s">
        <v>1</v>
      </c>
      <c r="G1613" t="str">
        <f t="shared" si="25"/>
        <v>2023-06</v>
      </c>
    </row>
    <row r="1614" spans="1:7" x14ac:dyDescent="0.3">
      <c r="A1614">
        <v>4062</v>
      </c>
      <c r="B1614" t="s">
        <v>33</v>
      </c>
      <c r="C1614" s="7">
        <v>146</v>
      </c>
      <c r="D1614" s="1">
        <v>45174</v>
      </c>
      <c r="E1614" s="29">
        <v>2.6</v>
      </c>
      <c r="F1614" t="s">
        <v>4</v>
      </c>
      <c r="G1614" t="str">
        <f t="shared" si="25"/>
        <v>2023-09</v>
      </c>
    </row>
    <row r="1615" spans="1:7" x14ac:dyDescent="0.3">
      <c r="A1615">
        <v>4038</v>
      </c>
      <c r="B1615" t="s">
        <v>34</v>
      </c>
      <c r="C1615" s="7">
        <v>119</v>
      </c>
      <c r="D1615" s="1">
        <v>45152</v>
      </c>
      <c r="E1615" s="29">
        <v>2.5</v>
      </c>
      <c r="F1615" t="s">
        <v>1</v>
      </c>
      <c r="G1615" t="str">
        <f t="shared" si="25"/>
        <v>2023-08</v>
      </c>
    </row>
    <row r="1616" spans="1:7" x14ac:dyDescent="0.3">
      <c r="A1616">
        <v>4072</v>
      </c>
      <c r="B1616" t="s">
        <v>47</v>
      </c>
      <c r="C1616" s="7">
        <v>136</v>
      </c>
      <c r="D1616" s="1">
        <v>44997</v>
      </c>
      <c r="E1616" s="29">
        <v>4.0999999999999996</v>
      </c>
      <c r="F1616" t="s">
        <v>1</v>
      </c>
      <c r="G1616" t="str">
        <f t="shared" si="25"/>
        <v>2023-03</v>
      </c>
    </row>
    <row r="1617" spans="1:7" x14ac:dyDescent="0.3">
      <c r="A1617">
        <v>4079</v>
      </c>
      <c r="B1617" t="s">
        <v>15</v>
      </c>
      <c r="C1617" s="7">
        <v>82</v>
      </c>
      <c r="D1617" s="1">
        <v>45043</v>
      </c>
      <c r="E1617" s="29">
        <v>3.7</v>
      </c>
      <c r="F1617" t="s">
        <v>1</v>
      </c>
      <c r="G1617" t="str">
        <f t="shared" si="25"/>
        <v>2023-04</v>
      </c>
    </row>
    <row r="1618" spans="1:7" x14ac:dyDescent="0.3">
      <c r="A1618">
        <v>3991</v>
      </c>
      <c r="B1618" t="s">
        <v>14</v>
      </c>
      <c r="C1618" s="7">
        <v>157</v>
      </c>
      <c r="D1618" s="1">
        <v>44885</v>
      </c>
      <c r="E1618" s="29">
        <v>3.7</v>
      </c>
      <c r="F1618" t="s">
        <v>1</v>
      </c>
      <c r="G1618" t="str">
        <f t="shared" si="25"/>
        <v>2022-11</v>
      </c>
    </row>
    <row r="1619" spans="1:7" x14ac:dyDescent="0.3">
      <c r="A1619">
        <v>4023</v>
      </c>
      <c r="B1619" t="s">
        <v>41</v>
      </c>
      <c r="C1619" s="7">
        <v>93.135593220338905</v>
      </c>
      <c r="D1619" s="1">
        <v>44842</v>
      </c>
      <c r="E1619" s="29">
        <v>4.8</v>
      </c>
      <c r="F1619" t="s">
        <v>1</v>
      </c>
      <c r="G1619" t="str">
        <f t="shared" si="25"/>
        <v>2022-10</v>
      </c>
    </row>
    <row r="1620" spans="1:7" x14ac:dyDescent="0.3">
      <c r="A1620">
        <v>4001</v>
      </c>
      <c r="B1620" t="s">
        <v>49</v>
      </c>
      <c r="C1620" s="7">
        <v>97</v>
      </c>
      <c r="D1620" s="1">
        <v>44862</v>
      </c>
      <c r="E1620" s="29">
        <v>3.2020408163265301</v>
      </c>
      <c r="F1620" t="s">
        <v>1</v>
      </c>
      <c r="G1620" t="str">
        <f t="shared" si="25"/>
        <v>2022-10</v>
      </c>
    </row>
    <row r="1621" spans="1:7" x14ac:dyDescent="0.3">
      <c r="A1621">
        <v>4108</v>
      </c>
      <c r="B1621" t="s">
        <v>24</v>
      </c>
      <c r="C1621" s="7">
        <v>22</v>
      </c>
      <c r="D1621" s="1">
        <v>45090</v>
      </c>
      <c r="E1621" s="29">
        <v>1.6</v>
      </c>
      <c r="F1621" t="s">
        <v>1</v>
      </c>
      <c r="G1621" t="str">
        <f t="shared" si="25"/>
        <v>2023-06</v>
      </c>
    </row>
    <row r="1622" spans="1:7" x14ac:dyDescent="0.3">
      <c r="A1622">
        <v>4040</v>
      </c>
      <c r="B1622" t="s">
        <v>8</v>
      </c>
      <c r="C1622" s="7">
        <v>105.81034482758599</v>
      </c>
      <c r="D1622" s="1">
        <v>45086</v>
      </c>
      <c r="E1622" s="29">
        <v>3.6</v>
      </c>
      <c r="F1622" t="s">
        <v>1</v>
      </c>
      <c r="G1622" t="str">
        <f t="shared" si="25"/>
        <v>2023-06</v>
      </c>
    </row>
    <row r="1623" spans="1:7" x14ac:dyDescent="0.3">
      <c r="A1623">
        <v>4029</v>
      </c>
      <c r="B1623" t="s">
        <v>18</v>
      </c>
      <c r="C1623" s="7">
        <v>127</v>
      </c>
      <c r="D1623" s="1">
        <v>45089</v>
      </c>
      <c r="E1623" s="29">
        <v>3.2</v>
      </c>
      <c r="F1623" t="s">
        <v>4</v>
      </c>
      <c r="G1623" t="str">
        <f t="shared" si="25"/>
        <v>2023-06</v>
      </c>
    </row>
    <row r="1624" spans="1:7" x14ac:dyDescent="0.3">
      <c r="A1624">
        <v>4007</v>
      </c>
      <c r="B1624" t="s">
        <v>24</v>
      </c>
      <c r="C1624" s="7">
        <v>95.292307692307602</v>
      </c>
      <c r="D1624" s="1">
        <v>44936</v>
      </c>
      <c r="E1624" s="29">
        <v>4.5999999999999996</v>
      </c>
      <c r="F1624" t="s">
        <v>1</v>
      </c>
      <c r="G1624" t="str">
        <f t="shared" si="25"/>
        <v>2023-01</v>
      </c>
    </row>
    <row r="1625" spans="1:7" x14ac:dyDescent="0.3">
      <c r="A1625">
        <v>3978</v>
      </c>
      <c r="B1625" t="s">
        <v>33</v>
      </c>
      <c r="C1625" s="7">
        <v>50</v>
      </c>
      <c r="D1625" s="1">
        <v>45164</v>
      </c>
      <c r="E1625" s="29">
        <v>4.7</v>
      </c>
      <c r="F1625" t="s">
        <v>1</v>
      </c>
      <c r="G1625" t="str">
        <f t="shared" si="25"/>
        <v>2023-08</v>
      </c>
    </row>
    <row r="1626" spans="1:7" x14ac:dyDescent="0.3">
      <c r="A1626">
        <v>4063</v>
      </c>
      <c r="B1626" t="s">
        <v>3</v>
      </c>
      <c r="C1626" s="7">
        <v>10</v>
      </c>
      <c r="D1626" s="1">
        <v>44922</v>
      </c>
      <c r="E1626" s="29">
        <v>1.6</v>
      </c>
      <c r="F1626" t="s">
        <v>4</v>
      </c>
      <c r="G1626" t="str">
        <f t="shared" si="25"/>
        <v>2022-12</v>
      </c>
    </row>
    <row r="1627" spans="1:7" x14ac:dyDescent="0.3">
      <c r="A1627">
        <v>4051</v>
      </c>
      <c r="B1627" t="s">
        <v>43</v>
      </c>
      <c r="C1627" s="7">
        <v>119</v>
      </c>
      <c r="D1627" s="1">
        <v>44873</v>
      </c>
      <c r="E1627" s="29">
        <v>3.5</v>
      </c>
      <c r="F1627" t="s">
        <v>4</v>
      </c>
      <c r="G1627" t="str">
        <f t="shared" si="25"/>
        <v>2022-11</v>
      </c>
    </row>
    <row r="1628" spans="1:7" x14ac:dyDescent="0.3">
      <c r="A1628">
        <v>4003</v>
      </c>
      <c r="B1628" t="s">
        <v>28</v>
      </c>
      <c r="C1628" s="7">
        <v>186</v>
      </c>
      <c r="D1628" s="1">
        <v>45090</v>
      </c>
      <c r="E1628" s="29">
        <v>4.4000000000000004</v>
      </c>
      <c r="F1628" t="s">
        <v>1</v>
      </c>
      <c r="G1628" t="str">
        <f t="shared" si="25"/>
        <v>2023-06</v>
      </c>
    </row>
    <row r="1629" spans="1:7" x14ac:dyDescent="0.3">
      <c r="A1629">
        <v>4057</v>
      </c>
      <c r="B1629" t="s">
        <v>19</v>
      </c>
      <c r="C1629" s="7">
        <v>176</v>
      </c>
      <c r="D1629" s="1">
        <v>45015</v>
      </c>
      <c r="E1629" s="29">
        <v>4.9000000000000004</v>
      </c>
      <c r="F1629" t="s">
        <v>1</v>
      </c>
      <c r="G1629" t="str">
        <f t="shared" si="25"/>
        <v>2023-03</v>
      </c>
    </row>
    <row r="1630" spans="1:7" x14ac:dyDescent="0.3">
      <c r="A1630">
        <v>4053</v>
      </c>
      <c r="B1630" t="s">
        <v>17</v>
      </c>
      <c r="C1630" s="7">
        <v>80</v>
      </c>
      <c r="D1630" s="1">
        <v>44867</v>
      </c>
      <c r="E1630" s="29">
        <v>4.3</v>
      </c>
      <c r="F1630" t="s">
        <v>4</v>
      </c>
      <c r="G1630" t="str">
        <f t="shared" si="25"/>
        <v>2022-11</v>
      </c>
    </row>
    <row r="1631" spans="1:7" x14ac:dyDescent="0.3">
      <c r="A1631">
        <v>4103</v>
      </c>
      <c r="B1631" t="s">
        <v>43</v>
      </c>
      <c r="C1631" s="7">
        <v>117.354166666666</v>
      </c>
      <c r="D1631" s="1">
        <v>44951</v>
      </c>
      <c r="E1631" s="29">
        <v>4.3</v>
      </c>
      <c r="F1631" t="s">
        <v>1</v>
      </c>
      <c r="G1631" t="str">
        <f t="shared" si="25"/>
        <v>2023-01</v>
      </c>
    </row>
    <row r="1632" spans="1:7" x14ac:dyDescent="0.3">
      <c r="A1632">
        <v>4014</v>
      </c>
      <c r="B1632" t="s">
        <v>35</v>
      </c>
      <c r="C1632" s="7">
        <v>31</v>
      </c>
      <c r="D1632" s="1">
        <v>45050</v>
      </c>
      <c r="E1632" s="29">
        <v>5</v>
      </c>
      <c r="F1632" t="s">
        <v>4</v>
      </c>
      <c r="G1632" t="str">
        <f t="shared" si="25"/>
        <v>2023-05</v>
      </c>
    </row>
    <row r="1633" spans="1:7" x14ac:dyDescent="0.3">
      <c r="A1633">
        <v>3962</v>
      </c>
      <c r="B1633" t="s">
        <v>42</v>
      </c>
      <c r="C1633" s="7">
        <v>176</v>
      </c>
      <c r="D1633" s="1">
        <v>44880</v>
      </c>
      <c r="E1633" s="29">
        <v>3.1</v>
      </c>
      <c r="F1633" t="s">
        <v>4</v>
      </c>
      <c r="G1633" t="str">
        <f t="shared" si="25"/>
        <v>2022-11</v>
      </c>
    </row>
    <row r="1634" spans="1:7" x14ac:dyDescent="0.3">
      <c r="A1634">
        <v>3962</v>
      </c>
      <c r="B1634" t="s">
        <v>10</v>
      </c>
      <c r="C1634" s="7">
        <v>120.375</v>
      </c>
      <c r="D1634" s="1">
        <v>45130</v>
      </c>
      <c r="E1634" s="29">
        <v>2</v>
      </c>
      <c r="F1634" t="s">
        <v>1</v>
      </c>
      <c r="G1634" t="str">
        <f t="shared" si="25"/>
        <v>2023-07</v>
      </c>
    </row>
    <row r="1635" spans="1:7" x14ac:dyDescent="0.3">
      <c r="A1635">
        <v>4099</v>
      </c>
      <c r="B1635" t="s">
        <v>48</v>
      </c>
      <c r="C1635" s="7">
        <v>88</v>
      </c>
      <c r="D1635" s="1">
        <v>45175</v>
      </c>
      <c r="E1635" s="29">
        <v>4.8</v>
      </c>
      <c r="F1635" t="s">
        <v>1</v>
      </c>
      <c r="G1635" t="str">
        <f t="shared" si="25"/>
        <v>2023-09</v>
      </c>
    </row>
    <row r="1636" spans="1:7" x14ac:dyDescent="0.3">
      <c r="A1636">
        <v>4122</v>
      </c>
      <c r="B1636" t="s">
        <v>21</v>
      </c>
      <c r="C1636" s="7">
        <v>69</v>
      </c>
      <c r="D1636" s="1">
        <v>44927</v>
      </c>
      <c r="E1636" s="29">
        <v>3.7</v>
      </c>
      <c r="F1636" t="s">
        <v>1</v>
      </c>
      <c r="G1636" t="str">
        <f t="shared" si="25"/>
        <v>2023-01</v>
      </c>
    </row>
    <row r="1637" spans="1:7" x14ac:dyDescent="0.3">
      <c r="A1637">
        <v>4113</v>
      </c>
      <c r="B1637" t="s">
        <v>50</v>
      </c>
      <c r="C1637" s="7">
        <v>33</v>
      </c>
      <c r="D1637" s="1">
        <v>44859</v>
      </c>
      <c r="E1637" s="29">
        <v>3</v>
      </c>
      <c r="F1637" t="s">
        <v>4</v>
      </c>
      <c r="G1637" t="str">
        <f t="shared" si="25"/>
        <v>2022-10</v>
      </c>
    </row>
    <row r="1638" spans="1:7" x14ac:dyDescent="0.3">
      <c r="A1638">
        <v>4117</v>
      </c>
      <c r="B1638" t="s">
        <v>43</v>
      </c>
      <c r="C1638" s="7">
        <v>10</v>
      </c>
      <c r="D1638" s="1">
        <v>44911</v>
      </c>
      <c r="E1638" s="29">
        <v>4.3</v>
      </c>
      <c r="F1638" t="s">
        <v>1</v>
      </c>
      <c r="G1638" t="str">
        <f t="shared" si="25"/>
        <v>2022-12</v>
      </c>
    </row>
    <row r="1639" spans="1:7" x14ac:dyDescent="0.3">
      <c r="A1639">
        <v>4015</v>
      </c>
      <c r="B1639" t="s">
        <v>49</v>
      </c>
      <c r="C1639" s="7">
        <v>29</v>
      </c>
      <c r="D1639" s="1">
        <v>45191</v>
      </c>
      <c r="E1639" s="29">
        <v>4.7</v>
      </c>
      <c r="F1639" t="s">
        <v>4</v>
      </c>
      <c r="G1639" t="str">
        <f t="shared" si="25"/>
        <v>2023-09</v>
      </c>
    </row>
    <row r="1640" spans="1:7" x14ac:dyDescent="0.3">
      <c r="A1640">
        <v>3979</v>
      </c>
      <c r="B1640" t="s">
        <v>10</v>
      </c>
      <c r="C1640" s="7">
        <v>120.375</v>
      </c>
      <c r="D1640" s="1">
        <v>45006</v>
      </c>
      <c r="E1640" s="29">
        <v>4.3</v>
      </c>
      <c r="F1640" t="s">
        <v>4</v>
      </c>
      <c r="G1640" t="str">
        <f t="shared" si="25"/>
        <v>2023-03</v>
      </c>
    </row>
    <row r="1641" spans="1:7" x14ac:dyDescent="0.3">
      <c r="A1641">
        <v>4075</v>
      </c>
      <c r="B1641" t="s">
        <v>16</v>
      </c>
      <c r="C1641" s="7">
        <v>184</v>
      </c>
      <c r="D1641" s="1">
        <v>45154</v>
      </c>
      <c r="E1641" s="29">
        <v>2.4</v>
      </c>
      <c r="F1641" t="s">
        <v>1</v>
      </c>
      <c r="G1641" t="str">
        <f t="shared" si="25"/>
        <v>2023-08</v>
      </c>
    </row>
    <row r="1642" spans="1:7" x14ac:dyDescent="0.3">
      <c r="A1642">
        <v>4007</v>
      </c>
      <c r="B1642" t="s">
        <v>38</v>
      </c>
      <c r="C1642" s="7">
        <v>12</v>
      </c>
      <c r="D1642" s="1">
        <v>45134</v>
      </c>
      <c r="E1642" s="29">
        <v>4</v>
      </c>
      <c r="F1642" t="s">
        <v>4</v>
      </c>
      <c r="G1642" t="str">
        <f t="shared" si="25"/>
        <v>2023-07</v>
      </c>
    </row>
    <row r="1643" spans="1:7" x14ac:dyDescent="0.3">
      <c r="A1643">
        <v>4024</v>
      </c>
      <c r="B1643" t="s">
        <v>32</v>
      </c>
      <c r="C1643" s="7">
        <v>40</v>
      </c>
      <c r="D1643" s="1">
        <v>45141</v>
      </c>
      <c r="E1643" s="29">
        <v>3.6</v>
      </c>
      <c r="F1643" t="s">
        <v>1</v>
      </c>
      <c r="G1643" t="str">
        <f t="shared" si="25"/>
        <v>2023-08</v>
      </c>
    </row>
    <row r="1644" spans="1:7" x14ac:dyDescent="0.3">
      <c r="A1644">
        <v>4000</v>
      </c>
      <c r="B1644" t="s">
        <v>35</v>
      </c>
      <c r="C1644" s="7">
        <v>118</v>
      </c>
      <c r="D1644" s="1">
        <v>44872</v>
      </c>
      <c r="E1644" s="29">
        <v>4.3</v>
      </c>
      <c r="F1644" t="s">
        <v>4</v>
      </c>
      <c r="G1644" t="str">
        <f t="shared" si="25"/>
        <v>2022-11</v>
      </c>
    </row>
    <row r="1645" spans="1:7" x14ac:dyDescent="0.3">
      <c r="A1645">
        <v>3969</v>
      </c>
      <c r="B1645" t="s">
        <v>15</v>
      </c>
      <c r="C1645" s="7">
        <v>132</v>
      </c>
      <c r="D1645" s="1">
        <v>45138</v>
      </c>
      <c r="E1645" s="29">
        <v>1.8</v>
      </c>
      <c r="F1645" t="s">
        <v>1</v>
      </c>
      <c r="G1645" t="str">
        <f t="shared" si="25"/>
        <v>2023-07</v>
      </c>
    </row>
    <row r="1646" spans="1:7" x14ac:dyDescent="0.3">
      <c r="A1646">
        <v>4059</v>
      </c>
      <c r="B1646" t="s">
        <v>3</v>
      </c>
      <c r="C1646" s="7">
        <v>100.679999999999</v>
      </c>
      <c r="D1646" s="1">
        <v>44937</v>
      </c>
      <c r="E1646" s="29">
        <v>3.2285714285714202</v>
      </c>
      <c r="F1646" t="s">
        <v>1</v>
      </c>
      <c r="G1646" t="str">
        <f t="shared" si="25"/>
        <v>2023-01</v>
      </c>
    </row>
    <row r="1647" spans="1:7" x14ac:dyDescent="0.3">
      <c r="A1647">
        <v>4115</v>
      </c>
      <c r="B1647" t="s">
        <v>19</v>
      </c>
      <c r="C1647" s="7">
        <v>197</v>
      </c>
      <c r="D1647" s="1">
        <v>45100</v>
      </c>
      <c r="E1647" s="29">
        <v>3</v>
      </c>
      <c r="F1647" t="s">
        <v>1</v>
      </c>
      <c r="G1647" t="str">
        <f t="shared" si="25"/>
        <v>2023-06</v>
      </c>
    </row>
    <row r="1648" spans="1:7" x14ac:dyDescent="0.3">
      <c r="A1648">
        <v>4066</v>
      </c>
      <c r="B1648" t="s">
        <v>18</v>
      </c>
      <c r="C1648" s="7">
        <v>36</v>
      </c>
      <c r="D1648" s="1">
        <v>45083</v>
      </c>
      <c r="E1648" s="29">
        <v>1.6</v>
      </c>
      <c r="F1648" t="s">
        <v>1</v>
      </c>
      <c r="G1648" t="str">
        <f t="shared" si="25"/>
        <v>2023-06</v>
      </c>
    </row>
    <row r="1649" spans="1:7" x14ac:dyDescent="0.3">
      <c r="A1649">
        <v>4110</v>
      </c>
      <c r="B1649" t="s">
        <v>21</v>
      </c>
      <c r="C1649" s="7">
        <v>86</v>
      </c>
      <c r="D1649" s="1">
        <v>44935</v>
      </c>
      <c r="E1649" s="29">
        <v>3.02830188679245</v>
      </c>
      <c r="F1649" t="s">
        <v>4</v>
      </c>
      <c r="G1649" t="str">
        <f t="shared" si="25"/>
        <v>2023-01</v>
      </c>
    </row>
    <row r="1650" spans="1:7" x14ac:dyDescent="0.3">
      <c r="A1650">
        <v>4023</v>
      </c>
      <c r="B1650" t="s">
        <v>8</v>
      </c>
      <c r="C1650" s="7">
        <v>105.81034482758599</v>
      </c>
      <c r="D1650" s="1">
        <v>44943</v>
      </c>
      <c r="E1650" s="29">
        <v>2</v>
      </c>
      <c r="F1650" t="s">
        <v>4</v>
      </c>
      <c r="G1650" t="str">
        <f t="shared" si="25"/>
        <v>2023-01</v>
      </c>
    </row>
    <row r="1651" spans="1:7" x14ac:dyDescent="0.3">
      <c r="A1651">
        <v>3995</v>
      </c>
      <c r="B1651" t="s">
        <v>10</v>
      </c>
      <c r="C1651" s="7">
        <v>44</v>
      </c>
      <c r="D1651" s="1">
        <v>45071</v>
      </c>
      <c r="E1651" s="29">
        <v>4.3</v>
      </c>
      <c r="F1651" t="s">
        <v>4</v>
      </c>
      <c r="G1651" t="str">
        <f t="shared" si="25"/>
        <v>2023-05</v>
      </c>
    </row>
    <row r="1652" spans="1:7" x14ac:dyDescent="0.3">
      <c r="A1652">
        <v>3979</v>
      </c>
      <c r="B1652" t="s">
        <v>48</v>
      </c>
      <c r="C1652" s="7">
        <v>183</v>
      </c>
      <c r="D1652" s="1">
        <v>44856</v>
      </c>
      <c r="E1652" s="29">
        <v>1.4</v>
      </c>
      <c r="F1652" t="s">
        <v>1</v>
      </c>
      <c r="G1652" t="str">
        <f t="shared" si="25"/>
        <v>2022-10</v>
      </c>
    </row>
    <row r="1653" spans="1:7" x14ac:dyDescent="0.3">
      <c r="A1653">
        <v>4051</v>
      </c>
      <c r="B1653" t="s">
        <v>24</v>
      </c>
      <c r="C1653" s="7">
        <v>95.292307692307702</v>
      </c>
      <c r="D1653" s="1">
        <v>44933</v>
      </c>
      <c r="E1653" s="29">
        <v>1.1000000000000001</v>
      </c>
      <c r="F1653" t="s">
        <v>1</v>
      </c>
      <c r="G1653" t="str">
        <f t="shared" si="25"/>
        <v>2023-01</v>
      </c>
    </row>
    <row r="1654" spans="1:7" x14ac:dyDescent="0.3">
      <c r="A1654">
        <v>4000</v>
      </c>
      <c r="B1654" t="s">
        <v>47</v>
      </c>
      <c r="C1654" s="7">
        <v>12</v>
      </c>
      <c r="D1654" s="1">
        <v>44988</v>
      </c>
      <c r="E1654" s="29">
        <v>3.1235294117647001</v>
      </c>
      <c r="F1654" t="s">
        <v>4</v>
      </c>
      <c r="G1654" t="str">
        <f t="shared" si="25"/>
        <v>2023-03</v>
      </c>
    </row>
    <row r="1655" spans="1:7" x14ac:dyDescent="0.3">
      <c r="A1655">
        <v>4102</v>
      </c>
      <c r="B1655" t="s">
        <v>32</v>
      </c>
      <c r="C1655" s="7">
        <v>52</v>
      </c>
      <c r="D1655" s="1">
        <v>44930</v>
      </c>
      <c r="E1655" s="29">
        <v>1.7</v>
      </c>
      <c r="F1655" t="s">
        <v>1</v>
      </c>
      <c r="G1655" t="str">
        <f t="shared" si="25"/>
        <v>2023-01</v>
      </c>
    </row>
    <row r="1656" spans="1:7" x14ac:dyDescent="0.3">
      <c r="A1656">
        <v>3987</v>
      </c>
      <c r="B1656" t="s">
        <v>25</v>
      </c>
      <c r="C1656" s="7">
        <v>194</v>
      </c>
      <c r="D1656" s="1">
        <v>44986</v>
      </c>
      <c r="E1656" s="29">
        <v>1.3</v>
      </c>
      <c r="F1656" t="s">
        <v>1</v>
      </c>
      <c r="G1656" t="str">
        <f t="shared" si="25"/>
        <v>2023-03</v>
      </c>
    </row>
    <row r="1657" spans="1:7" x14ac:dyDescent="0.3">
      <c r="A1657">
        <v>3960</v>
      </c>
      <c r="B1657" t="s">
        <v>5</v>
      </c>
      <c r="C1657" s="7">
        <v>48</v>
      </c>
      <c r="D1657" s="1">
        <v>44994</v>
      </c>
      <c r="E1657" s="29">
        <v>4.8</v>
      </c>
      <c r="F1657" t="s">
        <v>1</v>
      </c>
      <c r="G1657" t="str">
        <f t="shared" si="25"/>
        <v>2023-03</v>
      </c>
    </row>
    <row r="1658" spans="1:7" x14ac:dyDescent="0.3">
      <c r="A1658">
        <v>4091</v>
      </c>
      <c r="B1658" t="s">
        <v>17</v>
      </c>
      <c r="C1658" s="7">
        <v>167</v>
      </c>
      <c r="D1658" s="1">
        <v>44976</v>
      </c>
      <c r="E1658" s="29">
        <v>2.4</v>
      </c>
      <c r="F1658" t="s">
        <v>4</v>
      </c>
      <c r="G1658" t="str">
        <f t="shared" si="25"/>
        <v>2023-02</v>
      </c>
    </row>
    <row r="1659" spans="1:7" x14ac:dyDescent="0.3">
      <c r="A1659">
        <v>4068</v>
      </c>
      <c r="B1659" t="s">
        <v>24</v>
      </c>
      <c r="C1659" s="7">
        <v>65</v>
      </c>
      <c r="D1659" s="1">
        <v>45065</v>
      </c>
      <c r="E1659" s="29">
        <v>3.8</v>
      </c>
      <c r="F1659" t="s">
        <v>4</v>
      </c>
      <c r="G1659" t="str">
        <f t="shared" si="25"/>
        <v>2023-05</v>
      </c>
    </row>
    <row r="1660" spans="1:7" x14ac:dyDescent="0.3">
      <c r="A1660">
        <v>4073</v>
      </c>
      <c r="B1660" t="s">
        <v>37</v>
      </c>
      <c r="C1660" s="7">
        <v>97.720588235294102</v>
      </c>
      <c r="D1660" s="1">
        <v>44982</v>
      </c>
      <c r="E1660" s="29">
        <v>2.6</v>
      </c>
      <c r="F1660" t="s">
        <v>1</v>
      </c>
      <c r="G1660" t="str">
        <f t="shared" si="25"/>
        <v>2023-02</v>
      </c>
    </row>
    <row r="1661" spans="1:7" x14ac:dyDescent="0.3">
      <c r="A1661">
        <v>4083</v>
      </c>
      <c r="B1661" t="s">
        <v>43</v>
      </c>
      <c r="C1661" s="7">
        <v>117.354166666666</v>
      </c>
      <c r="D1661" s="1">
        <v>45117</v>
      </c>
      <c r="E1661" s="29">
        <v>2.7</v>
      </c>
      <c r="F1661" t="s">
        <v>1</v>
      </c>
      <c r="G1661" t="str">
        <f t="shared" si="25"/>
        <v>2023-07</v>
      </c>
    </row>
    <row r="1662" spans="1:7" x14ac:dyDescent="0.3">
      <c r="A1662">
        <v>3987</v>
      </c>
      <c r="B1662" t="s">
        <v>21</v>
      </c>
      <c r="C1662" s="7">
        <v>160</v>
      </c>
      <c r="D1662" s="1">
        <v>45147</v>
      </c>
      <c r="E1662" s="29">
        <v>2.9</v>
      </c>
      <c r="F1662" t="s">
        <v>1</v>
      </c>
      <c r="G1662" t="str">
        <f t="shared" si="25"/>
        <v>2023-08</v>
      </c>
    </row>
    <row r="1663" spans="1:7" x14ac:dyDescent="0.3">
      <c r="A1663">
        <v>4014</v>
      </c>
      <c r="B1663" t="s">
        <v>24</v>
      </c>
      <c r="C1663" s="7">
        <v>99</v>
      </c>
      <c r="D1663" s="1">
        <v>44836</v>
      </c>
      <c r="E1663" s="29">
        <v>1.2</v>
      </c>
      <c r="F1663" t="s">
        <v>4</v>
      </c>
      <c r="G1663" t="str">
        <f t="shared" si="25"/>
        <v>2022-10</v>
      </c>
    </row>
    <row r="1664" spans="1:7" x14ac:dyDescent="0.3">
      <c r="A1664">
        <v>4009</v>
      </c>
      <c r="B1664" t="s">
        <v>51</v>
      </c>
      <c r="C1664" s="7">
        <v>90</v>
      </c>
      <c r="D1664" s="1">
        <v>44974</v>
      </c>
      <c r="E1664" s="29">
        <v>1.1000000000000001</v>
      </c>
      <c r="F1664" t="s">
        <v>1</v>
      </c>
      <c r="G1664" t="str">
        <f t="shared" si="25"/>
        <v>2023-02</v>
      </c>
    </row>
    <row r="1665" spans="1:7" x14ac:dyDescent="0.3">
      <c r="A1665">
        <v>4005</v>
      </c>
      <c r="B1665" t="s">
        <v>22</v>
      </c>
      <c r="C1665" s="7">
        <v>73</v>
      </c>
      <c r="D1665" s="1">
        <v>45088</v>
      </c>
      <c r="E1665" s="29">
        <v>1.1000000000000001</v>
      </c>
      <c r="F1665" t="s">
        <v>4</v>
      </c>
      <c r="G1665" t="str">
        <f t="shared" si="25"/>
        <v>2023-06</v>
      </c>
    </row>
    <row r="1666" spans="1:7" x14ac:dyDescent="0.3">
      <c r="A1666">
        <v>4025</v>
      </c>
      <c r="B1666" t="s">
        <v>34</v>
      </c>
      <c r="C1666" s="7">
        <v>31</v>
      </c>
      <c r="D1666" s="1">
        <v>45056</v>
      </c>
      <c r="E1666" s="29">
        <v>4.4000000000000004</v>
      </c>
      <c r="F1666" t="s">
        <v>4</v>
      </c>
      <c r="G1666" t="str">
        <f t="shared" si="25"/>
        <v>2023-05</v>
      </c>
    </row>
    <row r="1667" spans="1:7" x14ac:dyDescent="0.3">
      <c r="A1667">
        <v>4030</v>
      </c>
      <c r="B1667" t="s">
        <v>29</v>
      </c>
      <c r="C1667" s="7">
        <v>163</v>
      </c>
      <c r="D1667" s="1">
        <v>44849</v>
      </c>
      <c r="E1667" s="29">
        <v>3.2</v>
      </c>
      <c r="F1667" t="s">
        <v>4</v>
      </c>
      <c r="G1667" t="str">
        <f t="shared" ref="G1667:G1730" si="26">TEXT(D1667,"ГГГГ-ММ")</f>
        <v>2022-10</v>
      </c>
    </row>
    <row r="1668" spans="1:7" x14ac:dyDescent="0.3">
      <c r="A1668">
        <v>4083</v>
      </c>
      <c r="B1668" t="s">
        <v>42</v>
      </c>
      <c r="C1668" s="7">
        <v>165</v>
      </c>
      <c r="D1668" s="1">
        <v>45063</v>
      </c>
      <c r="E1668" s="29">
        <v>2.9761904761904701</v>
      </c>
      <c r="F1668" t="s">
        <v>4</v>
      </c>
      <c r="G1668" t="str">
        <f t="shared" si="26"/>
        <v>2023-05</v>
      </c>
    </row>
    <row r="1669" spans="1:7" x14ac:dyDescent="0.3">
      <c r="A1669">
        <v>4054</v>
      </c>
      <c r="B1669" t="s">
        <v>6</v>
      </c>
      <c r="C1669" s="7">
        <v>186</v>
      </c>
      <c r="D1669" s="1">
        <v>45109</v>
      </c>
      <c r="E1669" s="29">
        <v>3.5</v>
      </c>
      <c r="F1669" t="s">
        <v>1</v>
      </c>
      <c r="G1669" t="str">
        <f t="shared" si="26"/>
        <v>2023-07</v>
      </c>
    </row>
    <row r="1670" spans="1:7" x14ac:dyDescent="0.3">
      <c r="A1670">
        <v>3990</v>
      </c>
      <c r="B1670" t="s">
        <v>40</v>
      </c>
      <c r="C1670" s="7">
        <v>106.80769230769199</v>
      </c>
      <c r="D1670" s="1">
        <v>45048</v>
      </c>
      <c r="E1670" s="29">
        <v>4.9000000000000004</v>
      </c>
      <c r="F1670" t="s">
        <v>1</v>
      </c>
      <c r="G1670" t="str">
        <f t="shared" si="26"/>
        <v>2023-05</v>
      </c>
    </row>
    <row r="1671" spans="1:7" x14ac:dyDescent="0.3">
      <c r="A1671">
        <v>4067</v>
      </c>
      <c r="B1671" t="s">
        <v>17</v>
      </c>
      <c r="C1671" s="7">
        <v>87</v>
      </c>
      <c r="D1671" s="1">
        <v>44901</v>
      </c>
      <c r="E1671" s="29">
        <v>1.1000000000000001</v>
      </c>
      <c r="F1671" t="s">
        <v>1</v>
      </c>
      <c r="G1671" t="str">
        <f t="shared" si="26"/>
        <v>2022-12</v>
      </c>
    </row>
    <row r="1672" spans="1:7" x14ac:dyDescent="0.3">
      <c r="A1672">
        <v>4009</v>
      </c>
      <c r="B1672" t="s">
        <v>32</v>
      </c>
      <c r="C1672" s="7">
        <v>165</v>
      </c>
      <c r="D1672" s="1">
        <v>44951</v>
      </c>
      <c r="E1672" s="29">
        <v>3.0542857142857098</v>
      </c>
      <c r="F1672" t="s">
        <v>1</v>
      </c>
      <c r="G1672" t="str">
        <f t="shared" si="26"/>
        <v>2023-01</v>
      </c>
    </row>
    <row r="1673" spans="1:7" x14ac:dyDescent="0.3">
      <c r="A1673">
        <v>4110</v>
      </c>
      <c r="B1673" t="s">
        <v>43</v>
      </c>
      <c r="C1673" s="7">
        <v>110</v>
      </c>
      <c r="D1673" s="1">
        <v>44997</v>
      </c>
      <c r="E1673" s="29">
        <v>4.5999999999999996</v>
      </c>
      <c r="F1673" t="s">
        <v>1</v>
      </c>
      <c r="G1673" t="str">
        <f t="shared" si="26"/>
        <v>2023-03</v>
      </c>
    </row>
    <row r="1674" spans="1:7" x14ac:dyDescent="0.3">
      <c r="A1674">
        <v>4012</v>
      </c>
      <c r="B1674" t="s">
        <v>32</v>
      </c>
      <c r="C1674" s="7">
        <v>23</v>
      </c>
      <c r="D1674" s="1">
        <v>44869</v>
      </c>
      <c r="E1674" s="29">
        <v>3.2</v>
      </c>
      <c r="F1674" t="s">
        <v>4</v>
      </c>
      <c r="G1674" t="str">
        <f t="shared" si="26"/>
        <v>2022-11</v>
      </c>
    </row>
    <row r="1675" spans="1:7" x14ac:dyDescent="0.3">
      <c r="A1675">
        <v>4029</v>
      </c>
      <c r="B1675" t="s">
        <v>33</v>
      </c>
      <c r="C1675" s="7">
        <v>71</v>
      </c>
      <c r="D1675" s="1">
        <v>44838</v>
      </c>
      <c r="E1675" s="29">
        <v>2.96470588235294</v>
      </c>
      <c r="F1675" t="s">
        <v>4</v>
      </c>
      <c r="G1675" t="str">
        <f t="shared" si="26"/>
        <v>2022-10</v>
      </c>
    </row>
    <row r="1676" spans="1:7" x14ac:dyDescent="0.3">
      <c r="A1676">
        <v>4005</v>
      </c>
      <c r="B1676" t="s">
        <v>3</v>
      </c>
      <c r="C1676" s="7">
        <v>38</v>
      </c>
      <c r="D1676" s="1">
        <v>45190</v>
      </c>
      <c r="E1676" s="29">
        <v>3.9</v>
      </c>
      <c r="F1676" t="s">
        <v>4</v>
      </c>
      <c r="G1676" t="str">
        <f t="shared" si="26"/>
        <v>2023-09</v>
      </c>
    </row>
    <row r="1677" spans="1:7" x14ac:dyDescent="0.3">
      <c r="A1677">
        <v>4064</v>
      </c>
      <c r="B1677" t="s">
        <v>29</v>
      </c>
      <c r="C1677" s="7">
        <v>173</v>
      </c>
      <c r="D1677" s="1">
        <v>45076</v>
      </c>
      <c r="E1677" s="29">
        <v>2.8</v>
      </c>
      <c r="F1677" t="s">
        <v>4</v>
      </c>
      <c r="G1677" t="str">
        <f t="shared" si="26"/>
        <v>2023-05</v>
      </c>
    </row>
    <row r="1678" spans="1:7" x14ac:dyDescent="0.3">
      <c r="A1678">
        <v>4003</v>
      </c>
      <c r="B1678" t="s">
        <v>28</v>
      </c>
      <c r="C1678" s="7">
        <v>145</v>
      </c>
      <c r="D1678" s="1">
        <v>45047</v>
      </c>
      <c r="E1678" s="29">
        <v>2</v>
      </c>
      <c r="F1678" t="s">
        <v>1</v>
      </c>
      <c r="G1678" t="str">
        <f t="shared" si="26"/>
        <v>2023-05</v>
      </c>
    </row>
    <row r="1679" spans="1:7" x14ac:dyDescent="0.3">
      <c r="A1679">
        <v>4061</v>
      </c>
      <c r="B1679" t="s">
        <v>41</v>
      </c>
      <c r="C1679" s="7">
        <v>13</v>
      </c>
      <c r="D1679" s="1">
        <v>45000</v>
      </c>
      <c r="E1679" s="29">
        <v>1.1000000000000001</v>
      </c>
      <c r="F1679" t="s">
        <v>4</v>
      </c>
      <c r="G1679" t="str">
        <f t="shared" si="26"/>
        <v>2023-03</v>
      </c>
    </row>
    <row r="1680" spans="1:7" x14ac:dyDescent="0.3">
      <c r="A1680">
        <v>3994</v>
      </c>
      <c r="B1680" t="s">
        <v>15</v>
      </c>
      <c r="C1680" s="7">
        <v>91</v>
      </c>
      <c r="D1680" s="1">
        <v>44875</v>
      </c>
      <c r="E1680" s="29">
        <v>4.0999999999999996</v>
      </c>
      <c r="F1680" t="s">
        <v>4</v>
      </c>
      <c r="G1680" t="str">
        <f t="shared" si="26"/>
        <v>2022-11</v>
      </c>
    </row>
    <row r="1681" spans="1:7" x14ac:dyDescent="0.3">
      <c r="A1681">
        <v>3964</v>
      </c>
      <c r="B1681" t="s">
        <v>32</v>
      </c>
      <c r="C1681" s="7">
        <v>84.528571428571396</v>
      </c>
      <c r="D1681" s="1">
        <v>45147</v>
      </c>
      <c r="E1681" s="29">
        <v>1.9</v>
      </c>
      <c r="F1681" t="s">
        <v>4</v>
      </c>
      <c r="G1681" t="str">
        <f t="shared" si="26"/>
        <v>2023-08</v>
      </c>
    </row>
    <row r="1682" spans="1:7" x14ac:dyDescent="0.3">
      <c r="A1682">
        <v>4031</v>
      </c>
      <c r="B1682" t="s">
        <v>13</v>
      </c>
      <c r="C1682" s="7">
        <v>155</v>
      </c>
      <c r="D1682" s="1">
        <v>44872</v>
      </c>
      <c r="E1682" s="29">
        <v>1</v>
      </c>
      <c r="F1682" t="s">
        <v>1</v>
      </c>
      <c r="G1682" t="str">
        <f t="shared" si="26"/>
        <v>2022-11</v>
      </c>
    </row>
    <row r="1683" spans="1:7" x14ac:dyDescent="0.3">
      <c r="A1683">
        <v>4024</v>
      </c>
      <c r="B1683" t="s">
        <v>26</v>
      </c>
      <c r="C1683" s="7">
        <v>149</v>
      </c>
      <c r="D1683" s="1">
        <v>45077</v>
      </c>
      <c r="E1683" s="29">
        <v>4.5</v>
      </c>
      <c r="F1683" t="s">
        <v>4</v>
      </c>
      <c r="G1683" t="str">
        <f t="shared" si="26"/>
        <v>2023-05</v>
      </c>
    </row>
    <row r="1684" spans="1:7" x14ac:dyDescent="0.3">
      <c r="A1684">
        <v>4017</v>
      </c>
      <c r="B1684" t="s">
        <v>42</v>
      </c>
      <c r="C1684" s="7">
        <v>130</v>
      </c>
      <c r="D1684" s="1">
        <v>45158</v>
      </c>
      <c r="E1684" s="29">
        <v>4.7</v>
      </c>
      <c r="F1684" t="s">
        <v>4</v>
      </c>
      <c r="G1684" t="str">
        <f t="shared" si="26"/>
        <v>2023-08</v>
      </c>
    </row>
    <row r="1685" spans="1:7" x14ac:dyDescent="0.3">
      <c r="A1685">
        <v>4115</v>
      </c>
      <c r="B1685" t="s">
        <v>8</v>
      </c>
      <c r="C1685" s="7">
        <v>28</v>
      </c>
      <c r="D1685" s="1">
        <v>44853</v>
      </c>
      <c r="E1685" s="29">
        <v>3</v>
      </c>
      <c r="F1685" t="s">
        <v>1</v>
      </c>
      <c r="G1685" t="str">
        <f t="shared" si="26"/>
        <v>2022-10</v>
      </c>
    </row>
    <row r="1686" spans="1:7" x14ac:dyDescent="0.3">
      <c r="A1686">
        <v>4072</v>
      </c>
      <c r="B1686" t="s">
        <v>10</v>
      </c>
      <c r="C1686" s="7">
        <v>120.375</v>
      </c>
      <c r="D1686" s="1">
        <v>45188</v>
      </c>
      <c r="E1686" s="29">
        <v>3.8</v>
      </c>
      <c r="F1686" t="s">
        <v>1</v>
      </c>
      <c r="G1686" t="str">
        <f t="shared" si="26"/>
        <v>2023-09</v>
      </c>
    </row>
    <row r="1687" spans="1:7" x14ac:dyDescent="0.3">
      <c r="A1687">
        <v>4020</v>
      </c>
      <c r="B1687" t="s">
        <v>8</v>
      </c>
      <c r="C1687" s="7">
        <v>105.81034482758599</v>
      </c>
      <c r="D1687" s="1">
        <v>45121</v>
      </c>
      <c r="E1687" s="29">
        <v>4.7</v>
      </c>
      <c r="F1687" t="s">
        <v>1</v>
      </c>
      <c r="G1687" t="str">
        <f t="shared" si="26"/>
        <v>2023-07</v>
      </c>
    </row>
    <row r="1688" spans="1:7" x14ac:dyDescent="0.3">
      <c r="A1688">
        <v>4051</v>
      </c>
      <c r="B1688" t="s">
        <v>14</v>
      </c>
      <c r="C1688" s="7">
        <v>20</v>
      </c>
      <c r="D1688" s="1">
        <v>45018</v>
      </c>
      <c r="E1688" s="29">
        <v>1.2</v>
      </c>
      <c r="F1688" t="s">
        <v>4</v>
      </c>
      <c r="G1688" t="str">
        <f t="shared" si="26"/>
        <v>2023-04</v>
      </c>
    </row>
    <row r="1689" spans="1:7" x14ac:dyDescent="0.3">
      <c r="A1689">
        <v>4106</v>
      </c>
      <c r="B1689" t="s">
        <v>24</v>
      </c>
      <c r="C1689" s="7">
        <v>111</v>
      </c>
      <c r="D1689" s="1">
        <v>44881</v>
      </c>
      <c r="E1689" s="29">
        <v>3.8</v>
      </c>
      <c r="F1689" t="s">
        <v>4</v>
      </c>
      <c r="G1689" t="str">
        <f t="shared" si="26"/>
        <v>2022-11</v>
      </c>
    </row>
    <row r="1690" spans="1:7" x14ac:dyDescent="0.3">
      <c r="A1690">
        <v>4122</v>
      </c>
      <c r="B1690" t="s">
        <v>39</v>
      </c>
      <c r="C1690" s="7">
        <v>170</v>
      </c>
      <c r="D1690" s="1">
        <v>45083</v>
      </c>
      <c r="E1690" s="29">
        <v>4.5999999999999996</v>
      </c>
      <c r="F1690" t="s">
        <v>4</v>
      </c>
      <c r="G1690" t="str">
        <f t="shared" si="26"/>
        <v>2023-06</v>
      </c>
    </row>
    <row r="1691" spans="1:7" x14ac:dyDescent="0.3">
      <c r="A1691">
        <v>4074</v>
      </c>
      <c r="B1691" t="s">
        <v>42</v>
      </c>
      <c r="C1691" s="7">
        <v>116</v>
      </c>
      <c r="D1691" s="1">
        <v>45191</v>
      </c>
      <c r="E1691" s="29">
        <v>1.7</v>
      </c>
      <c r="F1691" t="s">
        <v>1</v>
      </c>
      <c r="G1691" t="str">
        <f t="shared" si="26"/>
        <v>2023-09</v>
      </c>
    </row>
    <row r="1692" spans="1:7" x14ac:dyDescent="0.3">
      <c r="A1692">
        <v>3978</v>
      </c>
      <c r="B1692" t="s">
        <v>15</v>
      </c>
      <c r="C1692" s="7">
        <v>112</v>
      </c>
      <c r="D1692" s="1">
        <v>44958</v>
      </c>
      <c r="E1692" s="29">
        <v>2.2999999999999998</v>
      </c>
      <c r="F1692" t="s">
        <v>4</v>
      </c>
      <c r="G1692" t="str">
        <f t="shared" si="26"/>
        <v>2023-02</v>
      </c>
    </row>
    <row r="1693" spans="1:7" x14ac:dyDescent="0.3">
      <c r="A1693">
        <v>3959</v>
      </c>
      <c r="B1693" t="s">
        <v>5</v>
      </c>
      <c r="C1693" s="7">
        <v>98.967741935483801</v>
      </c>
      <c r="D1693" s="1">
        <v>45172</v>
      </c>
      <c r="E1693" s="29">
        <v>1.6</v>
      </c>
      <c r="F1693" t="s">
        <v>1</v>
      </c>
      <c r="G1693" t="str">
        <f t="shared" si="26"/>
        <v>2023-09</v>
      </c>
    </row>
    <row r="1694" spans="1:7" x14ac:dyDescent="0.3">
      <c r="A1694">
        <v>4077</v>
      </c>
      <c r="B1694" t="s">
        <v>9</v>
      </c>
      <c r="C1694" s="7">
        <v>167</v>
      </c>
      <c r="D1694" s="1">
        <v>44921</v>
      </c>
      <c r="E1694" s="29">
        <v>1.8</v>
      </c>
      <c r="F1694" t="s">
        <v>4</v>
      </c>
      <c r="G1694" t="str">
        <f t="shared" si="26"/>
        <v>2022-12</v>
      </c>
    </row>
    <row r="1695" spans="1:7" x14ac:dyDescent="0.3">
      <c r="A1695">
        <v>3991</v>
      </c>
      <c r="B1695" t="s">
        <v>7</v>
      </c>
      <c r="C1695" s="7">
        <v>99.697674418604606</v>
      </c>
      <c r="D1695" s="1">
        <v>45111</v>
      </c>
      <c r="E1695" s="29">
        <v>1</v>
      </c>
      <c r="F1695" t="s">
        <v>4</v>
      </c>
      <c r="G1695" t="str">
        <f t="shared" si="26"/>
        <v>2023-07</v>
      </c>
    </row>
    <row r="1696" spans="1:7" x14ac:dyDescent="0.3">
      <c r="A1696">
        <v>4039</v>
      </c>
      <c r="B1696" t="s">
        <v>0</v>
      </c>
      <c r="C1696" s="7">
        <v>112.145454545454</v>
      </c>
      <c r="D1696" s="1">
        <v>45139</v>
      </c>
      <c r="E1696" s="29">
        <v>4.2</v>
      </c>
      <c r="F1696" t="s">
        <v>4</v>
      </c>
      <c r="G1696" t="str">
        <f t="shared" si="26"/>
        <v>2023-08</v>
      </c>
    </row>
    <row r="1697" spans="1:7" x14ac:dyDescent="0.3">
      <c r="A1697">
        <v>4058</v>
      </c>
      <c r="B1697" t="s">
        <v>24</v>
      </c>
      <c r="C1697" s="7">
        <v>95.292307692307602</v>
      </c>
      <c r="D1697" s="1">
        <v>45013</v>
      </c>
      <c r="E1697" s="29">
        <v>4.0999999999999996</v>
      </c>
      <c r="F1697" t="s">
        <v>1</v>
      </c>
      <c r="G1697" t="str">
        <f t="shared" si="26"/>
        <v>2023-03</v>
      </c>
    </row>
    <row r="1698" spans="1:7" x14ac:dyDescent="0.3">
      <c r="A1698">
        <v>4011</v>
      </c>
      <c r="B1698" t="s">
        <v>28</v>
      </c>
      <c r="C1698" s="7">
        <v>49</v>
      </c>
      <c r="D1698" s="1">
        <v>44876</v>
      </c>
      <c r="E1698" s="29">
        <v>3</v>
      </c>
      <c r="F1698" t="s">
        <v>4</v>
      </c>
      <c r="G1698" t="str">
        <f t="shared" si="26"/>
        <v>2022-11</v>
      </c>
    </row>
    <row r="1699" spans="1:7" x14ac:dyDescent="0.3">
      <c r="A1699">
        <v>4055</v>
      </c>
      <c r="B1699" t="s">
        <v>16</v>
      </c>
      <c r="C1699" s="7">
        <v>110</v>
      </c>
      <c r="D1699" s="1">
        <v>44973</v>
      </c>
      <c r="E1699" s="29">
        <v>2.4</v>
      </c>
      <c r="F1699" t="s">
        <v>4</v>
      </c>
      <c r="G1699" t="str">
        <f t="shared" si="26"/>
        <v>2023-02</v>
      </c>
    </row>
    <row r="1700" spans="1:7" x14ac:dyDescent="0.3">
      <c r="A1700">
        <v>4065</v>
      </c>
      <c r="B1700" t="s">
        <v>48</v>
      </c>
      <c r="C1700" s="7">
        <v>176</v>
      </c>
      <c r="D1700" s="1">
        <v>45016</v>
      </c>
      <c r="E1700" s="29">
        <v>4.4000000000000004</v>
      </c>
      <c r="F1700" t="s">
        <v>1</v>
      </c>
      <c r="G1700" t="str">
        <f t="shared" si="26"/>
        <v>2023-03</v>
      </c>
    </row>
    <row r="1701" spans="1:7" x14ac:dyDescent="0.3">
      <c r="A1701">
        <v>4109</v>
      </c>
      <c r="B1701" t="s">
        <v>32</v>
      </c>
      <c r="C1701" s="7">
        <v>26</v>
      </c>
      <c r="D1701" s="1">
        <v>45032</v>
      </c>
      <c r="E1701" s="29">
        <v>2.8</v>
      </c>
      <c r="F1701" t="s">
        <v>1</v>
      </c>
      <c r="G1701" t="str">
        <f t="shared" si="26"/>
        <v>2023-04</v>
      </c>
    </row>
    <row r="1702" spans="1:7" x14ac:dyDescent="0.3">
      <c r="A1702">
        <v>4022</v>
      </c>
      <c r="B1702" t="s">
        <v>21</v>
      </c>
      <c r="C1702" s="7">
        <v>121</v>
      </c>
      <c r="D1702" s="1">
        <v>44934</v>
      </c>
      <c r="E1702" s="29">
        <v>4.5999999999999996</v>
      </c>
      <c r="F1702" t="s">
        <v>4</v>
      </c>
      <c r="G1702" t="str">
        <f t="shared" si="26"/>
        <v>2023-01</v>
      </c>
    </row>
    <row r="1703" spans="1:7" x14ac:dyDescent="0.3">
      <c r="A1703">
        <v>3975</v>
      </c>
      <c r="B1703" t="s">
        <v>0</v>
      </c>
      <c r="C1703" s="7">
        <v>71</v>
      </c>
      <c r="D1703" s="1">
        <v>44966</v>
      </c>
      <c r="E1703" s="29">
        <v>1.6</v>
      </c>
      <c r="F1703" t="s">
        <v>4</v>
      </c>
      <c r="G1703" t="str">
        <f t="shared" si="26"/>
        <v>2023-02</v>
      </c>
    </row>
    <row r="1704" spans="1:7" x14ac:dyDescent="0.3">
      <c r="A1704">
        <v>3981</v>
      </c>
      <c r="B1704" t="s">
        <v>2</v>
      </c>
      <c r="C1704" s="7">
        <v>93.340909090909093</v>
      </c>
      <c r="D1704" s="1">
        <v>44854</v>
      </c>
      <c r="E1704" s="29">
        <v>4.8</v>
      </c>
      <c r="F1704" t="s">
        <v>1</v>
      </c>
      <c r="G1704" t="str">
        <f t="shared" si="26"/>
        <v>2022-10</v>
      </c>
    </row>
    <row r="1705" spans="1:7" x14ac:dyDescent="0.3">
      <c r="A1705">
        <v>4099</v>
      </c>
      <c r="B1705" t="s">
        <v>6</v>
      </c>
      <c r="C1705" s="7">
        <v>114.77966101694901</v>
      </c>
      <c r="D1705" s="1">
        <v>45145</v>
      </c>
      <c r="E1705" s="29">
        <v>2.8</v>
      </c>
      <c r="F1705" t="s">
        <v>4</v>
      </c>
      <c r="G1705" t="str">
        <f t="shared" si="26"/>
        <v>2023-08</v>
      </c>
    </row>
    <row r="1706" spans="1:7" x14ac:dyDescent="0.3">
      <c r="A1706">
        <v>3972</v>
      </c>
      <c r="B1706" t="s">
        <v>13</v>
      </c>
      <c r="C1706" s="7">
        <v>126</v>
      </c>
      <c r="D1706" s="1">
        <v>44873</v>
      </c>
      <c r="E1706" s="29">
        <v>3.8</v>
      </c>
      <c r="F1706" t="s">
        <v>1</v>
      </c>
      <c r="G1706" t="str">
        <f t="shared" si="26"/>
        <v>2022-11</v>
      </c>
    </row>
    <row r="1707" spans="1:7" x14ac:dyDescent="0.3">
      <c r="A1707">
        <v>3970</v>
      </c>
      <c r="B1707" t="s">
        <v>26</v>
      </c>
      <c r="C1707" s="7">
        <v>24</v>
      </c>
      <c r="D1707" s="1">
        <v>45121</v>
      </c>
      <c r="E1707" s="29">
        <v>2.88305084745762</v>
      </c>
      <c r="F1707" t="s">
        <v>4</v>
      </c>
      <c r="G1707" t="str">
        <f t="shared" si="26"/>
        <v>2023-07</v>
      </c>
    </row>
    <row r="1708" spans="1:7" x14ac:dyDescent="0.3">
      <c r="A1708">
        <v>4042</v>
      </c>
      <c r="B1708" t="s">
        <v>36</v>
      </c>
      <c r="C1708" s="7">
        <v>199</v>
      </c>
      <c r="D1708" s="1">
        <v>45017</v>
      </c>
      <c r="E1708" s="29">
        <v>3.8</v>
      </c>
      <c r="F1708" t="s">
        <v>4</v>
      </c>
      <c r="G1708" t="str">
        <f t="shared" si="26"/>
        <v>2023-04</v>
      </c>
    </row>
    <row r="1709" spans="1:7" x14ac:dyDescent="0.3">
      <c r="A1709">
        <v>4017</v>
      </c>
      <c r="B1709" t="s">
        <v>40</v>
      </c>
      <c r="C1709" s="7">
        <v>54</v>
      </c>
      <c r="D1709" s="1">
        <v>45096</v>
      </c>
      <c r="E1709" s="29">
        <v>1.4</v>
      </c>
      <c r="F1709" t="s">
        <v>4</v>
      </c>
      <c r="G1709" t="str">
        <f t="shared" si="26"/>
        <v>2023-06</v>
      </c>
    </row>
    <row r="1710" spans="1:7" x14ac:dyDescent="0.3">
      <c r="A1710">
        <v>4077</v>
      </c>
      <c r="B1710" t="s">
        <v>28</v>
      </c>
      <c r="C1710" s="7">
        <v>111.854838709677</v>
      </c>
      <c r="D1710" s="1">
        <v>44836</v>
      </c>
      <c r="E1710" s="29">
        <v>2.1</v>
      </c>
      <c r="F1710" t="s">
        <v>4</v>
      </c>
      <c r="G1710" t="str">
        <f t="shared" si="26"/>
        <v>2022-10</v>
      </c>
    </row>
    <row r="1711" spans="1:7" x14ac:dyDescent="0.3">
      <c r="A1711">
        <v>4047</v>
      </c>
      <c r="B1711" t="s">
        <v>44</v>
      </c>
      <c r="C1711" s="7">
        <v>189</v>
      </c>
      <c r="D1711" s="1">
        <v>45012</v>
      </c>
      <c r="E1711" s="29">
        <v>2.7</v>
      </c>
      <c r="F1711" t="s">
        <v>1</v>
      </c>
      <c r="G1711" t="str">
        <f t="shared" si="26"/>
        <v>2023-03</v>
      </c>
    </row>
    <row r="1712" spans="1:7" x14ac:dyDescent="0.3">
      <c r="A1712">
        <v>4112</v>
      </c>
      <c r="B1712" t="s">
        <v>37</v>
      </c>
      <c r="C1712" s="7">
        <v>97.720588235294102</v>
      </c>
      <c r="D1712" s="1">
        <v>45013</v>
      </c>
      <c r="E1712" s="29">
        <v>3.0156626506023998</v>
      </c>
      <c r="F1712" t="s">
        <v>1</v>
      </c>
      <c r="G1712" t="str">
        <f t="shared" si="26"/>
        <v>2023-03</v>
      </c>
    </row>
    <row r="1713" spans="1:7" x14ac:dyDescent="0.3">
      <c r="A1713">
        <v>4110</v>
      </c>
      <c r="B1713" t="s">
        <v>23</v>
      </c>
      <c r="C1713" s="7">
        <v>98</v>
      </c>
      <c r="D1713" s="1">
        <v>45114</v>
      </c>
      <c r="E1713" s="29">
        <v>4.8</v>
      </c>
      <c r="F1713" t="s">
        <v>4</v>
      </c>
      <c r="G1713" t="str">
        <f t="shared" si="26"/>
        <v>2023-07</v>
      </c>
    </row>
    <row r="1714" spans="1:7" x14ac:dyDescent="0.3">
      <c r="A1714">
        <v>3968</v>
      </c>
      <c r="B1714" t="s">
        <v>38</v>
      </c>
      <c r="C1714" s="7">
        <v>194</v>
      </c>
      <c r="D1714" s="1">
        <v>44876</v>
      </c>
      <c r="E1714" s="29">
        <v>2.6</v>
      </c>
      <c r="F1714" t="s">
        <v>1</v>
      </c>
      <c r="G1714" t="str">
        <f t="shared" si="26"/>
        <v>2022-11</v>
      </c>
    </row>
    <row r="1715" spans="1:7" x14ac:dyDescent="0.3">
      <c r="A1715">
        <v>3958</v>
      </c>
      <c r="B1715" t="s">
        <v>35</v>
      </c>
      <c r="C1715" s="7">
        <v>105</v>
      </c>
      <c r="D1715" s="1">
        <v>44884</v>
      </c>
      <c r="E1715" s="29">
        <v>4.5999999999999996</v>
      </c>
      <c r="F1715" t="s">
        <v>1</v>
      </c>
      <c r="G1715" t="str">
        <f t="shared" si="26"/>
        <v>2022-11</v>
      </c>
    </row>
    <row r="1716" spans="1:7" x14ac:dyDescent="0.3">
      <c r="A1716">
        <v>4021</v>
      </c>
      <c r="B1716" t="s">
        <v>47</v>
      </c>
      <c r="C1716" s="7">
        <v>106.297872340425</v>
      </c>
      <c r="D1716" s="1">
        <v>45000</v>
      </c>
      <c r="E1716" s="29">
        <v>1.5</v>
      </c>
      <c r="F1716" t="s">
        <v>4</v>
      </c>
      <c r="G1716" t="str">
        <f t="shared" si="26"/>
        <v>2023-03</v>
      </c>
    </row>
    <row r="1717" spans="1:7" x14ac:dyDescent="0.3">
      <c r="A1717">
        <v>4086</v>
      </c>
      <c r="B1717" t="s">
        <v>46</v>
      </c>
      <c r="C1717" s="7">
        <v>78</v>
      </c>
      <c r="D1717" s="1">
        <v>45067</v>
      </c>
      <c r="E1717" s="29">
        <v>3.3</v>
      </c>
      <c r="F1717" t="s">
        <v>1</v>
      </c>
      <c r="G1717" t="str">
        <f t="shared" si="26"/>
        <v>2023-05</v>
      </c>
    </row>
    <row r="1718" spans="1:7" x14ac:dyDescent="0.3">
      <c r="A1718">
        <v>4115</v>
      </c>
      <c r="B1718" t="s">
        <v>41</v>
      </c>
      <c r="C1718" s="7">
        <v>40</v>
      </c>
      <c r="D1718" s="1">
        <v>44969</v>
      </c>
      <c r="E1718" s="29">
        <v>2.8</v>
      </c>
      <c r="F1718" t="s">
        <v>4</v>
      </c>
      <c r="G1718" t="str">
        <f t="shared" si="26"/>
        <v>2023-02</v>
      </c>
    </row>
    <row r="1719" spans="1:7" x14ac:dyDescent="0.3">
      <c r="A1719">
        <v>4054</v>
      </c>
      <c r="B1719" t="s">
        <v>36</v>
      </c>
      <c r="C1719" s="7">
        <v>17</v>
      </c>
      <c r="D1719" s="1">
        <v>44974</v>
      </c>
      <c r="E1719" s="29">
        <v>2.5</v>
      </c>
      <c r="F1719" t="s">
        <v>4</v>
      </c>
      <c r="G1719" t="str">
        <f t="shared" si="26"/>
        <v>2023-02</v>
      </c>
    </row>
    <row r="1720" spans="1:7" x14ac:dyDescent="0.3">
      <c r="A1720">
        <v>4034</v>
      </c>
      <c r="B1720" t="s">
        <v>39</v>
      </c>
      <c r="C1720" s="7">
        <v>119</v>
      </c>
      <c r="D1720" s="1">
        <v>45153</v>
      </c>
      <c r="E1720" s="29">
        <v>1.3</v>
      </c>
      <c r="F1720" t="s">
        <v>1</v>
      </c>
      <c r="G1720" t="str">
        <f t="shared" si="26"/>
        <v>2023-08</v>
      </c>
    </row>
    <row r="1721" spans="1:7" x14ac:dyDescent="0.3">
      <c r="A1721">
        <v>4058</v>
      </c>
      <c r="B1721" t="s">
        <v>47</v>
      </c>
      <c r="C1721" s="7">
        <v>26</v>
      </c>
      <c r="D1721" s="1">
        <v>45036</v>
      </c>
      <c r="E1721" s="29">
        <v>1.7</v>
      </c>
      <c r="F1721" t="s">
        <v>1</v>
      </c>
      <c r="G1721" t="str">
        <f t="shared" si="26"/>
        <v>2023-04</v>
      </c>
    </row>
    <row r="1722" spans="1:7" x14ac:dyDescent="0.3">
      <c r="A1722">
        <v>4051</v>
      </c>
      <c r="B1722" t="s">
        <v>18</v>
      </c>
      <c r="C1722" s="7">
        <v>157</v>
      </c>
      <c r="D1722" s="1">
        <v>45178</v>
      </c>
      <c r="E1722" s="29">
        <v>3.2</v>
      </c>
      <c r="F1722" t="s">
        <v>1</v>
      </c>
      <c r="G1722" t="str">
        <f t="shared" si="26"/>
        <v>2023-09</v>
      </c>
    </row>
    <row r="1723" spans="1:7" x14ac:dyDescent="0.3">
      <c r="A1723">
        <v>3990</v>
      </c>
      <c r="B1723" t="s">
        <v>37</v>
      </c>
      <c r="C1723" s="7">
        <v>137</v>
      </c>
      <c r="D1723" s="1">
        <v>45023</v>
      </c>
      <c r="E1723" s="29">
        <v>1.6</v>
      </c>
      <c r="F1723" t="s">
        <v>1</v>
      </c>
      <c r="G1723" t="str">
        <f t="shared" si="26"/>
        <v>2023-04</v>
      </c>
    </row>
    <row r="1724" spans="1:7" x14ac:dyDescent="0.3">
      <c r="A1724">
        <v>4100</v>
      </c>
      <c r="B1724" t="s">
        <v>40</v>
      </c>
      <c r="C1724" s="7">
        <v>102</v>
      </c>
      <c r="D1724" s="1">
        <v>44963</v>
      </c>
      <c r="E1724" s="29">
        <v>3.8</v>
      </c>
      <c r="F1724" t="s">
        <v>4</v>
      </c>
      <c r="G1724" t="str">
        <f t="shared" si="26"/>
        <v>2023-02</v>
      </c>
    </row>
    <row r="1725" spans="1:7" x14ac:dyDescent="0.3">
      <c r="A1725">
        <v>3967</v>
      </c>
      <c r="B1725" t="s">
        <v>11</v>
      </c>
      <c r="C1725" s="7">
        <v>109.08474576271099</v>
      </c>
      <c r="D1725" s="1">
        <v>45144</v>
      </c>
      <c r="E1725" s="29">
        <v>3.0693548387096699</v>
      </c>
      <c r="F1725" t="s">
        <v>1</v>
      </c>
      <c r="G1725" t="str">
        <f t="shared" si="26"/>
        <v>2023-08</v>
      </c>
    </row>
    <row r="1726" spans="1:7" x14ac:dyDescent="0.3">
      <c r="A1726">
        <v>4105</v>
      </c>
      <c r="B1726" t="s">
        <v>33</v>
      </c>
      <c r="C1726" s="7">
        <v>52</v>
      </c>
      <c r="D1726" s="1">
        <v>45177</v>
      </c>
      <c r="E1726" s="29">
        <v>2.96470588235294</v>
      </c>
      <c r="F1726" t="s">
        <v>1</v>
      </c>
      <c r="G1726" t="str">
        <f t="shared" si="26"/>
        <v>2023-09</v>
      </c>
    </row>
    <row r="1727" spans="1:7" x14ac:dyDescent="0.3">
      <c r="A1727">
        <v>4002</v>
      </c>
      <c r="B1727" t="s">
        <v>14</v>
      </c>
      <c r="C1727" s="7">
        <v>75</v>
      </c>
      <c r="D1727" s="1">
        <v>44895</v>
      </c>
      <c r="E1727" s="29">
        <v>1.5</v>
      </c>
      <c r="F1727" t="s">
        <v>4</v>
      </c>
      <c r="G1727" t="str">
        <f t="shared" si="26"/>
        <v>2022-11</v>
      </c>
    </row>
    <row r="1728" spans="1:7" x14ac:dyDescent="0.3">
      <c r="A1728">
        <v>4023</v>
      </c>
      <c r="B1728" t="s">
        <v>25</v>
      </c>
      <c r="C1728" s="7">
        <v>156</v>
      </c>
      <c r="D1728" s="1">
        <v>45039</v>
      </c>
      <c r="E1728" s="29">
        <v>3.3</v>
      </c>
      <c r="F1728" t="s">
        <v>1</v>
      </c>
      <c r="G1728" t="str">
        <f t="shared" si="26"/>
        <v>2023-04</v>
      </c>
    </row>
    <row r="1729" spans="1:7" x14ac:dyDescent="0.3">
      <c r="A1729">
        <v>4000</v>
      </c>
      <c r="B1729" t="s">
        <v>10</v>
      </c>
      <c r="C1729" s="7">
        <v>39</v>
      </c>
      <c r="D1729" s="1">
        <v>44860</v>
      </c>
      <c r="E1729" s="29">
        <v>2.91904761904761</v>
      </c>
      <c r="F1729" t="s">
        <v>1</v>
      </c>
      <c r="G1729" t="str">
        <f t="shared" si="26"/>
        <v>2022-10</v>
      </c>
    </row>
    <row r="1730" spans="1:7" x14ac:dyDescent="0.3">
      <c r="A1730">
        <v>4085</v>
      </c>
      <c r="B1730" t="s">
        <v>8</v>
      </c>
      <c r="C1730" s="7">
        <v>140</v>
      </c>
      <c r="D1730" s="1">
        <v>45167</v>
      </c>
      <c r="E1730" s="29">
        <v>1.5</v>
      </c>
      <c r="F1730" t="s">
        <v>4</v>
      </c>
      <c r="G1730" t="str">
        <f t="shared" si="26"/>
        <v>2023-08</v>
      </c>
    </row>
    <row r="1731" spans="1:7" x14ac:dyDescent="0.3">
      <c r="A1731">
        <v>4083</v>
      </c>
      <c r="B1731" t="s">
        <v>19</v>
      </c>
      <c r="C1731" s="7">
        <v>117.172413793103</v>
      </c>
      <c r="D1731" s="1">
        <v>45087</v>
      </c>
      <c r="E1731" s="29">
        <v>4.4000000000000004</v>
      </c>
      <c r="F1731" t="s">
        <v>4</v>
      </c>
      <c r="G1731" t="str">
        <f t="shared" ref="G1731:G1794" si="27">TEXT(D1731,"ГГГГ-ММ")</f>
        <v>2023-06</v>
      </c>
    </row>
    <row r="1732" spans="1:7" x14ac:dyDescent="0.3">
      <c r="A1732">
        <v>4043</v>
      </c>
      <c r="B1732" t="s">
        <v>44</v>
      </c>
      <c r="C1732" s="7">
        <v>13</v>
      </c>
      <c r="D1732" s="1">
        <v>45078</v>
      </c>
      <c r="E1732" s="29">
        <v>1.8</v>
      </c>
      <c r="F1732" t="s">
        <v>1</v>
      </c>
      <c r="G1732" t="str">
        <f t="shared" si="27"/>
        <v>2023-06</v>
      </c>
    </row>
    <row r="1733" spans="1:7" x14ac:dyDescent="0.3">
      <c r="A1733">
        <v>4076</v>
      </c>
      <c r="B1733" t="s">
        <v>45</v>
      </c>
      <c r="C1733" s="7">
        <v>130</v>
      </c>
      <c r="D1733" s="1">
        <v>44837</v>
      </c>
      <c r="E1733" s="29">
        <v>2.9</v>
      </c>
      <c r="F1733" t="s">
        <v>1</v>
      </c>
      <c r="G1733" t="str">
        <f t="shared" si="27"/>
        <v>2022-10</v>
      </c>
    </row>
    <row r="1734" spans="1:7" x14ac:dyDescent="0.3">
      <c r="A1734">
        <v>3990</v>
      </c>
      <c r="B1734" t="s">
        <v>21</v>
      </c>
      <c r="C1734" s="7">
        <v>48</v>
      </c>
      <c r="D1734" s="1">
        <v>44861</v>
      </c>
      <c r="E1734" s="29">
        <v>3.02830188679245</v>
      </c>
      <c r="F1734" t="s">
        <v>1</v>
      </c>
      <c r="G1734" t="str">
        <f t="shared" si="27"/>
        <v>2022-10</v>
      </c>
    </row>
    <row r="1735" spans="1:7" x14ac:dyDescent="0.3">
      <c r="A1735">
        <v>3979</v>
      </c>
      <c r="B1735" t="s">
        <v>18</v>
      </c>
      <c r="C1735" s="7">
        <v>102.74</v>
      </c>
      <c r="D1735" s="1">
        <v>44981</v>
      </c>
      <c r="E1735" s="29">
        <v>3.5</v>
      </c>
      <c r="F1735" t="s">
        <v>4</v>
      </c>
      <c r="G1735" t="str">
        <f t="shared" si="27"/>
        <v>2023-02</v>
      </c>
    </row>
    <row r="1736" spans="1:7" x14ac:dyDescent="0.3">
      <c r="A1736">
        <v>4038</v>
      </c>
      <c r="B1736" t="s">
        <v>44</v>
      </c>
      <c r="C1736" s="7">
        <v>19</v>
      </c>
      <c r="D1736" s="1">
        <v>44841</v>
      </c>
      <c r="E1736" s="29">
        <v>4.2</v>
      </c>
      <c r="F1736" t="s">
        <v>4</v>
      </c>
      <c r="G1736" t="str">
        <f t="shared" si="27"/>
        <v>2022-10</v>
      </c>
    </row>
    <row r="1737" spans="1:7" x14ac:dyDescent="0.3">
      <c r="A1737">
        <v>4092</v>
      </c>
      <c r="B1737" t="s">
        <v>26</v>
      </c>
      <c r="C1737" s="7">
        <v>192</v>
      </c>
      <c r="D1737" s="1">
        <v>45136</v>
      </c>
      <c r="E1737" s="29">
        <v>1.5</v>
      </c>
      <c r="F1737" t="s">
        <v>4</v>
      </c>
      <c r="G1737" t="str">
        <f t="shared" si="27"/>
        <v>2023-07</v>
      </c>
    </row>
    <row r="1738" spans="1:7" x14ac:dyDescent="0.3">
      <c r="A1738">
        <v>4067</v>
      </c>
      <c r="B1738" t="s">
        <v>8</v>
      </c>
      <c r="C1738" s="7">
        <v>117</v>
      </c>
      <c r="D1738" s="1">
        <v>44961</v>
      </c>
      <c r="E1738" s="29">
        <v>4.4000000000000004</v>
      </c>
      <c r="F1738" t="s">
        <v>1</v>
      </c>
      <c r="G1738" t="str">
        <f t="shared" si="27"/>
        <v>2023-02</v>
      </c>
    </row>
    <row r="1739" spans="1:7" x14ac:dyDescent="0.3">
      <c r="A1739">
        <v>3993</v>
      </c>
      <c r="B1739" t="s">
        <v>35</v>
      </c>
      <c r="C1739" s="7">
        <v>73</v>
      </c>
      <c r="D1739" s="1">
        <v>44842</v>
      </c>
      <c r="E1739" s="29">
        <v>3.4933333333333301</v>
      </c>
      <c r="F1739" t="s">
        <v>4</v>
      </c>
      <c r="G1739" t="str">
        <f t="shared" si="27"/>
        <v>2022-10</v>
      </c>
    </row>
    <row r="1740" spans="1:7" x14ac:dyDescent="0.3">
      <c r="A1740">
        <v>4023</v>
      </c>
      <c r="B1740" t="s">
        <v>6</v>
      </c>
      <c r="C1740" s="7">
        <v>194</v>
      </c>
      <c r="D1740" s="1">
        <v>44995</v>
      </c>
      <c r="E1740" s="29">
        <v>4.9000000000000004</v>
      </c>
      <c r="F1740" t="s">
        <v>1</v>
      </c>
      <c r="G1740" t="str">
        <f t="shared" si="27"/>
        <v>2023-03</v>
      </c>
    </row>
    <row r="1741" spans="1:7" x14ac:dyDescent="0.3">
      <c r="A1741">
        <v>3986</v>
      </c>
      <c r="B1741" t="s">
        <v>29</v>
      </c>
      <c r="C1741" s="7">
        <v>29</v>
      </c>
      <c r="D1741" s="1">
        <v>44999</v>
      </c>
      <c r="E1741" s="29">
        <v>2</v>
      </c>
      <c r="F1741" t="s">
        <v>4</v>
      </c>
      <c r="G1741" t="str">
        <f t="shared" si="27"/>
        <v>2023-03</v>
      </c>
    </row>
    <row r="1742" spans="1:7" x14ac:dyDescent="0.3">
      <c r="A1742">
        <v>4037</v>
      </c>
      <c r="B1742" t="s">
        <v>24</v>
      </c>
      <c r="C1742" s="7">
        <v>40</v>
      </c>
      <c r="D1742" s="1">
        <v>44995</v>
      </c>
      <c r="E1742" s="29">
        <v>4.4000000000000004</v>
      </c>
      <c r="F1742" t="s">
        <v>1</v>
      </c>
      <c r="G1742" t="str">
        <f t="shared" si="27"/>
        <v>2023-03</v>
      </c>
    </row>
    <row r="1743" spans="1:7" x14ac:dyDescent="0.3">
      <c r="A1743">
        <v>3968</v>
      </c>
      <c r="B1743" t="s">
        <v>38</v>
      </c>
      <c r="C1743" s="7">
        <v>23</v>
      </c>
      <c r="D1743" s="1">
        <v>44896</v>
      </c>
      <c r="E1743" s="29">
        <v>1.9</v>
      </c>
      <c r="F1743" t="s">
        <v>4</v>
      </c>
      <c r="G1743" t="str">
        <f t="shared" si="27"/>
        <v>2022-12</v>
      </c>
    </row>
    <row r="1744" spans="1:7" x14ac:dyDescent="0.3">
      <c r="A1744">
        <v>3989</v>
      </c>
      <c r="B1744" t="s">
        <v>42</v>
      </c>
      <c r="C1744" s="7">
        <v>114.396551724137</v>
      </c>
      <c r="D1744" s="1">
        <v>45112</v>
      </c>
      <c r="E1744" s="29">
        <v>1.2</v>
      </c>
      <c r="F1744" t="s">
        <v>1</v>
      </c>
      <c r="G1744" t="str">
        <f t="shared" si="27"/>
        <v>2023-07</v>
      </c>
    </row>
    <row r="1745" spans="1:7" x14ac:dyDescent="0.3">
      <c r="A1745">
        <v>4084</v>
      </c>
      <c r="B1745" t="s">
        <v>12</v>
      </c>
      <c r="C1745" s="7">
        <v>21</v>
      </c>
      <c r="D1745" s="1">
        <v>44977</v>
      </c>
      <c r="E1745" s="29">
        <v>4.5</v>
      </c>
      <c r="F1745" t="s">
        <v>4</v>
      </c>
      <c r="G1745" t="str">
        <f t="shared" si="27"/>
        <v>2023-02</v>
      </c>
    </row>
    <row r="1746" spans="1:7" x14ac:dyDescent="0.3">
      <c r="A1746">
        <v>4028</v>
      </c>
      <c r="B1746" t="s">
        <v>0</v>
      </c>
      <c r="C1746" s="7">
        <v>27</v>
      </c>
      <c r="D1746" s="1">
        <v>44845</v>
      </c>
      <c r="E1746" s="29">
        <v>1.1000000000000001</v>
      </c>
      <c r="F1746" t="s">
        <v>1</v>
      </c>
      <c r="G1746" t="str">
        <f t="shared" si="27"/>
        <v>2022-10</v>
      </c>
    </row>
    <row r="1747" spans="1:7" x14ac:dyDescent="0.3">
      <c r="A1747">
        <v>4049</v>
      </c>
      <c r="B1747" t="s">
        <v>0</v>
      </c>
      <c r="C1747" s="7">
        <v>82</v>
      </c>
      <c r="D1747" s="1">
        <v>44963</v>
      </c>
      <c r="E1747" s="29">
        <v>4.7</v>
      </c>
      <c r="F1747" t="s">
        <v>1</v>
      </c>
      <c r="G1747" t="str">
        <f t="shared" si="27"/>
        <v>2023-02</v>
      </c>
    </row>
    <row r="1748" spans="1:7" x14ac:dyDescent="0.3">
      <c r="A1748">
        <v>4067</v>
      </c>
      <c r="B1748" t="s">
        <v>44</v>
      </c>
      <c r="C1748" s="7">
        <v>89</v>
      </c>
      <c r="D1748" s="1">
        <v>45145</v>
      </c>
      <c r="E1748" s="29">
        <v>3.4</v>
      </c>
      <c r="F1748" t="s">
        <v>4</v>
      </c>
      <c r="G1748" t="str">
        <f t="shared" si="27"/>
        <v>2023-08</v>
      </c>
    </row>
    <row r="1749" spans="1:7" x14ac:dyDescent="0.3">
      <c r="A1749">
        <v>4029</v>
      </c>
      <c r="B1749" t="s">
        <v>25</v>
      </c>
      <c r="C1749" s="7">
        <v>151</v>
      </c>
      <c r="D1749" s="1">
        <v>45200</v>
      </c>
      <c r="E1749" s="29">
        <v>4</v>
      </c>
      <c r="F1749" t="s">
        <v>4</v>
      </c>
      <c r="G1749" t="str">
        <f t="shared" si="27"/>
        <v>2023-10</v>
      </c>
    </row>
    <row r="1750" spans="1:7" x14ac:dyDescent="0.3">
      <c r="A1750">
        <v>4024</v>
      </c>
      <c r="B1750" t="s">
        <v>40</v>
      </c>
      <c r="C1750" s="7">
        <v>104</v>
      </c>
      <c r="D1750" s="1">
        <v>45115</v>
      </c>
      <c r="E1750" s="29">
        <v>3.5</v>
      </c>
      <c r="F1750" t="s">
        <v>1</v>
      </c>
      <c r="G1750" t="str">
        <f t="shared" si="27"/>
        <v>2023-07</v>
      </c>
    </row>
    <row r="1751" spans="1:7" x14ac:dyDescent="0.3">
      <c r="A1751">
        <v>4113</v>
      </c>
      <c r="B1751" t="s">
        <v>21</v>
      </c>
      <c r="C1751" s="7">
        <v>154</v>
      </c>
      <c r="D1751" s="1">
        <v>44912</v>
      </c>
      <c r="E1751" s="29">
        <v>4.5999999999999996</v>
      </c>
      <c r="F1751" t="s">
        <v>4</v>
      </c>
      <c r="G1751" t="str">
        <f t="shared" si="27"/>
        <v>2022-12</v>
      </c>
    </row>
    <row r="1752" spans="1:7" x14ac:dyDescent="0.3">
      <c r="A1752">
        <v>4024</v>
      </c>
      <c r="B1752" t="s">
        <v>43</v>
      </c>
      <c r="C1752" s="7">
        <v>199</v>
      </c>
      <c r="D1752" s="1">
        <v>44927</v>
      </c>
      <c r="E1752" s="29">
        <v>4</v>
      </c>
      <c r="F1752" t="s">
        <v>4</v>
      </c>
      <c r="G1752" t="str">
        <f t="shared" si="27"/>
        <v>2023-01</v>
      </c>
    </row>
    <row r="1753" spans="1:7" x14ac:dyDescent="0.3">
      <c r="A1753">
        <v>4089</v>
      </c>
      <c r="B1753" t="s">
        <v>0</v>
      </c>
      <c r="C1753" s="7">
        <v>128</v>
      </c>
      <c r="D1753" s="1">
        <v>44877</v>
      </c>
      <c r="E1753" s="29">
        <v>3.4</v>
      </c>
      <c r="F1753" t="s">
        <v>1</v>
      </c>
      <c r="G1753" t="str">
        <f t="shared" si="27"/>
        <v>2022-11</v>
      </c>
    </row>
    <row r="1754" spans="1:7" x14ac:dyDescent="0.3">
      <c r="A1754">
        <v>4037</v>
      </c>
      <c r="B1754" t="s">
        <v>37</v>
      </c>
      <c r="C1754" s="7">
        <v>136</v>
      </c>
      <c r="D1754" s="1">
        <v>45112</v>
      </c>
      <c r="E1754" s="29">
        <v>4.0999999999999996</v>
      </c>
      <c r="F1754" t="s">
        <v>4</v>
      </c>
      <c r="G1754" t="str">
        <f t="shared" si="27"/>
        <v>2023-07</v>
      </c>
    </row>
    <row r="1755" spans="1:7" x14ac:dyDescent="0.3">
      <c r="A1755">
        <v>4068</v>
      </c>
      <c r="B1755" t="s">
        <v>31</v>
      </c>
      <c r="C1755" s="7">
        <v>60</v>
      </c>
      <c r="D1755" s="1">
        <v>44848</v>
      </c>
      <c r="E1755" s="29">
        <v>1.1000000000000001</v>
      </c>
      <c r="F1755" t="s">
        <v>1</v>
      </c>
      <c r="G1755" t="str">
        <f t="shared" si="27"/>
        <v>2022-10</v>
      </c>
    </row>
    <row r="1756" spans="1:7" x14ac:dyDescent="0.3">
      <c r="A1756">
        <v>3999</v>
      </c>
      <c r="B1756" t="s">
        <v>11</v>
      </c>
      <c r="C1756" s="7">
        <v>149</v>
      </c>
      <c r="D1756" s="1">
        <v>45184</v>
      </c>
      <c r="E1756" s="29">
        <v>3.0693548387096699</v>
      </c>
      <c r="F1756" t="s">
        <v>1</v>
      </c>
      <c r="G1756" t="str">
        <f t="shared" si="27"/>
        <v>2023-09</v>
      </c>
    </row>
    <row r="1757" spans="1:7" x14ac:dyDescent="0.3">
      <c r="A1757">
        <v>4037</v>
      </c>
      <c r="B1757" t="s">
        <v>51</v>
      </c>
      <c r="C1757" s="7">
        <v>72</v>
      </c>
      <c r="D1757" s="1">
        <v>44943</v>
      </c>
      <c r="E1757" s="29">
        <v>3.19629629629629</v>
      </c>
      <c r="F1757" t="s">
        <v>1</v>
      </c>
      <c r="G1757" t="str">
        <f t="shared" si="27"/>
        <v>2023-01</v>
      </c>
    </row>
    <row r="1758" spans="1:7" x14ac:dyDescent="0.3">
      <c r="A1758">
        <v>4082</v>
      </c>
      <c r="B1758" t="s">
        <v>51</v>
      </c>
      <c r="C1758" s="7">
        <v>105.1</v>
      </c>
      <c r="D1758" s="1">
        <v>45137</v>
      </c>
      <c r="E1758" s="29">
        <v>1.6</v>
      </c>
      <c r="F1758" t="s">
        <v>1</v>
      </c>
      <c r="G1758" t="str">
        <f t="shared" si="27"/>
        <v>2023-07</v>
      </c>
    </row>
    <row r="1759" spans="1:7" x14ac:dyDescent="0.3">
      <c r="A1759">
        <v>3995</v>
      </c>
      <c r="B1759" t="s">
        <v>29</v>
      </c>
      <c r="C1759" s="7">
        <v>16</v>
      </c>
      <c r="D1759" s="1">
        <v>45031</v>
      </c>
      <c r="E1759" s="29">
        <v>2.5</v>
      </c>
      <c r="F1759" t="s">
        <v>1</v>
      </c>
      <c r="G1759" t="str">
        <f t="shared" si="27"/>
        <v>2023-04</v>
      </c>
    </row>
    <row r="1760" spans="1:7" x14ac:dyDescent="0.3">
      <c r="A1760">
        <v>4099</v>
      </c>
      <c r="B1760" t="s">
        <v>43</v>
      </c>
      <c r="C1760" s="7">
        <v>98</v>
      </c>
      <c r="D1760" s="1">
        <v>45037</v>
      </c>
      <c r="E1760" s="29">
        <v>2.9</v>
      </c>
      <c r="F1760" t="s">
        <v>1</v>
      </c>
      <c r="G1760" t="str">
        <f t="shared" si="27"/>
        <v>2023-04</v>
      </c>
    </row>
    <row r="1761" spans="1:7" x14ac:dyDescent="0.3">
      <c r="A1761">
        <v>4119</v>
      </c>
      <c r="B1761" t="s">
        <v>6</v>
      </c>
      <c r="C1761" s="7">
        <v>187</v>
      </c>
      <c r="D1761" s="1">
        <v>44918</v>
      </c>
      <c r="E1761" s="29">
        <v>4.7</v>
      </c>
      <c r="F1761" t="s">
        <v>1</v>
      </c>
      <c r="G1761" t="str">
        <f t="shared" si="27"/>
        <v>2022-12</v>
      </c>
    </row>
    <row r="1762" spans="1:7" x14ac:dyDescent="0.3">
      <c r="A1762">
        <v>4069</v>
      </c>
      <c r="B1762" t="s">
        <v>49</v>
      </c>
      <c r="C1762" s="7">
        <v>95</v>
      </c>
      <c r="D1762" s="1">
        <v>44856</v>
      </c>
      <c r="E1762" s="29">
        <v>3.1</v>
      </c>
      <c r="F1762" t="s">
        <v>4</v>
      </c>
      <c r="G1762" t="str">
        <f t="shared" si="27"/>
        <v>2022-10</v>
      </c>
    </row>
    <row r="1763" spans="1:7" x14ac:dyDescent="0.3">
      <c r="A1763">
        <v>3970</v>
      </c>
      <c r="B1763" t="s">
        <v>9</v>
      </c>
      <c r="C1763" s="7">
        <v>103.564102564102</v>
      </c>
      <c r="D1763" s="1">
        <v>44958</v>
      </c>
      <c r="E1763" s="29">
        <v>2.2000000000000002</v>
      </c>
      <c r="F1763" t="s">
        <v>1</v>
      </c>
      <c r="G1763" t="str">
        <f t="shared" si="27"/>
        <v>2023-02</v>
      </c>
    </row>
    <row r="1764" spans="1:7" x14ac:dyDescent="0.3">
      <c r="A1764">
        <v>4005</v>
      </c>
      <c r="B1764" t="s">
        <v>17</v>
      </c>
      <c r="C1764" s="7">
        <v>198</v>
      </c>
      <c r="D1764" s="1">
        <v>45099</v>
      </c>
      <c r="E1764" s="29">
        <v>3</v>
      </c>
      <c r="F1764" t="s">
        <v>1</v>
      </c>
      <c r="G1764" t="str">
        <f t="shared" si="27"/>
        <v>2023-06</v>
      </c>
    </row>
    <row r="1765" spans="1:7" x14ac:dyDescent="0.3">
      <c r="A1765">
        <v>3995</v>
      </c>
      <c r="B1765" t="s">
        <v>3</v>
      </c>
      <c r="C1765" s="7">
        <v>36</v>
      </c>
      <c r="D1765" s="1">
        <v>45026</v>
      </c>
      <c r="E1765" s="29">
        <v>4.5</v>
      </c>
      <c r="F1765" t="s">
        <v>1</v>
      </c>
      <c r="G1765" t="str">
        <f t="shared" si="27"/>
        <v>2023-04</v>
      </c>
    </row>
    <row r="1766" spans="1:7" x14ac:dyDescent="0.3">
      <c r="A1766">
        <v>3970</v>
      </c>
      <c r="B1766" t="s">
        <v>16</v>
      </c>
      <c r="C1766" s="7">
        <v>70</v>
      </c>
      <c r="D1766" s="1">
        <v>45114</v>
      </c>
      <c r="E1766" s="29">
        <v>3.8</v>
      </c>
      <c r="F1766" t="s">
        <v>1</v>
      </c>
      <c r="G1766" t="str">
        <f t="shared" si="27"/>
        <v>2023-07</v>
      </c>
    </row>
    <row r="1767" spans="1:7" x14ac:dyDescent="0.3">
      <c r="A1767">
        <v>4015</v>
      </c>
      <c r="B1767" t="s">
        <v>40</v>
      </c>
      <c r="C1767" s="7">
        <v>25</v>
      </c>
      <c r="D1767" s="1">
        <v>45119</v>
      </c>
      <c r="E1767" s="29">
        <v>3.4</v>
      </c>
      <c r="F1767" t="s">
        <v>1</v>
      </c>
      <c r="G1767" t="str">
        <f t="shared" si="27"/>
        <v>2023-07</v>
      </c>
    </row>
    <row r="1768" spans="1:7" x14ac:dyDescent="0.3">
      <c r="A1768">
        <v>4003</v>
      </c>
      <c r="B1768" t="s">
        <v>20</v>
      </c>
      <c r="C1768" s="7">
        <v>46</v>
      </c>
      <c r="D1768" s="1">
        <v>45040</v>
      </c>
      <c r="E1768" s="29">
        <v>3.3</v>
      </c>
      <c r="F1768" t="s">
        <v>1</v>
      </c>
      <c r="G1768" t="str">
        <f t="shared" si="27"/>
        <v>2023-04</v>
      </c>
    </row>
    <row r="1769" spans="1:7" x14ac:dyDescent="0.3">
      <c r="A1769">
        <v>3966</v>
      </c>
      <c r="B1769" t="s">
        <v>51</v>
      </c>
      <c r="C1769" s="7">
        <v>33</v>
      </c>
      <c r="D1769" s="1">
        <v>45186</v>
      </c>
      <c r="E1769" s="29">
        <v>1.4</v>
      </c>
      <c r="F1769" t="s">
        <v>1</v>
      </c>
      <c r="G1769" t="str">
        <f t="shared" si="27"/>
        <v>2023-09</v>
      </c>
    </row>
    <row r="1770" spans="1:7" x14ac:dyDescent="0.3">
      <c r="A1770">
        <v>4077</v>
      </c>
      <c r="B1770" t="s">
        <v>29</v>
      </c>
      <c r="C1770" s="7">
        <v>108.734693877551</v>
      </c>
      <c r="D1770" s="1">
        <v>44978</v>
      </c>
      <c r="E1770" s="29">
        <v>2.4</v>
      </c>
      <c r="F1770" t="s">
        <v>1</v>
      </c>
      <c r="G1770" t="str">
        <f t="shared" si="27"/>
        <v>2023-02</v>
      </c>
    </row>
    <row r="1771" spans="1:7" x14ac:dyDescent="0.3">
      <c r="A1771">
        <v>4023</v>
      </c>
      <c r="B1771" t="s">
        <v>19</v>
      </c>
      <c r="C1771" s="7">
        <v>143</v>
      </c>
      <c r="D1771" s="1">
        <v>45157</v>
      </c>
      <c r="E1771" s="29">
        <v>3.5</v>
      </c>
      <c r="F1771" t="s">
        <v>1</v>
      </c>
      <c r="G1771" t="str">
        <f t="shared" si="27"/>
        <v>2023-08</v>
      </c>
    </row>
    <row r="1772" spans="1:7" x14ac:dyDescent="0.3">
      <c r="A1772">
        <v>3998</v>
      </c>
      <c r="B1772" t="s">
        <v>6</v>
      </c>
      <c r="C1772" s="7">
        <v>105</v>
      </c>
      <c r="D1772" s="1">
        <v>45191</v>
      </c>
      <c r="E1772" s="29">
        <v>2.1</v>
      </c>
      <c r="F1772" t="s">
        <v>4</v>
      </c>
      <c r="G1772" t="str">
        <f t="shared" si="27"/>
        <v>2023-09</v>
      </c>
    </row>
    <row r="1773" spans="1:7" x14ac:dyDescent="0.3">
      <c r="A1773">
        <v>4076</v>
      </c>
      <c r="B1773" t="s">
        <v>28</v>
      </c>
      <c r="C1773" s="7">
        <v>31</v>
      </c>
      <c r="D1773" s="1">
        <v>44846</v>
      </c>
      <c r="E1773" s="29">
        <v>2.2000000000000002</v>
      </c>
      <c r="F1773" t="s">
        <v>4</v>
      </c>
      <c r="G1773" t="str">
        <f t="shared" si="27"/>
        <v>2022-10</v>
      </c>
    </row>
    <row r="1774" spans="1:7" x14ac:dyDescent="0.3">
      <c r="A1774">
        <v>4068</v>
      </c>
      <c r="B1774" t="s">
        <v>13</v>
      </c>
      <c r="C1774" s="7">
        <v>139</v>
      </c>
      <c r="D1774" s="1">
        <v>45173</v>
      </c>
      <c r="E1774" s="29">
        <v>2.2999999999999998</v>
      </c>
      <c r="F1774" t="s">
        <v>1</v>
      </c>
      <c r="G1774" t="str">
        <f t="shared" si="27"/>
        <v>2023-09</v>
      </c>
    </row>
    <row r="1775" spans="1:7" x14ac:dyDescent="0.3">
      <c r="A1775">
        <v>3986</v>
      </c>
      <c r="B1775" t="s">
        <v>39</v>
      </c>
      <c r="C1775" s="7">
        <v>108.54716981132</v>
      </c>
      <c r="D1775" s="1">
        <v>45063</v>
      </c>
      <c r="E1775" s="29">
        <v>4.5999999999999996</v>
      </c>
      <c r="F1775" t="s">
        <v>4</v>
      </c>
      <c r="G1775" t="str">
        <f t="shared" si="27"/>
        <v>2023-05</v>
      </c>
    </row>
    <row r="1776" spans="1:7" x14ac:dyDescent="0.3">
      <c r="A1776">
        <v>4083</v>
      </c>
      <c r="B1776" t="s">
        <v>31</v>
      </c>
      <c r="C1776" s="7">
        <v>29</v>
      </c>
      <c r="D1776" s="1">
        <v>45109</v>
      </c>
      <c r="E1776" s="29">
        <v>2.4</v>
      </c>
      <c r="F1776" t="s">
        <v>1</v>
      </c>
      <c r="G1776" t="str">
        <f t="shared" si="27"/>
        <v>2023-07</v>
      </c>
    </row>
    <row r="1777" spans="1:7" x14ac:dyDescent="0.3">
      <c r="A1777">
        <v>3967</v>
      </c>
      <c r="B1777" t="s">
        <v>35</v>
      </c>
      <c r="C1777" s="7">
        <v>25</v>
      </c>
      <c r="D1777" s="1">
        <v>45112</v>
      </c>
      <c r="E1777" s="29">
        <v>4.3</v>
      </c>
      <c r="F1777" t="s">
        <v>4</v>
      </c>
      <c r="G1777" t="str">
        <f t="shared" si="27"/>
        <v>2023-07</v>
      </c>
    </row>
    <row r="1778" spans="1:7" x14ac:dyDescent="0.3">
      <c r="A1778">
        <v>4070</v>
      </c>
      <c r="B1778" t="s">
        <v>31</v>
      </c>
      <c r="C1778" s="7">
        <v>43</v>
      </c>
      <c r="D1778" s="1">
        <v>44842</v>
      </c>
      <c r="E1778" s="29">
        <v>2.6</v>
      </c>
      <c r="F1778" t="s">
        <v>4</v>
      </c>
      <c r="G1778" t="str">
        <f t="shared" si="27"/>
        <v>2022-10</v>
      </c>
    </row>
    <row r="1779" spans="1:7" x14ac:dyDescent="0.3">
      <c r="A1779">
        <v>4048</v>
      </c>
      <c r="B1779" t="s">
        <v>27</v>
      </c>
      <c r="C1779" s="7">
        <v>76</v>
      </c>
      <c r="D1779" s="1">
        <v>44913</v>
      </c>
      <c r="E1779" s="29">
        <v>2.7</v>
      </c>
      <c r="F1779" t="s">
        <v>4</v>
      </c>
      <c r="G1779" t="str">
        <f t="shared" si="27"/>
        <v>2022-12</v>
      </c>
    </row>
    <row r="1780" spans="1:7" x14ac:dyDescent="0.3">
      <c r="A1780">
        <v>4100</v>
      </c>
      <c r="B1780" t="s">
        <v>2</v>
      </c>
      <c r="C1780" s="7">
        <v>110</v>
      </c>
      <c r="D1780" s="1">
        <v>45036</v>
      </c>
      <c r="E1780" s="29">
        <v>4.0999999999999996</v>
      </c>
      <c r="F1780" t="s">
        <v>4</v>
      </c>
      <c r="G1780" t="str">
        <f t="shared" si="27"/>
        <v>2023-04</v>
      </c>
    </row>
    <row r="1781" spans="1:7" x14ac:dyDescent="0.3">
      <c r="A1781">
        <v>4081</v>
      </c>
      <c r="B1781" t="s">
        <v>3</v>
      </c>
      <c r="C1781" s="7">
        <v>198</v>
      </c>
      <c r="D1781" s="1">
        <v>45000</v>
      </c>
      <c r="E1781" s="29">
        <v>1.6</v>
      </c>
      <c r="F1781" t="s">
        <v>4</v>
      </c>
      <c r="G1781" t="str">
        <f t="shared" si="27"/>
        <v>2023-03</v>
      </c>
    </row>
    <row r="1782" spans="1:7" x14ac:dyDescent="0.3">
      <c r="A1782">
        <v>4074</v>
      </c>
      <c r="B1782" t="s">
        <v>11</v>
      </c>
      <c r="C1782" s="7">
        <v>125</v>
      </c>
      <c r="D1782" s="1">
        <v>44916</v>
      </c>
      <c r="E1782" s="29">
        <v>2.2000000000000002</v>
      </c>
      <c r="F1782" t="s">
        <v>1</v>
      </c>
      <c r="G1782" t="str">
        <f t="shared" si="27"/>
        <v>2022-12</v>
      </c>
    </row>
    <row r="1783" spans="1:7" x14ac:dyDescent="0.3">
      <c r="A1783">
        <v>4083</v>
      </c>
      <c r="B1783" t="s">
        <v>33</v>
      </c>
      <c r="C1783" s="7">
        <v>29</v>
      </c>
      <c r="D1783" s="1">
        <v>45147</v>
      </c>
      <c r="E1783" s="29">
        <v>2.4</v>
      </c>
      <c r="F1783" t="s">
        <v>1</v>
      </c>
      <c r="G1783" t="str">
        <f t="shared" si="27"/>
        <v>2023-08</v>
      </c>
    </row>
    <row r="1784" spans="1:7" x14ac:dyDescent="0.3">
      <c r="A1784">
        <v>3985</v>
      </c>
      <c r="B1784" t="s">
        <v>41</v>
      </c>
      <c r="C1784" s="7">
        <v>44</v>
      </c>
      <c r="D1784" s="1">
        <v>45193</v>
      </c>
      <c r="E1784" s="29">
        <v>2.2999999999999998</v>
      </c>
      <c r="F1784" t="s">
        <v>1</v>
      </c>
      <c r="G1784" t="str">
        <f t="shared" si="27"/>
        <v>2023-09</v>
      </c>
    </row>
    <row r="1785" spans="1:7" x14ac:dyDescent="0.3">
      <c r="A1785">
        <v>3994</v>
      </c>
      <c r="B1785" t="s">
        <v>41</v>
      </c>
      <c r="C1785" s="7">
        <v>159</v>
      </c>
      <c r="D1785" s="1">
        <v>45009</v>
      </c>
      <c r="E1785" s="29">
        <v>3.3</v>
      </c>
      <c r="F1785" t="s">
        <v>4</v>
      </c>
      <c r="G1785" t="str">
        <f t="shared" si="27"/>
        <v>2023-03</v>
      </c>
    </row>
    <row r="1786" spans="1:7" x14ac:dyDescent="0.3">
      <c r="A1786">
        <v>3988</v>
      </c>
      <c r="B1786" t="s">
        <v>2</v>
      </c>
      <c r="C1786" s="7">
        <v>93.340909090909093</v>
      </c>
      <c r="D1786" s="1">
        <v>44882</v>
      </c>
      <c r="E1786" s="29">
        <v>3.9</v>
      </c>
      <c r="F1786" t="s">
        <v>4</v>
      </c>
      <c r="G1786" t="str">
        <f t="shared" si="27"/>
        <v>2022-11</v>
      </c>
    </row>
    <row r="1787" spans="1:7" x14ac:dyDescent="0.3">
      <c r="A1787">
        <v>4046</v>
      </c>
      <c r="B1787" t="s">
        <v>41</v>
      </c>
      <c r="C1787" s="7">
        <v>93.135593220338905</v>
      </c>
      <c r="D1787" s="1">
        <v>45031</v>
      </c>
      <c r="E1787" s="29">
        <v>3.6</v>
      </c>
      <c r="F1787" t="s">
        <v>1</v>
      </c>
      <c r="G1787" t="str">
        <f t="shared" si="27"/>
        <v>2023-04</v>
      </c>
    </row>
    <row r="1788" spans="1:7" x14ac:dyDescent="0.3">
      <c r="A1788">
        <v>3980</v>
      </c>
      <c r="B1788" t="s">
        <v>42</v>
      </c>
      <c r="C1788" s="7">
        <v>90</v>
      </c>
      <c r="D1788" s="1">
        <v>44980</v>
      </c>
      <c r="E1788" s="29">
        <v>4.2</v>
      </c>
      <c r="F1788" t="s">
        <v>4</v>
      </c>
      <c r="G1788" t="str">
        <f t="shared" si="27"/>
        <v>2023-02</v>
      </c>
    </row>
    <row r="1789" spans="1:7" x14ac:dyDescent="0.3">
      <c r="A1789">
        <v>4009</v>
      </c>
      <c r="B1789" t="s">
        <v>2</v>
      </c>
      <c r="C1789" s="7">
        <v>147</v>
      </c>
      <c r="D1789" s="1">
        <v>45190</v>
      </c>
      <c r="E1789" s="29">
        <v>1.7</v>
      </c>
      <c r="F1789" t="s">
        <v>4</v>
      </c>
      <c r="G1789" t="str">
        <f t="shared" si="27"/>
        <v>2023-09</v>
      </c>
    </row>
    <row r="1790" spans="1:7" x14ac:dyDescent="0.3">
      <c r="A1790">
        <v>4029</v>
      </c>
      <c r="B1790" t="s">
        <v>21</v>
      </c>
      <c r="C1790" s="7">
        <v>63</v>
      </c>
      <c r="D1790" s="1">
        <v>45059</v>
      </c>
      <c r="E1790" s="29">
        <v>3</v>
      </c>
      <c r="F1790" t="s">
        <v>4</v>
      </c>
      <c r="G1790" t="str">
        <f t="shared" si="27"/>
        <v>2023-05</v>
      </c>
    </row>
    <row r="1791" spans="1:7" x14ac:dyDescent="0.3">
      <c r="A1791">
        <v>4003</v>
      </c>
      <c r="B1791" t="s">
        <v>12</v>
      </c>
      <c r="C1791" s="7">
        <v>128</v>
      </c>
      <c r="D1791" s="1">
        <v>45199</v>
      </c>
      <c r="E1791" s="29">
        <v>2.9</v>
      </c>
      <c r="F1791" t="s">
        <v>1</v>
      </c>
      <c r="G1791" t="str">
        <f t="shared" si="27"/>
        <v>2023-09</v>
      </c>
    </row>
    <row r="1792" spans="1:7" x14ac:dyDescent="0.3">
      <c r="A1792">
        <v>4000</v>
      </c>
      <c r="B1792" t="s">
        <v>33</v>
      </c>
      <c r="C1792" s="7">
        <v>40</v>
      </c>
      <c r="D1792" s="1">
        <v>45143</v>
      </c>
      <c r="E1792" s="29">
        <v>3.3</v>
      </c>
      <c r="F1792" t="s">
        <v>1</v>
      </c>
      <c r="G1792" t="str">
        <f t="shared" si="27"/>
        <v>2023-08</v>
      </c>
    </row>
    <row r="1793" spans="1:7" x14ac:dyDescent="0.3">
      <c r="A1793">
        <v>4087</v>
      </c>
      <c r="B1793" t="s">
        <v>39</v>
      </c>
      <c r="C1793" s="7">
        <v>108.54716981132</v>
      </c>
      <c r="D1793" s="1">
        <v>44941</v>
      </c>
      <c r="E1793" s="29">
        <v>1.6</v>
      </c>
      <c r="F1793" t="s">
        <v>1</v>
      </c>
      <c r="G1793" t="str">
        <f t="shared" si="27"/>
        <v>2023-01</v>
      </c>
    </row>
    <row r="1794" spans="1:7" x14ac:dyDescent="0.3">
      <c r="A1794">
        <v>4026</v>
      </c>
      <c r="B1794" t="s">
        <v>28</v>
      </c>
      <c r="C1794" s="7">
        <v>87</v>
      </c>
      <c r="D1794" s="1">
        <v>44940</v>
      </c>
      <c r="E1794" s="29">
        <v>2</v>
      </c>
      <c r="F1794" t="s">
        <v>4</v>
      </c>
      <c r="G1794" t="str">
        <f t="shared" si="27"/>
        <v>2023-01</v>
      </c>
    </row>
    <row r="1795" spans="1:7" x14ac:dyDescent="0.3">
      <c r="A1795">
        <v>4101</v>
      </c>
      <c r="B1795" t="s">
        <v>50</v>
      </c>
      <c r="C1795" s="7">
        <v>188</v>
      </c>
      <c r="D1795" s="1">
        <v>44957</v>
      </c>
      <c r="E1795" s="29">
        <v>4.3</v>
      </c>
      <c r="F1795" t="s">
        <v>1</v>
      </c>
      <c r="G1795" t="str">
        <f t="shared" ref="G1795:G1858" si="28">TEXT(D1795,"ГГГГ-ММ")</f>
        <v>2023-01</v>
      </c>
    </row>
    <row r="1796" spans="1:7" x14ac:dyDescent="0.3">
      <c r="A1796">
        <v>4106</v>
      </c>
      <c r="B1796" t="s">
        <v>13</v>
      </c>
      <c r="C1796" s="7">
        <v>65</v>
      </c>
      <c r="D1796" s="1">
        <v>45011</v>
      </c>
      <c r="E1796" s="29">
        <v>1</v>
      </c>
      <c r="F1796" t="s">
        <v>4</v>
      </c>
      <c r="G1796" t="str">
        <f t="shared" si="28"/>
        <v>2023-03</v>
      </c>
    </row>
    <row r="1797" spans="1:7" x14ac:dyDescent="0.3">
      <c r="A1797">
        <v>4011</v>
      </c>
      <c r="B1797" t="s">
        <v>16</v>
      </c>
      <c r="C1797" s="7">
        <v>93</v>
      </c>
      <c r="D1797" s="1">
        <v>45049</v>
      </c>
      <c r="E1797" s="29">
        <v>4.7</v>
      </c>
      <c r="F1797" t="s">
        <v>4</v>
      </c>
      <c r="G1797" t="str">
        <f t="shared" si="28"/>
        <v>2023-05</v>
      </c>
    </row>
    <row r="1798" spans="1:7" x14ac:dyDescent="0.3">
      <c r="A1798">
        <v>4106</v>
      </c>
      <c r="B1798" t="s">
        <v>44</v>
      </c>
      <c r="C1798" s="7">
        <v>106.72413793103399</v>
      </c>
      <c r="D1798" s="1">
        <v>44903</v>
      </c>
      <c r="E1798" s="29">
        <v>2.8</v>
      </c>
      <c r="F1798" t="s">
        <v>4</v>
      </c>
      <c r="G1798" t="str">
        <f t="shared" si="28"/>
        <v>2022-12</v>
      </c>
    </row>
    <row r="1799" spans="1:7" x14ac:dyDescent="0.3">
      <c r="A1799">
        <v>3958</v>
      </c>
      <c r="B1799" t="s">
        <v>36</v>
      </c>
      <c r="C1799" s="7">
        <v>101</v>
      </c>
      <c r="D1799" s="1">
        <v>44938</v>
      </c>
      <c r="E1799" s="29">
        <v>3.3</v>
      </c>
      <c r="F1799" t="s">
        <v>1</v>
      </c>
      <c r="G1799" t="str">
        <f t="shared" si="28"/>
        <v>2023-01</v>
      </c>
    </row>
    <row r="1800" spans="1:7" x14ac:dyDescent="0.3">
      <c r="A1800">
        <v>4091</v>
      </c>
      <c r="B1800" t="s">
        <v>31</v>
      </c>
      <c r="C1800" s="7">
        <v>22</v>
      </c>
      <c r="D1800" s="1">
        <v>44864</v>
      </c>
      <c r="E1800" s="29">
        <v>3.3</v>
      </c>
      <c r="F1800" t="s">
        <v>4</v>
      </c>
      <c r="G1800" t="str">
        <f t="shared" si="28"/>
        <v>2022-10</v>
      </c>
    </row>
    <row r="1801" spans="1:7" x14ac:dyDescent="0.3">
      <c r="A1801">
        <v>4103</v>
      </c>
      <c r="B1801" t="s">
        <v>12</v>
      </c>
      <c r="C1801" s="7">
        <v>76</v>
      </c>
      <c r="D1801" s="1">
        <v>44933</v>
      </c>
      <c r="E1801" s="29">
        <v>1.2</v>
      </c>
      <c r="F1801" t="s">
        <v>4</v>
      </c>
      <c r="G1801" t="str">
        <f t="shared" si="28"/>
        <v>2023-01</v>
      </c>
    </row>
    <row r="1802" spans="1:7" x14ac:dyDescent="0.3">
      <c r="A1802">
        <v>4003</v>
      </c>
      <c r="B1802" t="s">
        <v>13</v>
      </c>
      <c r="C1802" s="7">
        <v>54</v>
      </c>
      <c r="D1802" s="1">
        <v>45145</v>
      </c>
      <c r="E1802" s="29">
        <v>4.9000000000000004</v>
      </c>
      <c r="F1802" t="s">
        <v>4</v>
      </c>
      <c r="G1802" t="str">
        <f t="shared" si="28"/>
        <v>2023-08</v>
      </c>
    </row>
    <row r="1803" spans="1:7" x14ac:dyDescent="0.3">
      <c r="A1803">
        <v>4063</v>
      </c>
      <c r="B1803" t="s">
        <v>44</v>
      </c>
      <c r="C1803" s="7">
        <v>106.72413793103399</v>
      </c>
      <c r="D1803" s="1">
        <v>45075</v>
      </c>
      <c r="E1803" s="29">
        <v>2.9</v>
      </c>
      <c r="F1803" t="s">
        <v>4</v>
      </c>
      <c r="G1803" t="str">
        <f t="shared" si="28"/>
        <v>2023-05</v>
      </c>
    </row>
    <row r="1804" spans="1:7" x14ac:dyDescent="0.3">
      <c r="A1804">
        <v>3976</v>
      </c>
      <c r="B1804" t="s">
        <v>5</v>
      </c>
      <c r="C1804" s="7">
        <v>125</v>
      </c>
      <c r="D1804" s="1">
        <v>44989</v>
      </c>
      <c r="E1804" s="29">
        <v>1.5</v>
      </c>
      <c r="F1804" t="s">
        <v>4</v>
      </c>
      <c r="G1804" t="str">
        <f t="shared" si="28"/>
        <v>2023-03</v>
      </c>
    </row>
    <row r="1805" spans="1:7" x14ac:dyDescent="0.3">
      <c r="A1805">
        <v>4020</v>
      </c>
      <c r="B1805" t="s">
        <v>50</v>
      </c>
      <c r="C1805" s="7">
        <v>150</v>
      </c>
      <c r="D1805" s="1">
        <v>44970</v>
      </c>
      <c r="E1805" s="29">
        <v>2.4</v>
      </c>
      <c r="F1805" t="s">
        <v>4</v>
      </c>
      <c r="G1805" t="str">
        <f t="shared" si="28"/>
        <v>2023-02</v>
      </c>
    </row>
    <row r="1806" spans="1:7" x14ac:dyDescent="0.3">
      <c r="A1806">
        <v>4084</v>
      </c>
      <c r="B1806" t="s">
        <v>10</v>
      </c>
      <c r="C1806" s="7">
        <v>128</v>
      </c>
      <c r="D1806" s="1">
        <v>44846</v>
      </c>
      <c r="E1806" s="29">
        <v>1.2</v>
      </c>
      <c r="F1806" t="s">
        <v>4</v>
      </c>
      <c r="G1806" t="str">
        <f t="shared" si="28"/>
        <v>2022-10</v>
      </c>
    </row>
    <row r="1807" spans="1:7" x14ac:dyDescent="0.3">
      <c r="A1807">
        <v>3981</v>
      </c>
      <c r="B1807" t="s">
        <v>24</v>
      </c>
      <c r="C1807" s="7">
        <v>95.292307692307602</v>
      </c>
      <c r="D1807" s="1">
        <v>45093</v>
      </c>
      <c r="E1807" s="29">
        <v>2.1</v>
      </c>
      <c r="F1807" t="s">
        <v>1</v>
      </c>
      <c r="G1807" t="str">
        <f t="shared" si="28"/>
        <v>2023-06</v>
      </c>
    </row>
    <row r="1808" spans="1:7" x14ac:dyDescent="0.3">
      <c r="A1808">
        <v>4041</v>
      </c>
      <c r="B1808" t="s">
        <v>23</v>
      </c>
      <c r="C1808" s="7">
        <v>41</v>
      </c>
      <c r="D1808" s="1">
        <v>45095</v>
      </c>
      <c r="E1808" s="29">
        <v>2.1</v>
      </c>
      <c r="F1808" t="s">
        <v>4</v>
      </c>
      <c r="G1808" t="str">
        <f t="shared" si="28"/>
        <v>2023-06</v>
      </c>
    </row>
    <row r="1809" spans="1:7" x14ac:dyDescent="0.3">
      <c r="A1809">
        <v>3963</v>
      </c>
      <c r="B1809" t="s">
        <v>51</v>
      </c>
      <c r="C1809" s="7">
        <v>105.1</v>
      </c>
      <c r="D1809" s="1">
        <v>44863</v>
      </c>
      <c r="E1809" s="29">
        <v>4.7</v>
      </c>
      <c r="F1809" t="s">
        <v>1</v>
      </c>
      <c r="G1809" t="str">
        <f t="shared" si="28"/>
        <v>2022-10</v>
      </c>
    </row>
    <row r="1810" spans="1:7" x14ac:dyDescent="0.3">
      <c r="A1810">
        <v>4029</v>
      </c>
      <c r="B1810" t="s">
        <v>9</v>
      </c>
      <c r="C1810" s="7">
        <v>66</v>
      </c>
      <c r="D1810" s="1">
        <v>45057</v>
      </c>
      <c r="E1810" s="29">
        <v>1.8</v>
      </c>
      <c r="F1810" t="s">
        <v>1</v>
      </c>
      <c r="G1810" t="str">
        <f t="shared" si="28"/>
        <v>2023-05</v>
      </c>
    </row>
    <row r="1811" spans="1:7" x14ac:dyDescent="0.3">
      <c r="A1811">
        <v>3988</v>
      </c>
      <c r="B1811" t="s">
        <v>15</v>
      </c>
      <c r="C1811" s="7">
        <v>103.108695652173</v>
      </c>
      <c r="D1811" s="1">
        <v>45085</v>
      </c>
      <c r="E1811" s="29">
        <v>3.3</v>
      </c>
      <c r="F1811" t="s">
        <v>4</v>
      </c>
      <c r="G1811" t="str">
        <f t="shared" si="28"/>
        <v>2023-06</v>
      </c>
    </row>
    <row r="1812" spans="1:7" x14ac:dyDescent="0.3">
      <c r="A1812">
        <v>4057</v>
      </c>
      <c r="B1812" t="s">
        <v>8</v>
      </c>
      <c r="C1812" s="7">
        <v>105</v>
      </c>
      <c r="D1812" s="1">
        <v>44857</v>
      </c>
      <c r="E1812" s="29">
        <v>2.9230769230769198</v>
      </c>
      <c r="F1812" t="s">
        <v>1</v>
      </c>
      <c r="G1812" t="str">
        <f t="shared" si="28"/>
        <v>2022-10</v>
      </c>
    </row>
    <row r="1813" spans="1:7" x14ac:dyDescent="0.3">
      <c r="A1813">
        <v>4052</v>
      </c>
      <c r="B1813" t="s">
        <v>36</v>
      </c>
      <c r="C1813" s="7">
        <v>175</v>
      </c>
      <c r="D1813" s="1">
        <v>45094</v>
      </c>
      <c r="E1813" s="29">
        <v>3.5</v>
      </c>
      <c r="F1813" t="s">
        <v>1</v>
      </c>
      <c r="G1813" t="str">
        <f t="shared" si="28"/>
        <v>2023-06</v>
      </c>
    </row>
    <row r="1814" spans="1:7" x14ac:dyDescent="0.3">
      <c r="A1814">
        <v>4108</v>
      </c>
      <c r="B1814" t="s">
        <v>51</v>
      </c>
      <c r="C1814" s="7">
        <v>105.1</v>
      </c>
      <c r="D1814" s="1">
        <v>45145</v>
      </c>
      <c r="E1814" s="29">
        <v>2.7</v>
      </c>
      <c r="F1814" t="s">
        <v>1</v>
      </c>
      <c r="G1814" t="str">
        <f t="shared" si="28"/>
        <v>2023-08</v>
      </c>
    </row>
    <row r="1815" spans="1:7" x14ac:dyDescent="0.3">
      <c r="A1815">
        <v>3984</v>
      </c>
      <c r="B1815" t="s">
        <v>36</v>
      </c>
      <c r="C1815" s="7">
        <v>29</v>
      </c>
      <c r="D1815" s="1">
        <v>45121</v>
      </c>
      <c r="E1815" s="29">
        <v>3.5</v>
      </c>
      <c r="F1815" t="s">
        <v>4</v>
      </c>
      <c r="G1815" t="str">
        <f t="shared" si="28"/>
        <v>2023-07</v>
      </c>
    </row>
    <row r="1816" spans="1:7" x14ac:dyDescent="0.3">
      <c r="A1816">
        <v>4039</v>
      </c>
      <c r="B1816" t="s">
        <v>49</v>
      </c>
      <c r="C1816" s="7">
        <v>114.217391304347</v>
      </c>
      <c r="D1816" s="1">
        <v>45083</v>
      </c>
      <c r="E1816" s="29">
        <v>2.1</v>
      </c>
      <c r="F1816" t="s">
        <v>1</v>
      </c>
      <c r="G1816" t="str">
        <f t="shared" si="28"/>
        <v>2023-06</v>
      </c>
    </row>
    <row r="1817" spans="1:7" x14ac:dyDescent="0.3">
      <c r="A1817">
        <v>3996</v>
      </c>
      <c r="B1817" t="s">
        <v>32</v>
      </c>
      <c r="C1817" s="7">
        <v>84.528571428571396</v>
      </c>
      <c r="D1817" s="1">
        <v>44857</v>
      </c>
      <c r="E1817" s="29">
        <v>4.4000000000000004</v>
      </c>
      <c r="F1817" t="s">
        <v>1</v>
      </c>
      <c r="G1817" t="str">
        <f t="shared" si="28"/>
        <v>2022-10</v>
      </c>
    </row>
    <row r="1818" spans="1:7" x14ac:dyDescent="0.3">
      <c r="A1818">
        <v>3964</v>
      </c>
      <c r="B1818" t="s">
        <v>17</v>
      </c>
      <c r="C1818" s="7">
        <v>123</v>
      </c>
      <c r="D1818" s="1">
        <v>45141</v>
      </c>
      <c r="E1818" s="29">
        <v>3.2</v>
      </c>
      <c r="F1818" t="s">
        <v>1</v>
      </c>
      <c r="G1818" t="str">
        <f t="shared" si="28"/>
        <v>2023-08</v>
      </c>
    </row>
    <row r="1819" spans="1:7" x14ac:dyDescent="0.3">
      <c r="A1819">
        <v>3977</v>
      </c>
      <c r="B1819" t="s">
        <v>34</v>
      </c>
      <c r="C1819" s="7">
        <v>33</v>
      </c>
      <c r="D1819" s="1">
        <v>44922</v>
      </c>
      <c r="E1819" s="29">
        <v>1.9</v>
      </c>
      <c r="F1819" t="s">
        <v>1</v>
      </c>
      <c r="G1819" t="str">
        <f t="shared" si="28"/>
        <v>2022-12</v>
      </c>
    </row>
    <row r="1820" spans="1:7" x14ac:dyDescent="0.3">
      <c r="A1820">
        <v>4074</v>
      </c>
      <c r="B1820" t="s">
        <v>25</v>
      </c>
      <c r="C1820" s="7">
        <v>94</v>
      </c>
      <c r="D1820" s="1">
        <v>44857</v>
      </c>
      <c r="E1820" s="29">
        <v>4.3</v>
      </c>
      <c r="F1820" t="s">
        <v>1</v>
      </c>
      <c r="G1820" t="str">
        <f t="shared" si="28"/>
        <v>2022-10</v>
      </c>
    </row>
    <row r="1821" spans="1:7" x14ac:dyDescent="0.3">
      <c r="A1821">
        <v>4079</v>
      </c>
      <c r="B1821" t="s">
        <v>42</v>
      </c>
      <c r="C1821" s="7">
        <v>114.396551724137</v>
      </c>
      <c r="D1821" s="1">
        <v>45183</v>
      </c>
      <c r="E1821" s="29">
        <v>3.5</v>
      </c>
      <c r="F1821" t="s">
        <v>1</v>
      </c>
      <c r="G1821" t="str">
        <f t="shared" si="28"/>
        <v>2023-09</v>
      </c>
    </row>
    <row r="1822" spans="1:7" x14ac:dyDescent="0.3">
      <c r="A1822">
        <v>4073</v>
      </c>
      <c r="B1822" t="s">
        <v>34</v>
      </c>
      <c r="C1822" s="7">
        <v>22</v>
      </c>
      <c r="D1822" s="1">
        <v>44896</v>
      </c>
      <c r="E1822" s="29">
        <v>1.4</v>
      </c>
      <c r="F1822" t="s">
        <v>4</v>
      </c>
      <c r="G1822" t="str">
        <f t="shared" si="28"/>
        <v>2022-12</v>
      </c>
    </row>
    <row r="1823" spans="1:7" x14ac:dyDescent="0.3">
      <c r="A1823">
        <v>4117</v>
      </c>
      <c r="B1823" t="s">
        <v>2</v>
      </c>
      <c r="C1823" s="7">
        <v>93.340909090909093</v>
      </c>
      <c r="D1823" s="1">
        <v>45142</v>
      </c>
      <c r="E1823" s="29">
        <v>4.9000000000000004</v>
      </c>
      <c r="F1823" t="s">
        <v>1</v>
      </c>
      <c r="G1823" t="str">
        <f t="shared" si="28"/>
        <v>2023-08</v>
      </c>
    </row>
    <row r="1824" spans="1:7" x14ac:dyDescent="0.3">
      <c r="A1824">
        <v>4025</v>
      </c>
      <c r="B1824" t="s">
        <v>16</v>
      </c>
      <c r="C1824" s="7">
        <v>195</v>
      </c>
      <c r="D1824" s="1">
        <v>45194</v>
      </c>
      <c r="E1824" s="29">
        <v>2.9</v>
      </c>
      <c r="F1824" t="s">
        <v>1</v>
      </c>
      <c r="G1824" t="str">
        <f t="shared" si="28"/>
        <v>2023-09</v>
      </c>
    </row>
    <row r="1825" spans="1:7" x14ac:dyDescent="0.3">
      <c r="A1825">
        <v>4109</v>
      </c>
      <c r="B1825" t="s">
        <v>40</v>
      </c>
      <c r="C1825" s="7">
        <v>17</v>
      </c>
      <c r="D1825" s="1">
        <v>45150</v>
      </c>
      <c r="E1825" s="29">
        <v>3.15</v>
      </c>
      <c r="F1825" t="s">
        <v>4</v>
      </c>
      <c r="G1825" t="str">
        <f t="shared" si="28"/>
        <v>2023-08</v>
      </c>
    </row>
    <row r="1826" spans="1:7" x14ac:dyDescent="0.3">
      <c r="A1826">
        <v>3958</v>
      </c>
      <c r="B1826" t="s">
        <v>32</v>
      </c>
      <c r="C1826" s="7">
        <v>119</v>
      </c>
      <c r="D1826" s="1">
        <v>44883</v>
      </c>
      <c r="E1826" s="29">
        <v>1.9</v>
      </c>
      <c r="F1826" t="s">
        <v>1</v>
      </c>
      <c r="G1826" t="str">
        <f t="shared" si="28"/>
        <v>2022-11</v>
      </c>
    </row>
    <row r="1827" spans="1:7" x14ac:dyDescent="0.3">
      <c r="A1827">
        <v>4041</v>
      </c>
      <c r="B1827" t="s">
        <v>23</v>
      </c>
      <c r="C1827" s="7">
        <v>107.68518518518501</v>
      </c>
      <c r="D1827" s="1">
        <v>45112</v>
      </c>
      <c r="E1827" s="29">
        <v>1.7</v>
      </c>
      <c r="F1827" t="s">
        <v>4</v>
      </c>
      <c r="G1827" t="str">
        <f t="shared" si="28"/>
        <v>2023-07</v>
      </c>
    </row>
    <row r="1828" spans="1:7" x14ac:dyDescent="0.3">
      <c r="A1828">
        <v>3968</v>
      </c>
      <c r="B1828" t="s">
        <v>38</v>
      </c>
      <c r="C1828" s="7">
        <v>57</v>
      </c>
      <c r="D1828" s="1">
        <v>45190</v>
      </c>
      <c r="E1828" s="29">
        <v>1.9</v>
      </c>
      <c r="F1828" t="s">
        <v>1</v>
      </c>
      <c r="G1828" t="str">
        <f t="shared" si="28"/>
        <v>2023-09</v>
      </c>
    </row>
    <row r="1829" spans="1:7" x14ac:dyDescent="0.3">
      <c r="A1829">
        <v>4116</v>
      </c>
      <c r="B1829" t="s">
        <v>33</v>
      </c>
      <c r="C1829" s="7">
        <v>124</v>
      </c>
      <c r="D1829" s="1">
        <v>45158</v>
      </c>
      <c r="E1829" s="29">
        <v>2</v>
      </c>
      <c r="F1829" t="s">
        <v>1</v>
      </c>
      <c r="G1829" t="str">
        <f t="shared" si="28"/>
        <v>2023-08</v>
      </c>
    </row>
    <row r="1830" spans="1:7" x14ac:dyDescent="0.3">
      <c r="A1830">
        <v>4072</v>
      </c>
      <c r="B1830" t="s">
        <v>27</v>
      </c>
      <c r="C1830" s="7">
        <v>18</v>
      </c>
      <c r="D1830" s="1">
        <v>44980</v>
      </c>
      <c r="E1830" s="29">
        <v>3.3</v>
      </c>
      <c r="F1830" t="s">
        <v>4</v>
      </c>
      <c r="G1830" t="str">
        <f t="shared" si="28"/>
        <v>2023-02</v>
      </c>
    </row>
    <row r="1831" spans="1:7" x14ac:dyDescent="0.3">
      <c r="A1831">
        <v>4040</v>
      </c>
      <c r="B1831" t="s">
        <v>33</v>
      </c>
      <c r="C1831" s="7">
        <v>167</v>
      </c>
      <c r="D1831" s="1">
        <v>44949</v>
      </c>
      <c r="E1831" s="29">
        <v>2.5</v>
      </c>
      <c r="F1831" t="s">
        <v>4</v>
      </c>
      <c r="G1831" t="str">
        <f t="shared" si="28"/>
        <v>2023-01</v>
      </c>
    </row>
    <row r="1832" spans="1:7" x14ac:dyDescent="0.3">
      <c r="A1832">
        <v>4102</v>
      </c>
      <c r="B1832" t="s">
        <v>47</v>
      </c>
      <c r="C1832" s="7">
        <v>85</v>
      </c>
      <c r="D1832" s="1">
        <v>44876</v>
      </c>
      <c r="E1832" s="29">
        <v>1.4</v>
      </c>
      <c r="F1832" t="s">
        <v>1</v>
      </c>
      <c r="G1832" t="str">
        <f t="shared" si="28"/>
        <v>2022-11</v>
      </c>
    </row>
    <row r="1833" spans="1:7" x14ac:dyDescent="0.3">
      <c r="A1833">
        <v>3990</v>
      </c>
      <c r="B1833" t="s">
        <v>18</v>
      </c>
      <c r="C1833" s="7">
        <v>150</v>
      </c>
      <c r="D1833" s="1">
        <v>44883</v>
      </c>
      <c r="E1833" s="29">
        <v>3.06153846153846</v>
      </c>
      <c r="F1833" t="s">
        <v>1</v>
      </c>
      <c r="G1833" t="str">
        <f t="shared" si="28"/>
        <v>2022-11</v>
      </c>
    </row>
    <row r="1834" spans="1:7" x14ac:dyDescent="0.3">
      <c r="A1834">
        <v>4011</v>
      </c>
      <c r="B1834" t="s">
        <v>19</v>
      </c>
      <c r="C1834" s="7">
        <v>32</v>
      </c>
      <c r="D1834" s="1">
        <v>44938</v>
      </c>
      <c r="E1834" s="29">
        <v>2.8</v>
      </c>
      <c r="F1834" t="s">
        <v>4</v>
      </c>
      <c r="G1834" t="str">
        <f t="shared" si="28"/>
        <v>2023-01</v>
      </c>
    </row>
    <row r="1835" spans="1:7" x14ac:dyDescent="0.3">
      <c r="A1835">
        <v>3969</v>
      </c>
      <c r="B1835" t="s">
        <v>23</v>
      </c>
      <c r="C1835" s="7">
        <v>45</v>
      </c>
      <c r="D1835" s="1">
        <v>45184</v>
      </c>
      <c r="E1835" s="29">
        <v>2.5</v>
      </c>
      <c r="F1835" t="s">
        <v>4</v>
      </c>
      <c r="G1835" t="str">
        <f t="shared" si="28"/>
        <v>2023-09</v>
      </c>
    </row>
    <row r="1836" spans="1:7" x14ac:dyDescent="0.3">
      <c r="A1836">
        <v>4121</v>
      </c>
      <c r="B1836" t="s">
        <v>0</v>
      </c>
      <c r="C1836" s="7">
        <v>174</v>
      </c>
      <c r="D1836" s="1">
        <v>44910</v>
      </c>
      <c r="E1836" s="29">
        <v>2.5</v>
      </c>
      <c r="F1836" t="s">
        <v>1</v>
      </c>
      <c r="G1836" t="str">
        <f t="shared" si="28"/>
        <v>2022-12</v>
      </c>
    </row>
    <row r="1837" spans="1:7" x14ac:dyDescent="0.3">
      <c r="A1837">
        <v>4029</v>
      </c>
      <c r="B1837" t="s">
        <v>32</v>
      </c>
      <c r="C1837" s="7">
        <v>144</v>
      </c>
      <c r="D1837" s="1">
        <v>45035</v>
      </c>
      <c r="E1837" s="29">
        <v>2.1</v>
      </c>
      <c r="F1837" t="s">
        <v>4</v>
      </c>
      <c r="G1837" t="str">
        <f t="shared" si="28"/>
        <v>2023-04</v>
      </c>
    </row>
    <row r="1838" spans="1:7" x14ac:dyDescent="0.3">
      <c r="A1838">
        <v>4039</v>
      </c>
      <c r="B1838" t="s">
        <v>49</v>
      </c>
      <c r="C1838" s="7">
        <v>149</v>
      </c>
      <c r="D1838" s="1">
        <v>45029</v>
      </c>
      <c r="E1838" s="29">
        <v>3</v>
      </c>
      <c r="F1838" t="s">
        <v>4</v>
      </c>
      <c r="G1838" t="str">
        <f t="shared" si="28"/>
        <v>2023-04</v>
      </c>
    </row>
    <row r="1839" spans="1:7" x14ac:dyDescent="0.3">
      <c r="A1839">
        <v>3971</v>
      </c>
      <c r="B1839" t="s">
        <v>47</v>
      </c>
      <c r="C1839" s="7">
        <v>107</v>
      </c>
      <c r="D1839" s="1">
        <v>44887</v>
      </c>
      <c r="E1839" s="29">
        <v>3.1</v>
      </c>
      <c r="F1839" t="s">
        <v>1</v>
      </c>
      <c r="G1839" t="str">
        <f t="shared" si="28"/>
        <v>2022-11</v>
      </c>
    </row>
    <row r="1840" spans="1:7" x14ac:dyDescent="0.3">
      <c r="A1840">
        <v>3975</v>
      </c>
      <c r="B1840" t="s">
        <v>40</v>
      </c>
      <c r="C1840" s="7">
        <v>101</v>
      </c>
      <c r="D1840" s="1">
        <v>44885</v>
      </c>
      <c r="E1840" s="29">
        <v>3</v>
      </c>
      <c r="F1840" t="s">
        <v>1</v>
      </c>
      <c r="G1840" t="str">
        <f t="shared" si="28"/>
        <v>2022-11</v>
      </c>
    </row>
    <row r="1841" spans="1:7" x14ac:dyDescent="0.3">
      <c r="A1841">
        <v>4097</v>
      </c>
      <c r="B1841" t="s">
        <v>36</v>
      </c>
      <c r="C1841" s="7">
        <v>134</v>
      </c>
      <c r="D1841" s="1">
        <v>45007</v>
      </c>
      <c r="E1841" s="29">
        <v>4.4000000000000004</v>
      </c>
      <c r="F1841" t="s">
        <v>1</v>
      </c>
      <c r="G1841" t="str">
        <f t="shared" si="28"/>
        <v>2023-03</v>
      </c>
    </row>
    <row r="1842" spans="1:7" x14ac:dyDescent="0.3">
      <c r="A1842">
        <v>4111</v>
      </c>
      <c r="B1842" t="s">
        <v>14</v>
      </c>
      <c r="C1842" s="7">
        <v>154</v>
      </c>
      <c r="D1842" s="1">
        <v>45111</v>
      </c>
      <c r="E1842" s="29">
        <v>2.5</v>
      </c>
      <c r="F1842" t="s">
        <v>1</v>
      </c>
      <c r="G1842" t="str">
        <f t="shared" si="28"/>
        <v>2023-07</v>
      </c>
    </row>
    <row r="1843" spans="1:7" x14ac:dyDescent="0.3">
      <c r="A1843">
        <v>4054</v>
      </c>
      <c r="B1843" t="s">
        <v>5</v>
      </c>
      <c r="C1843" s="7">
        <v>109</v>
      </c>
      <c r="D1843" s="1">
        <v>44977</v>
      </c>
      <c r="E1843" s="29">
        <v>3.4</v>
      </c>
      <c r="F1843" t="s">
        <v>1</v>
      </c>
      <c r="G1843" t="str">
        <f t="shared" si="28"/>
        <v>2023-02</v>
      </c>
    </row>
    <row r="1844" spans="1:7" x14ac:dyDescent="0.3">
      <c r="A1844">
        <v>3980</v>
      </c>
      <c r="B1844" t="s">
        <v>6</v>
      </c>
      <c r="C1844" s="7">
        <v>16</v>
      </c>
      <c r="D1844" s="1">
        <v>45119</v>
      </c>
      <c r="E1844" s="29">
        <v>2.5</v>
      </c>
      <c r="F1844" t="s">
        <v>1</v>
      </c>
      <c r="G1844" t="str">
        <f t="shared" si="28"/>
        <v>2023-07</v>
      </c>
    </row>
    <row r="1845" spans="1:7" x14ac:dyDescent="0.3">
      <c r="A1845">
        <v>4059</v>
      </c>
      <c r="B1845" t="s">
        <v>0</v>
      </c>
      <c r="C1845" s="7">
        <v>66</v>
      </c>
      <c r="D1845" s="1">
        <v>45009</v>
      </c>
      <c r="E1845" s="29">
        <v>1.8</v>
      </c>
      <c r="F1845" t="s">
        <v>1</v>
      </c>
      <c r="G1845" t="str">
        <f t="shared" si="28"/>
        <v>2023-03</v>
      </c>
    </row>
    <row r="1846" spans="1:7" x14ac:dyDescent="0.3">
      <c r="A1846">
        <v>4022</v>
      </c>
      <c r="B1846" t="s">
        <v>14</v>
      </c>
      <c r="C1846" s="7">
        <v>102.377358490566</v>
      </c>
      <c r="D1846" s="1">
        <v>45123</v>
      </c>
      <c r="E1846" s="29">
        <v>2.6</v>
      </c>
      <c r="F1846" t="s">
        <v>4</v>
      </c>
      <c r="G1846" t="str">
        <f t="shared" si="28"/>
        <v>2023-07</v>
      </c>
    </row>
    <row r="1847" spans="1:7" x14ac:dyDescent="0.3">
      <c r="A1847">
        <v>4002</v>
      </c>
      <c r="B1847" t="s">
        <v>49</v>
      </c>
      <c r="C1847" s="7">
        <v>81</v>
      </c>
      <c r="D1847" s="1">
        <v>44860</v>
      </c>
      <c r="E1847" s="29">
        <v>2.2000000000000002</v>
      </c>
      <c r="F1847" t="s">
        <v>4</v>
      </c>
      <c r="G1847" t="str">
        <f t="shared" si="28"/>
        <v>2022-10</v>
      </c>
    </row>
    <row r="1848" spans="1:7" x14ac:dyDescent="0.3">
      <c r="A1848">
        <v>4018</v>
      </c>
      <c r="B1848" t="s">
        <v>9</v>
      </c>
      <c r="C1848" s="7">
        <v>103.564102564102</v>
      </c>
      <c r="D1848" s="1">
        <v>45011</v>
      </c>
      <c r="E1848" s="29">
        <v>3.4</v>
      </c>
      <c r="F1848" t="s">
        <v>4</v>
      </c>
      <c r="G1848" t="str">
        <f t="shared" si="28"/>
        <v>2023-03</v>
      </c>
    </row>
    <row r="1849" spans="1:7" x14ac:dyDescent="0.3">
      <c r="A1849">
        <v>4059</v>
      </c>
      <c r="B1849" t="s">
        <v>7</v>
      </c>
      <c r="C1849" s="7">
        <v>145</v>
      </c>
      <c r="D1849" s="1">
        <v>44919</v>
      </c>
      <c r="E1849" s="29">
        <v>1.1000000000000001</v>
      </c>
      <c r="F1849" t="s">
        <v>1</v>
      </c>
      <c r="G1849" t="str">
        <f t="shared" si="28"/>
        <v>2022-12</v>
      </c>
    </row>
    <row r="1850" spans="1:7" x14ac:dyDescent="0.3">
      <c r="A1850">
        <v>3979</v>
      </c>
      <c r="B1850" t="s">
        <v>10</v>
      </c>
      <c r="C1850" s="7">
        <v>159</v>
      </c>
      <c r="D1850" s="1">
        <v>45040</v>
      </c>
      <c r="E1850" s="29">
        <v>2</v>
      </c>
      <c r="F1850" t="s">
        <v>1</v>
      </c>
      <c r="G1850" t="str">
        <f t="shared" si="28"/>
        <v>2023-04</v>
      </c>
    </row>
    <row r="1851" spans="1:7" x14ac:dyDescent="0.3">
      <c r="A1851">
        <v>3962</v>
      </c>
      <c r="B1851" t="s">
        <v>9</v>
      </c>
      <c r="C1851" s="7">
        <v>50</v>
      </c>
      <c r="D1851" s="1">
        <v>44959</v>
      </c>
      <c r="E1851" s="29">
        <v>2.8</v>
      </c>
      <c r="F1851" t="s">
        <v>1</v>
      </c>
      <c r="G1851" t="str">
        <f t="shared" si="28"/>
        <v>2023-02</v>
      </c>
    </row>
    <row r="1852" spans="1:7" x14ac:dyDescent="0.3">
      <c r="A1852">
        <v>4010</v>
      </c>
      <c r="B1852" t="s">
        <v>16</v>
      </c>
      <c r="C1852" s="7">
        <v>110.56666666666599</v>
      </c>
      <c r="D1852" s="1">
        <v>44931</v>
      </c>
      <c r="E1852" s="29">
        <v>2.6</v>
      </c>
      <c r="F1852" t="s">
        <v>1</v>
      </c>
      <c r="G1852" t="str">
        <f t="shared" si="28"/>
        <v>2023-01</v>
      </c>
    </row>
    <row r="1853" spans="1:7" x14ac:dyDescent="0.3">
      <c r="A1853">
        <v>3998</v>
      </c>
      <c r="B1853" t="s">
        <v>43</v>
      </c>
      <c r="C1853" s="7">
        <v>78</v>
      </c>
      <c r="D1853" s="1">
        <v>45172</v>
      </c>
      <c r="E1853" s="29">
        <v>2.5</v>
      </c>
      <c r="F1853" t="s">
        <v>1</v>
      </c>
      <c r="G1853" t="str">
        <f t="shared" si="28"/>
        <v>2023-09</v>
      </c>
    </row>
    <row r="1854" spans="1:7" x14ac:dyDescent="0.3">
      <c r="A1854">
        <v>4056</v>
      </c>
      <c r="B1854" t="s">
        <v>45</v>
      </c>
      <c r="C1854" s="7">
        <v>198</v>
      </c>
      <c r="D1854" s="1">
        <v>44897</v>
      </c>
      <c r="E1854" s="29">
        <v>3.9</v>
      </c>
      <c r="F1854" t="s">
        <v>4</v>
      </c>
      <c r="G1854" t="str">
        <f t="shared" si="28"/>
        <v>2022-12</v>
      </c>
    </row>
    <row r="1855" spans="1:7" x14ac:dyDescent="0.3">
      <c r="A1855">
        <v>4060</v>
      </c>
      <c r="B1855" t="s">
        <v>37</v>
      </c>
      <c r="C1855" s="7">
        <v>97.720588235294102</v>
      </c>
      <c r="D1855" s="1">
        <v>44893</v>
      </c>
      <c r="E1855" s="29">
        <v>1.4</v>
      </c>
      <c r="F1855" t="s">
        <v>1</v>
      </c>
      <c r="G1855" t="str">
        <f t="shared" si="28"/>
        <v>2022-11</v>
      </c>
    </row>
    <row r="1856" spans="1:7" x14ac:dyDescent="0.3">
      <c r="A1856">
        <v>4029</v>
      </c>
      <c r="B1856" t="s">
        <v>2</v>
      </c>
      <c r="C1856" s="7">
        <v>66</v>
      </c>
      <c r="D1856" s="1">
        <v>45140</v>
      </c>
      <c r="E1856" s="29">
        <v>1.9</v>
      </c>
      <c r="F1856" t="s">
        <v>1</v>
      </c>
      <c r="G1856" t="str">
        <f t="shared" si="28"/>
        <v>2023-08</v>
      </c>
    </row>
    <row r="1857" spans="1:7" x14ac:dyDescent="0.3">
      <c r="A1857">
        <v>4122</v>
      </c>
      <c r="B1857" t="s">
        <v>47</v>
      </c>
      <c r="C1857" s="7">
        <v>109</v>
      </c>
      <c r="D1857" s="1">
        <v>45171</v>
      </c>
      <c r="E1857" s="29">
        <v>5</v>
      </c>
      <c r="F1857" t="s">
        <v>4</v>
      </c>
      <c r="G1857" t="str">
        <f t="shared" si="28"/>
        <v>2023-09</v>
      </c>
    </row>
    <row r="1858" spans="1:7" x14ac:dyDescent="0.3">
      <c r="A1858">
        <v>3996</v>
      </c>
      <c r="B1858" t="s">
        <v>49</v>
      </c>
      <c r="C1858" s="7">
        <v>54</v>
      </c>
      <c r="D1858" s="1">
        <v>45042</v>
      </c>
      <c r="E1858" s="29">
        <v>1.7</v>
      </c>
      <c r="F1858" t="s">
        <v>1</v>
      </c>
      <c r="G1858" t="str">
        <f t="shared" si="28"/>
        <v>2023-04</v>
      </c>
    </row>
    <row r="1859" spans="1:7" x14ac:dyDescent="0.3">
      <c r="A1859">
        <v>3987</v>
      </c>
      <c r="B1859" t="s">
        <v>23</v>
      </c>
      <c r="C1859" s="7">
        <v>107.68518518518501</v>
      </c>
      <c r="D1859" s="1">
        <v>44852</v>
      </c>
      <c r="E1859" s="29">
        <v>3.6</v>
      </c>
      <c r="F1859" t="s">
        <v>4</v>
      </c>
      <c r="G1859" t="str">
        <f t="shared" ref="G1859:G1922" si="29">TEXT(D1859,"ГГГГ-ММ")</f>
        <v>2022-10</v>
      </c>
    </row>
    <row r="1860" spans="1:7" x14ac:dyDescent="0.3">
      <c r="A1860">
        <v>4033</v>
      </c>
      <c r="B1860" t="s">
        <v>25</v>
      </c>
      <c r="C1860" s="7">
        <v>198</v>
      </c>
      <c r="D1860" s="1">
        <v>44987</v>
      </c>
      <c r="E1860" s="29">
        <v>4.2</v>
      </c>
      <c r="F1860" t="s">
        <v>1</v>
      </c>
      <c r="G1860" t="str">
        <f t="shared" si="29"/>
        <v>2023-03</v>
      </c>
    </row>
    <row r="1861" spans="1:7" x14ac:dyDescent="0.3">
      <c r="A1861">
        <v>4082</v>
      </c>
      <c r="B1861" t="s">
        <v>3</v>
      </c>
      <c r="C1861" s="7">
        <v>161</v>
      </c>
      <c r="D1861" s="1">
        <v>45068</v>
      </c>
      <c r="E1861" s="29">
        <v>4.9000000000000004</v>
      </c>
      <c r="F1861" t="s">
        <v>1</v>
      </c>
      <c r="G1861" t="str">
        <f t="shared" si="29"/>
        <v>2023-05</v>
      </c>
    </row>
    <row r="1862" spans="1:7" x14ac:dyDescent="0.3">
      <c r="A1862">
        <v>4067</v>
      </c>
      <c r="B1862" t="s">
        <v>19</v>
      </c>
      <c r="C1862" s="7">
        <v>117.172413793103</v>
      </c>
      <c r="D1862" s="1">
        <v>45186</v>
      </c>
      <c r="E1862" s="29">
        <v>4</v>
      </c>
      <c r="F1862" t="s">
        <v>1</v>
      </c>
      <c r="G1862" t="str">
        <f t="shared" si="29"/>
        <v>2023-09</v>
      </c>
    </row>
    <row r="1863" spans="1:7" x14ac:dyDescent="0.3">
      <c r="A1863">
        <v>4036</v>
      </c>
      <c r="B1863" t="s">
        <v>45</v>
      </c>
      <c r="C1863" s="7">
        <v>155</v>
      </c>
      <c r="D1863" s="1">
        <v>45180</v>
      </c>
      <c r="E1863" s="29">
        <v>3.27111111111111</v>
      </c>
      <c r="F1863" t="s">
        <v>4</v>
      </c>
      <c r="G1863" t="str">
        <f t="shared" si="29"/>
        <v>2023-09</v>
      </c>
    </row>
    <row r="1864" spans="1:7" x14ac:dyDescent="0.3">
      <c r="A1864">
        <v>4111</v>
      </c>
      <c r="B1864" t="s">
        <v>6</v>
      </c>
      <c r="C1864" s="7">
        <v>154</v>
      </c>
      <c r="D1864" s="1">
        <v>44917</v>
      </c>
      <c r="E1864" s="29">
        <v>1.4</v>
      </c>
      <c r="F1864" t="s">
        <v>1</v>
      </c>
      <c r="G1864" t="str">
        <f t="shared" si="29"/>
        <v>2022-12</v>
      </c>
    </row>
    <row r="1865" spans="1:7" x14ac:dyDescent="0.3">
      <c r="A1865">
        <v>3990</v>
      </c>
      <c r="B1865" t="s">
        <v>29</v>
      </c>
      <c r="C1865" s="7">
        <v>136</v>
      </c>
      <c r="D1865" s="1">
        <v>44911</v>
      </c>
      <c r="E1865" s="29">
        <v>1.2</v>
      </c>
      <c r="F1865" t="s">
        <v>4</v>
      </c>
      <c r="G1865" t="str">
        <f t="shared" si="29"/>
        <v>2022-12</v>
      </c>
    </row>
    <row r="1866" spans="1:7" x14ac:dyDescent="0.3">
      <c r="A1866">
        <v>4048</v>
      </c>
      <c r="B1866" t="s">
        <v>32</v>
      </c>
      <c r="C1866" s="7">
        <v>54</v>
      </c>
      <c r="D1866" s="1">
        <v>44845</v>
      </c>
      <c r="E1866" s="29">
        <v>3.0542857142857098</v>
      </c>
      <c r="F1866" t="s">
        <v>1</v>
      </c>
      <c r="G1866" t="str">
        <f t="shared" si="29"/>
        <v>2022-10</v>
      </c>
    </row>
    <row r="1867" spans="1:7" x14ac:dyDescent="0.3">
      <c r="A1867">
        <v>3981</v>
      </c>
      <c r="B1867" t="s">
        <v>41</v>
      </c>
      <c r="C1867" s="7">
        <v>33</v>
      </c>
      <c r="D1867" s="1">
        <v>44996</v>
      </c>
      <c r="E1867" s="29">
        <v>2.8</v>
      </c>
      <c r="F1867" t="s">
        <v>4</v>
      </c>
      <c r="G1867" t="str">
        <f t="shared" si="29"/>
        <v>2023-03</v>
      </c>
    </row>
    <row r="1868" spans="1:7" x14ac:dyDescent="0.3">
      <c r="A1868">
        <v>4051</v>
      </c>
      <c r="B1868" t="s">
        <v>27</v>
      </c>
      <c r="C1868" s="7">
        <v>103.98245614035</v>
      </c>
      <c r="D1868" s="1">
        <v>44951</v>
      </c>
      <c r="E1868" s="29">
        <v>4.4000000000000004</v>
      </c>
      <c r="F1868" t="s">
        <v>1</v>
      </c>
      <c r="G1868" t="str">
        <f t="shared" si="29"/>
        <v>2023-01</v>
      </c>
    </row>
    <row r="1869" spans="1:7" x14ac:dyDescent="0.3">
      <c r="A1869">
        <v>4088</v>
      </c>
      <c r="B1869" t="s">
        <v>30</v>
      </c>
      <c r="C1869" s="7">
        <v>15</v>
      </c>
      <c r="D1869" s="1">
        <v>45143</v>
      </c>
      <c r="E1869" s="29">
        <v>4.7</v>
      </c>
      <c r="F1869" t="s">
        <v>1</v>
      </c>
      <c r="G1869" t="str">
        <f t="shared" si="29"/>
        <v>2023-08</v>
      </c>
    </row>
    <row r="1870" spans="1:7" x14ac:dyDescent="0.3">
      <c r="A1870">
        <v>4008</v>
      </c>
      <c r="B1870" t="s">
        <v>51</v>
      </c>
      <c r="C1870" s="7">
        <v>10</v>
      </c>
      <c r="D1870" s="1">
        <v>45076</v>
      </c>
      <c r="E1870" s="29">
        <v>2.2000000000000002</v>
      </c>
      <c r="F1870" t="s">
        <v>1</v>
      </c>
      <c r="G1870" t="str">
        <f t="shared" si="29"/>
        <v>2023-05</v>
      </c>
    </row>
    <row r="1871" spans="1:7" x14ac:dyDescent="0.3">
      <c r="A1871">
        <v>4082</v>
      </c>
      <c r="B1871" t="s">
        <v>28</v>
      </c>
      <c r="C1871" s="7">
        <v>167</v>
      </c>
      <c r="D1871" s="1">
        <v>45183</v>
      </c>
      <c r="E1871" s="29">
        <v>1.9</v>
      </c>
      <c r="F1871" t="s">
        <v>4</v>
      </c>
      <c r="G1871" t="str">
        <f t="shared" si="29"/>
        <v>2023-09</v>
      </c>
    </row>
    <row r="1872" spans="1:7" x14ac:dyDescent="0.3">
      <c r="A1872">
        <v>4071</v>
      </c>
      <c r="B1872" t="s">
        <v>32</v>
      </c>
      <c r="C1872" s="7">
        <v>43</v>
      </c>
      <c r="D1872" s="1">
        <v>44839</v>
      </c>
      <c r="E1872" s="29">
        <v>3.0542857142857098</v>
      </c>
      <c r="F1872" t="s">
        <v>1</v>
      </c>
      <c r="G1872" t="str">
        <f t="shared" si="29"/>
        <v>2022-10</v>
      </c>
    </row>
    <row r="1873" spans="1:7" x14ac:dyDescent="0.3">
      <c r="A1873">
        <v>4056</v>
      </c>
      <c r="B1873" t="s">
        <v>49</v>
      </c>
      <c r="C1873" s="7">
        <v>55</v>
      </c>
      <c r="D1873" s="1">
        <v>45079</v>
      </c>
      <c r="E1873" s="29">
        <v>3.2020408163265301</v>
      </c>
      <c r="F1873" t="s">
        <v>4</v>
      </c>
      <c r="G1873" t="str">
        <f t="shared" si="29"/>
        <v>2023-06</v>
      </c>
    </row>
    <row r="1874" spans="1:7" x14ac:dyDescent="0.3">
      <c r="A1874">
        <v>4078</v>
      </c>
      <c r="B1874" t="s">
        <v>39</v>
      </c>
      <c r="C1874" s="7">
        <v>92</v>
      </c>
      <c r="D1874" s="1">
        <v>45080</v>
      </c>
      <c r="E1874" s="29">
        <v>4.0999999999999996</v>
      </c>
      <c r="F1874" t="s">
        <v>1</v>
      </c>
      <c r="G1874" t="str">
        <f t="shared" si="29"/>
        <v>2023-06</v>
      </c>
    </row>
    <row r="1875" spans="1:7" x14ac:dyDescent="0.3">
      <c r="A1875">
        <v>4025</v>
      </c>
      <c r="B1875" t="s">
        <v>35</v>
      </c>
      <c r="C1875" s="7">
        <v>97.071428571428498</v>
      </c>
      <c r="D1875" s="1">
        <v>44975</v>
      </c>
      <c r="E1875" s="29">
        <v>4.8</v>
      </c>
      <c r="F1875" t="s">
        <v>1</v>
      </c>
      <c r="G1875" t="str">
        <f t="shared" si="29"/>
        <v>2023-02</v>
      </c>
    </row>
    <row r="1876" spans="1:7" x14ac:dyDescent="0.3">
      <c r="A1876">
        <v>4101</v>
      </c>
      <c r="B1876" t="s">
        <v>33</v>
      </c>
      <c r="C1876" s="7">
        <v>113.54098360655701</v>
      </c>
      <c r="D1876" s="1">
        <v>45022</v>
      </c>
      <c r="E1876" s="29">
        <v>3.2</v>
      </c>
      <c r="F1876" t="s">
        <v>1</v>
      </c>
      <c r="G1876" t="str">
        <f t="shared" si="29"/>
        <v>2023-04</v>
      </c>
    </row>
    <row r="1877" spans="1:7" x14ac:dyDescent="0.3">
      <c r="A1877">
        <v>4110</v>
      </c>
      <c r="B1877" t="s">
        <v>30</v>
      </c>
      <c r="C1877" s="7">
        <v>46</v>
      </c>
      <c r="D1877" s="1">
        <v>45200</v>
      </c>
      <c r="E1877" s="29">
        <v>4.5999999999999996</v>
      </c>
      <c r="F1877" t="s">
        <v>4</v>
      </c>
      <c r="G1877" t="str">
        <f t="shared" si="29"/>
        <v>2023-10</v>
      </c>
    </row>
    <row r="1878" spans="1:7" x14ac:dyDescent="0.3">
      <c r="A1878">
        <v>4065</v>
      </c>
      <c r="B1878" t="s">
        <v>51</v>
      </c>
      <c r="C1878" s="7">
        <v>144</v>
      </c>
      <c r="D1878" s="1">
        <v>44978</v>
      </c>
      <c r="E1878" s="29">
        <v>4.2</v>
      </c>
      <c r="F1878" t="s">
        <v>4</v>
      </c>
      <c r="G1878" t="str">
        <f t="shared" si="29"/>
        <v>2023-02</v>
      </c>
    </row>
    <row r="1879" spans="1:7" x14ac:dyDescent="0.3">
      <c r="A1879">
        <v>3980</v>
      </c>
      <c r="B1879" t="s">
        <v>38</v>
      </c>
      <c r="C1879" s="7">
        <v>28</v>
      </c>
      <c r="D1879" s="1">
        <v>44987</v>
      </c>
      <c r="E1879" s="29">
        <v>3.9</v>
      </c>
      <c r="F1879" t="s">
        <v>4</v>
      </c>
      <c r="G1879" t="str">
        <f t="shared" si="29"/>
        <v>2023-03</v>
      </c>
    </row>
    <row r="1880" spans="1:7" x14ac:dyDescent="0.3">
      <c r="A1880">
        <v>4065</v>
      </c>
      <c r="B1880" t="s">
        <v>12</v>
      </c>
      <c r="C1880" s="7">
        <v>179</v>
      </c>
      <c r="D1880" s="1">
        <v>45081</v>
      </c>
      <c r="E1880" s="29">
        <v>2.7471698113207501</v>
      </c>
      <c r="F1880" t="s">
        <v>1</v>
      </c>
      <c r="G1880" t="str">
        <f t="shared" si="29"/>
        <v>2023-06</v>
      </c>
    </row>
    <row r="1881" spans="1:7" x14ac:dyDescent="0.3">
      <c r="A1881">
        <v>4051</v>
      </c>
      <c r="B1881" t="s">
        <v>40</v>
      </c>
      <c r="C1881" s="7">
        <v>35</v>
      </c>
      <c r="D1881" s="1">
        <v>45193</v>
      </c>
      <c r="E1881" s="29">
        <v>4.3</v>
      </c>
      <c r="F1881" t="s">
        <v>4</v>
      </c>
      <c r="G1881" t="str">
        <f t="shared" si="29"/>
        <v>2023-09</v>
      </c>
    </row>
    <row r="1882" spans="1:7" x14ac:dyDescent="0.3">
      <c r="A1882">
        <v>4114</v>
      </c>
      <c r="B1882" t="s">
        <v>16</v>
      </c>
      <c r="C1882" s="7">
        <v>92</v>
      </c>
      <c r="D1882" s="1">
        <v>44865</v>
      </c>
      <c r="E1882" s="29">
        <v>1.5</v>
      </c>
      <c r="F1882" t="s">
        <v>4</v>
      </c>
      <c r="G1882" t="str">
        <f t="shared" si="29"/>
        <v>2022-10</v>
      </c>
    </row>
    <row r="1883" spans="1:7" x14ac:dyDescent="0.3">
      <c r="A1883">
        <v>4004</v>
      </c>
      <c r="B1883" t="s">
        <v>40</v>
      </c>
      <c r="C1883" s="7">
        <v>106.80769230769199</v>
      </c>
      <c r="D1883" s="1">
        <v>45108</v>
      </c>
      <c r="E1883" s="29">
        <v>4</v>
      </c>
      <c r="F1883" t="s">
        <v>1</v>
      </c>
      <c r="G1883" t="str">
        <f t="shared" si="29"/>
        <v>2023-07</v>
      </c>
    </row>
    <row r="1884" spans="1:7" x14ac:dyDescent="0.3">
      <c r="A1884">
        <v>4068</v>
      </c>
      <c r="B1884" t="s">
        <v>29</v>
      </c>
      <c r="C1884" s="7">
        <v>108.734693877551</v>
      </c>
      <c r="D1884" s="1">
        <v>45183</v>
      </c>
      <c r="E1884" s="29">
        <v>1.6</v>
      </c>
      <c r="F1884" t="s">
        <v>1</v>
      </c>
      <c r="G1884" t="str">
        <f t="shared" si="29"/>
        <v>2023-09</v>
      </c>
    </row>
    <row r="1885" spans="1:7" x14ac:dyDescent="0.3">
      <c r="A1885">
        <v>4118</v>
      </c>
      <c r="B1885" t="s">
        <v>11</v>
      </c>
      <c r="C1885" s="7">
        <v>173</v>
      </c>
      <c r="D1885" s="1">
        <v>45183</v>
      </c>
      <c r="E1885" s="29">
        <v>2</v>
      </c>
      <c r="F1885" t="s">
        <v>1</v>
      </c>
      <c r="G1885" t="str">
        <f t="shared" si="29"/>
        <v>2023-09</v>
      </c>
    </row>
    <row r="1886" spans="1:7" x14ac:dyDescent="0.3">
      <c r="A1886">
        <v>4066</v>
      </c>
      <c r="B1886" t="s">
        <v>41</v>
      </c>
      <c r="C1886" s="7">
        <v>176</v>
      </c>
      <c r="D1886" s="1">
        <v>44906</v>
      </c>
      <c r="E1886" s="29">
        <v>2.70806451612903</v>
      </c>
      <c r="F1886" t="s">
        <v>1</v>
      </c>
      <c r="G1886" t="str">
        <f t="shared" si="29"/>
        <v>2022-12</v>
      </c>
    </row>
    <row r="1887" spans="1:7" x14ac:dyDescent="0.3">
      <c r="A1887">
        <v>3980</v>
      </c>
      <c r="B1887" t="s">
        <v>43</v>
      </c>
      <c r="C1887" s="7">
        <v>191</v>
      </c>
      <c r="D1887" s="1">
        <v>45163</v>
      </c>
      <c r="E1887" s="29">
        <v>4.0999999999999996</v>
      </c>
      <c r="F1887" t="s">
        <v>4</v>
      </c>
      <c r="G1887" t="str">
        <f t="shared" si="29"/>
        <v>2023-08</v>
      </c>
    </row>
    <row r="1888" spans="1:7" x14ac:dyDescent="0.3">
      <c r="A1888">
        <v>3967</v>
      </c>
      <c r="B1888" t="s">
        <v>50</v>
      </c>
      <c r="C1888" s="7">
        <v>187</v>
      </c>
      <c r="D1888" s="1">
        <v>44936</v>
      </c>
      <c r="E1888" s="29">
        <v>1.1000000000000001</v>
      </c>
      <c r="F1888" t="s">
        <v>1</v>
      </c>
      <c r="G1888" t="str">
        <f t="shared" si="29"/>
        <v>2023-01</v>
      </c>
    </row>
    <row r="1889" spans="1:7" x14ac:dyDescent="0.3">
      <c r="A1889">
        <v>4088</v>
      </c>
      <c r="B1889" t="s">
        <v>33</v>
      </c>
      <c r="C1889" s="7">
        <v>167</v>
      </c>
      <c r="D1889" s="1">
        <v>44876</v>
      </c>
      <c r="E1889" s="29">
        <v>1.2</v>
      </c>
      <c r="F1889" t="s">
        <v>1</v>
      </c>
      <c r="G1889" t="str">
        <f t="shared" si="29"/>
        <v>2022-11</v>
      </c>
    </row>
    <row r="1890" spans="1:7" x14ac:dyDescent="0.3">
      <c r="A1890">
        <v>4044</v>
      </c>
      <c r="B1890" t="s">
        <v>29</v>
      </c>
      <c r="C1890" s="7">
        <v>67</v>
      </c>
      <c r="D1890" s="1">
        <v>45063</v>
      </c>
      <c r="E1890" s="29">
        <v>1.2</v>
      </c>
      <c r="F1890" t="s">
        <v>4</v>
      </c>
      <c r="G1890" t="str">
        <f t="shared" si="29"/>
        <v>2023-05</v>
      </c>
    </row>
    <row r="1891" spans="1:7" x14ac:dyDescent="0.3">
      <c r="A1891">
        <v>4075</v>
      </c>
      <c r="B1891" t="s">
        <v>26</v>
      </c>
      <c r="C1891" s="7">
        <v>54</v>
      </c>
      <c r="D1891" s="1">
        <v>44868</v>
      </c>
      <c r="E1891" s="29">
        <v>1.5</v>
      </c>
      <c r="F1891" t="s">
        <v>4</v>
      </c>
      <c r="G1891" t="str">
        <f t="shared" si="29"/>
        <v>2022-11</v>
      </c>
    </row>
    <row r="1892" spans="1:7" x14ac:dyDescent="0.3">
      <c r="A1892">
        <v>4014</v>
      </c>
      <c r="B1892" t="s">
        <v>47</v>
      </c>
      <c r="C1892" s="7">
        <v>197</v>
      </c>
      <c r="D1892" s="1">
        <v>44984</v>
      </c>
      <c r="E1892" s="29">
        <v>4.3</v>
      </c>
      <c r="F1892" t="s">
        <v>1</v>
      </c>
      <c r="G1892" t="str">
        <f t="shared" si="29"/>
        <v>2023-02</v>
      </c>
    </row>
    <row r="1893" spans="1:7" x14ac:dyDescent="0.3">
      <c r="A1893">
        <v>4122</v>
      </c>
      <c r="B1893" t="s">
        <v>49</v>
      </c>
      <c r="C1893" s="7">
        <v>42</v>
      </c>
      <c r="D1893" s="1">
        <v>45035</v>
      </c>
      <c r="E1893" s="29">
        <v>2.1</v>
      </c>
      <c r="F1893" t="s">
        <v>4</v>
      </c>
      <c r="G1893" t="str">
        <f t="shared" si="29"/>
        <v>2023-04</v>
      </c>
    </row>
    <row r="1894" spans="1:7" x14ac:dyDescent="0.3">
      <c r="A1894">
        <v>3996</v>
      </c>
      <c r="B1894" t="s">
        <v>38</v>
      </c>
      <c r="C1894" s="7">
        <v>103.222222222222</v>
      </c>
      <c r="D1894" s="1">
        <v>44873</v>
      </c>
      <c r="E1894" s="29">
        <v>1.7</v>
      </c>
      <c r="F1894" t="s">
        <v>1</v>
      </c>
      <c r="G1894" t="str">
        <f t="shared" si="29"/>
        <v>2022-11</v>
      </c>
    </row>
    <row r="1895" spans="1:7" x14ac:dyDescent="0.3">
      <c r="A1895">
        <v>4083</v>
      </c>
      <c r="B1895" t="s">
        <v>46</v>
      </c>
      <c r="C1895" s="7">
        <v>118.531914893617</v>
      </c>
      <c r="D1895" s="1">
        <v>45152</v>
      </c>
      <c r="E1895" s="29">
        <v>2</v>
      </c>
      <c r="F1895" t="s">
        <v>4</v>
      </c>
      <c r="G1895" t="str">
        <f t="shared" si="29"/>
        <v>2023-08</v>
      </c>
    </row>
    <row r="1896" spans="1:7" x14ac:dyDescent="0.3">
      <c r="A1896">
        <v>4091</v>
      </c>
      <c r="B1896" t="s">
        <v>42</v>
      </c>
      <c r="C1896" s="7">
        <v>156</v>
      </c>
      <c r="D1896" s="1">
        <v>45129</v>
      </c>
      <c r="E1896" s="29">
        <v>4</v>
      </c>
      <c r="F1896" t="s">
        <v>1</v>
      </c>
      <c r="G1896" t="str">
        <f t="shared" si="29"/>
        <v>2023-07</v>
      </c>
    </row>
    <row r="1897" spans="1:7" x14ac:dyDescent="0.3">
      <c r="A1897">
        <v>4118</v>
      </c>
      <c r="B1897" t="s">
        <v>46</v>
      </c>
      <c r="C1897" s="7">
        <v>155</v>
      </c>
      <c r="D1897" s="1">
        <v>45009</v>
      </c>
      <c r="E1897" s="29">
        <v>3.262</v>
      </c>
      <c r="F1897" t="s">
        <v>4</v>
      </c>
      <c r="G1897" t="str">
        <f t="shared" si="29"/>
        <v>2023-03</v>
      </c>
    </row>
    <row r="1898" spans="1:7" x14ac:dyDescent="0.3">
      <c r="A1898">
        <v>4122</v>
      </c>
      <c r="B1898" t="s">
        <v>13</v>
      </c>
      <c r="C1898" s="7">
        <v>112.64705882352899</v>
      </c>
      <c r="D1898" s="1">
        <v>44960</v>
      </c>
      <c r="E1898" s="29">
        <v>1</v>
      </c>
      <c r="F1898" t="s">
        <v>4</v>
      </c>
      <c r="G1898" t="str">
        <f t="shared" si="29"/>
        <v>2023-02</v>
      </c>
    </row>
    <row r="1899" spans="1:7" x14ac:dyDescent="0.3">
      <c r="A1899">
        <v>4091</v>
      </c>
      <c r="B1899" t="s">
        <v>7</v>
      </c>
      <c r="C1899" s="7">
        <v>166</v>
      </c>
      <c r="D1899" s="1">
        <v>45131</v>
      </c>
      <c r="E1899" s="29">
        <v>4.2</v>
      </c>
      <c r="F1899" t="s">
        <v>1</v>
      </c>
      <c r="G1899" t="str">
        <f t="shared" si="29"/>
        <v>2023-07</v>
      </c>
    </row>
    <row r="1900" spans="1:7" x14ac:dyDescent="0.3">
      <c r="A1900">
        <v>3978</v>
      </c>
      <c r="B1900" t="s">
        <v>0</v>
      </c>
      <c r="C1900" s="7">
        <v>154</v>
      </c>
      <c r="D1900" s="1">
        <v>44975</v>
      </c>
      <c r="E1900" s="29">
        <v>2.6</v>
      </c>
      <c r="F1900" t="s">
        <v>1</v>
      </c>
      <c r="G1900" t="str">
        <f t="shared" si="29"/>
        <v>2023-02</v>
      </c>
    </row>
    <row r="1901" spans="1:7" x14ac:dyDescent="0.3">
      <c r="A1901">
        <v>4031</v>
      </c>
      <c r="B1901" t="s">
        <v>10</v>
      </c>
      <c r="C1901" s="7">
        <v>120.375</v>
      </c>
      <c r="D1901" s="1">
        <v>45051</v>
      </c>
      <c r="E1901" s="29">
        <v>2.6</v>
      </c>
      <c r="F1901" t="s">
        <v>4</v>
      </c>
      <c r="G1901" t="str">
        <f t="shared" si="29"/>
        <v>2023-05</v>
      </c>
    </row>
    <row r="1902" spans="1:7" x14ac:dyDescent="0.3">
      <c r="A1902">
        <v>4076</v>
      </c>
      <c r="B1902" t="s">
        <v>48</v>
      </c>
      <c r="C1902" s="7">
        <v>94</v>
      </c>
      <c r="D1902" s="1">
        <v>45084</v>
      </c>
      <c r="E1902" s="29">
        <v>4.8</v>
      </c>
      <c r="F1902" t="s">
        <v>4</v>
      </c>
      <c r="G1902" t="str">
        <f t="shared" si="29"/>
        <v>2023-06</v>
      </c>
    </row>
    <row r="1903" spans="1:7" x14ac:dyDescent="0.3">
      <c r="A1903">
        <v>4068</v>
      </c>
      <c r="B1903" t="s">
        <v>41</v>
      </c>
      <c r="C1903" s="7">
        <v>70</v>
      </c>
      <c r="D1903" s="1">
        <v>45034</v>
      </c>
      <c r="E1903" s="29">
        <v>2.4</v>
      </c>
      <c r="F1903" t="s">
        <v>1</v>
      </c>
      <c r="G1903" t="str">
        <f t="shared" si="29"/>
        <v>2023-04</v>
      </c>
    </row>
    <row r="1904" spans="1:7" x14ac:dyDescent="0.3">
      <c r="A1904">
        <v>3977</v>
      </c>
      <c r="B1904" t="s">
        <v>30</v>
      </c>
      <c r="C1904" s="7">
        <v>91</v>
      </c>
      <c r="D1904" s="1">
        <v>45044</v>
      </c>
      <c r="E1904" s="29">
        <v>3.9</v>
      </c>
      <c r="F1904" t="s">
        <v>1</v>
      </c>
      <c r="G1904" t="str">
        <f t="shared" si="29"/>
        <v>2023-04</v>
      </c>
    </row>
    <row r="1905" spans="1:7" x14ac:dyDescent="0.3">
      <c r="A1905">
        <v>4079</v>
      </c>
      <c r="B1905" t="s">
        <v>2</v>
      </c>
      <c r="C1905" s="7">
        <v>93.340909090909093</v>
      </c>
      <c r="D1905" s="1">
        <v>44903</v>
      </c>
      <c r="E1905" s="29">
        <v>4</v>
      </c>
      <c r="F1905" t="s">
        <v>1</v>
      </c>
      <c r="G1905" t="str">
        <f t="shared" si="29"/>
        <v>2022-12</v>
      </c>
    </row>
    <row r="1906" spans="1:7" x14ac:dyDescent="0.3">
      <c r="A1906">
        <v>4033</v>
      </c>
      <c r="B1906" t="s">
        <v>43</v>
      </c>
      <c r="C1906" s="7">
        <v>32</v>
      </c>
      <c r="D1906" s="1">
        <v>45044</v>
      </c>
      <c r="E1906" s="29">
        <v>2.6</v>
      </c>
      <c r="F1906" t="s">
        <v>1</v>
      </c>
      <c r="G1906" t="str">
        <f t="shared" si="29"/>
        <v>2023-04</v>
      </c>
    </row>
    <row r="1907" spans="1:7" x14ac:dyDescent="0.3">
      <c r="A1907">
        <v>3995</v>
      </c>
      <c r="B1907" t="s">
        <v>16</v>
      </c>
      <c r="C1907" s="7">
        <v>181</v>
      </c>
      <c r="D1907" s="1">
        <v>44928</v>
      </c>
      <c r="E1907" s="29">
        <v>3</v>
      </c>
      <c r="F1907" t="s">
        <v>1</v>
      </c>
      <c r="G1907" t="str">
        <f t="shared" si="29"/>
        <v>2023-01</v>
      </c>
    </row>
    <row r="1908" spans="1:7" x14ac:dyDescent="0.3">
      <c r="A1908">
        <v>3989</v>
      </c>
      <c r="B1908" t="s">
        <v>44</v>
      </c>
      <c r="C1908" s="7">
        <v>95</v>
      </c>
      <c r="D1908" s="1">
        <v>44963</v>
      </c>
      <c r="E1908" s="29">
        <v>1.8</v>
      </c>
      <c r="F1908" t="s">
        <v>1</v>
      </c>
      <c r="G1908" t="str">
        <f t="shared" si="29"/>
        <v>2023-02</v>
      </c>
    </row>
    <row r="1909" spans="1:7" x14ac:dyDescent="0.3">
      <c r="A1909">
        <v>4033</v>
      </c>
      <c r="B1909" t="s">
        <v>15</v>
      </c>
      <c r="C1909" s="7">
        <v>77</v>
      </c>
      <c r="D1909" s="1">
        <v>45003</v>
      </c>
      <c r="E1909" s="29">
        <v>2.5</v>
      </c>
      <c r="F1909" t="s">
        <v>1</v>
      </c>
      <c r="G1909" t="str">
        <f t="shared" si="29"/>
        <v>2023-03</v>
      </c>
    </row>
    <row r="1910" spans="1:7" x14ac:dyDescent="0.3">
      <c r="A1910">
        <v>4020</v>
      </c>
      <c r="B1910" t="s">
        <v>45</v>
      </c>
      <c r="C1910" s="7">
        <v>187</v>
      </c>
      <c r="D1910" s="1">
        <v>45195</v>
      </c>
      <c r="E1910" s="29">
        <v>3.4</v>
      </c>
      <c r="F1910" t="s">
        <v>1</v>
      </c>
      <c r="G1910" t="str">
        <f t="shared" si="29"/>
        <v>2023-09</v>
      </c>
    </row>
    <row r="1911" spans="1:7" x14ac:dyDescent="0.3">
      <c r="A1911">
        <v>4090</v>
      </c>
      <c r="B1911" t="s">
        <v>23</v>
      </c>
      <c r="C1911" s="7">
        <v>107.68518518518501</v>
      </c>
      <c r="D1911" s="1">
        <v>45131</v>
      </c>
      <c r="E1911" s="29">
        <v>2.5</v>
      </c>
      <c r="F1911" t="s">
        <v>1</v>
      </c>
      <c r="G1911" t="str">
        <f t="shared" si="29"/>
        <v>2023-07</v>
      </c>
    </row>
    <row r="1912" spans="1:7" x14ac:dyDescent="0.3">
      <c r="A1912">
        <v>4066</v>
      </c>
      <c r="B1912" t="s">
        <v>10</v>
      </c>
      <c r="C1912" s="7">
        <v>37</v>
      </c>
      <c r="D1912" s="1">
        <v>45028</v>
      </c>
      <c r="E1912" s="29">
        <v>2.2999999999999998</v>
      </c>
      <c r="F1912" t="s">
        <v>1</v>
      </c>
      <c r="G1912" t="str">
        <f t="shared" si="29"/>
        <v>2023-04</v>
      </c>
    </row>
    <row r="1913" spans="1:7" x14ac:dyDescent="0.3">
      <c r="A1913">
        <v>4032</v>
      </c>
      <c r="B1913" t="s">
        <v>7</v>
      </c>
      <c r="C1913" s="7">
        <v>22</v>
      </c>
      <c r="D1913" s="1">
        <v>44837</v>
      </c>
      <c r="E1913" s="29">
        <v>1.1000000000000001</v>
      </c>
      <c r="F1913" t="s">
        <v>1</v>
      </c>
      <c r="G1913" t="str">
        <f t="shared" si="29"/>
        <v>2022-10</v>
      </c>
    </row>
    <row r="1914" spans="1:7" x14ac:dyDescent="0.3">
      <c r="A1914">
        <v>4102</v>
      </c>
      <c r="B1914" t="s">
        <v>43</v>
      </c>
      <c r="C1914" s="7">
        <v>197</v>
      </c>
      <c r="D1914" s="1">
        <v>45022</v>
      </c>
      <c r="E1914" s="29">
        <v>3.6</v>
      </c>
      <c r="F1914" t="s">
        <v>4</v>
      </c>
      <c r="G1914" t="str">
        <f t="shared" si="29"/>
        <v>2023-04</v>
      </c>
    </row>
    <row r="1915" spans="1:7" x14ac:dyDescent="0.3">
      <c r="A1915">
        <v>3969</v>
      </c>
      <c r="B1915" t="s">
        <v>36</v>
      </c>
      <c r="C1915" s="7">
        <v>52</v>
      </c>
      <c r="D1915" s="1">
        <v>44954</v>
      </c>
      <c r="E1915" s="29">
        <v>4.5</v>
      </c>
      <c r="F1915" t="s">
        <v>1</v>
      </c>
      <c r="G1915" t="str">
        <f t="shared" si="29"/>
        <v>2023-01</v>
      </c>
    </row>
    <row r="1916" spans="1:7" x14ac:dyDescent="0.3">
      <c r="A1916">
        <v>4098</v>
      </c>
      <c r="B1916" t="s">
        <v>45</v>
      </c>
      <c r="C1916" s="7">
        <v>136</v>
      </c>
      <c r="D1916" s="1">
        <v>44842</v>
      </c>
      <c r="E1916" s="29">
        <v>4</v>
      </c>
      <c r="F1916" t="s">
        <v>4</v>
      </c>
      <c r="G1916" t="str">
        <f t="shared" si="29"/>
        <v>2022-10</v>
      </c>
    </row>
    <row r="1917" spans="1:7" x14ac:dyDescent="0.3">
      <c r="A1917">
        <v>3976</v>
      </c>
      <c r="B1917" t="s">
        <v>12</v>
      </c>
      <c r="C1917" s="7">
        <v>99</v>
      </c>
      <c r="D1917" s="1">
        <v>44906</v>
      </c>
      <c r="E1917" s="29">
        <v>2.2000000000000002</v>
      </c>
      <c r="F1917" t="s">
        <v>1</v>
      </c>
      <c r="G1917" t="str">
        <f t="shared" si="29"/>
        <v>2022-12</v>
      </c>
    </row>
    <row r="1918" spans="1:7" x14ac:dyDescent="0.3">
      <c r="A1918">
        <v>3968</v>
      </c>
      <c r="B1918" t="s">
        <v>43</v>
      </c>
      <c r="C1918" s="7">
        <v>35</v>
      </c>
      <c r="D1918" s="1">
        <v>45032</v>
      </c>
      <c r="E1918" s="29">
        <v>1.1000000000000001</v>
      </c>
      <c r="F1918" t="s">
        <v>4</v>
      </c>
      <c r="G1918" t="str">
        <f t="shared" si="29"/>
        <v>2023-04</v>
      </c>
    </row>
    <row r="1919" spans="1:7" x14ac:dyDescent="0.3">
      <c r="A1919">
        <v>4088</v>
      </c>
      <c r="B1919" t="s">
        <v>33</v>
      </c>
      <c r="C1919" s="7">
        <v>157</v>
      </c>
      <c r="D1919" s="1">
        <v>44873</v>
      </c>
      <c r="E1919" s="29">
        <v>2.8</v>
      </c>
      <c r="F1919" t="s">
        <v>4</v>
      </c>
      <c r="G1919" t="str">
        <f t="shared" si="29"/>
        <v>2022-11</v>
      </c>
    </row>
    <row r="1920" spans="1:7" x14ac:dyDescent="0.3">
      <c r="A1920">
        <v>3984</v>
      </c>
      <c r="B1920" t="s">
        <v>23</v>
      </c>
      <c r="C1920" s="7">
        <v>185</v>
      </c>
      <c r="D1920" s="1">
        <v>45109</v>
      </c>
      <c r="E1920" s="29">
        <v>2.9</v>
      </c>
      <c r="F1920" t="s">
        <v>1</v>
      </c>
      <c r="G1920" t="str">
        <f t="shared" si="29"/>
        <v>2023-07</v>
      </c>
    </row>
    <row r="1921" spans="1:7" x14ac:dyDescent="0.3">
      <c r="A1921">
        <v>4087</v>
      </c>
      <c r="B1921" t="s">
        <v>15</v>
      </c>
      <c r="C1921" s="7">
        <v>125</v>
      </c>
      <c r="D1921" s="1">
        <v>44990</v>
      </c>
      <c r="E1921" s="29">
        <v>4.5</v>
      </c>
      <c r="F1921" t="s">
        <v>4</v>
      </c>
      <c r="G1921" t="str">
        <f t="shared" si="29"/>
        <v>2023-03</v>
      </c>
    </row>
    <row r="1922" spans="1:7" x14ac:dyDescent="0.3">
      <c r="A1922">
        <v>4065</v>
      </c>
      <c r="B1922" t="s">
        <v>36</v>
      </c>
      <c r="C1922" s="7">
        <v>90.925925925925895</v>
      </c>
      <c r="D1922" s="1">
        <v>44844</v>
      </c>
      <c r="E1922" s="29">
        <v>2.7</v>
      </c>
      <c r="F1922" t="s">
        <v>4</v>
      </c>
      <c r="G1922" t="str">
        <f t="shared" si="29"/>
        <v>2022-10</v>
      </c>
    </row>
    <row r="1923" spans="1:7" x14ac:dyDescent="0.3">
      <c r="A1923">
        <v>4062</v>
      </c>
      <c r="B1923" t="s">
        <v>7</v>
      </c>
      <c r="C1923" s="7">
        <v>85</v>
      </c>
      <c r="D1923" s="1">
        <v>44902</v>
      </c>
      <c r="E1923" s="29">
        <v>2.8953488372092999</v>
      </c>
      <c r="F1923" t="s">
        <v>4</v>
      </c>
      <c r="G1923" t="str">
        <f t="shared" ref="G1923:G1986" si="30">TEXT(D1923,"ГГГГ-ММ")</f>
        <v>2022-12</v>
      </c>
    </row>
    <row r="1924" spans="1:7" x14ac:dyDescent="0.3">
      <c r="A1924">
        <v>3981</v>
      </c>
      <c r="B1924" t="s">
        <v>46</v>
      </c>
      <c r="C1924" s="7">
        <v>118.531914893617</v>
      </c>
      <c r="D1924" s="1">
        <v>45027</v>
      </c>
      <c r="E1924" s="29">
        <v>4.5999999999999996</v>
      </c>
      <c r="F1924" t="s">
        <v>4</v>
      </c>
      <c r="G1924" t="str">
        <f t="shared" si="30"/>
        <v>2023-04</v>
      </c>
    </row>
    <row r="1925" spans="1:7" x14ac:dyDescent="0.3">
      <c r="A1925">
        <v>4075</v>
      </c>
      <c r="B1925" t="s">
        <v>23</v>
      </c>
      <c r="C1925" s="7">
        <v>36</v>
      </c>
      <c r="D1925" s="1">
        <v>45084</v>
      </c>
      <c r="E1925" s="29">
        <v>2.2000000000000002</v>
      </c>
      <c r="F1925" t="s">
        <v>1</v>
      </c>
      <c r="G1925" t="str">
        <f t="shared" si="30"/>
        <v>2023-06</v>
      </c>
    </row>
    <row r="1926" spans="1:7" x14ac:dyDescent="0.3">
      <c r="A1926">
        <v>4102</v>
      </c>
      <c r="B1926" t="s">
        <v>2</v>
      </c>
      <c r="C1926" s="7">
        <v>93.340909090909093</v>
      </c>
      <c r="D1926" s="1">
        <v>45120</v>
      </c>
      <c r="E1926" s="29">
        <v>3.0185185185185102</v>
      </c>
      <c r="F1926" t="s">
        <v>1</v>
      </c>
      <c r="G1926" t="str">
        <f t="shared" si="30"/>
        <v>2023-07</v>
      </c>
    </row>
    <row r="1927" spans="1:7" x14ac:dyDescent="0.3">
      <c r="A1927">
        <v>4021</v>
      </c>
      <c r="B1927" t="s">
        <v>45</v>
      </c>
      <c r="C1927" s="7">
        <v>111.564102564102</v>
      </c>
      <c r="D1927" s="1">
        <v>45065</v>
      </c>
      <c r="E1927" s="29">
        <v>2.5</v>
      </c>
      <c r="F1927" t="s">
        <v>4</v>
      </c>
      <c r="G1927" t="str">
        <f t="shared" si="30"/>
        <v>2023-05</v>
      </c>
    </row>
    <row r="1928" spans="1:7" x14ac:dyDescent="0.3">
      <c r="A1928">
        <v>4047</v>
      </c>
      <c r="B1928" t="s">
        <v>0</v>
      </c>
      <c r="C1928" s="7">
        <v>197</v>
      </c>
      <c r="D1928" s="1">
        <v>44839</v>
      </c>
      <c r="E1928" s="29">
        <v>2.7</v>
      </c>
      <c r="F1928" t="s">
        <v>4</v>
      </c>
      <c r="G1928" t="str">
        <f t="shared" si="30"/>
        <v>2022-10</v>
      </c>
    </row>
    <row r="1929" spans="1:7" x14ac:dyDescent="0.3">
      <c r="A1929">
        <v>4022</v>
      </c>
      <c r="B1929" t="s">
        <v>21</v>
      </c>
      <c r="C1929" s="7">
        <v>120.22</v>
      </c>
      <c r="D1929" s="1">
        <v>44946</v>
      </c>
      <c r="E1929" s="29">
        <v>2.4</v>
      </c>
      <c r="F1929" t="s">
        <v>1</v>
      </c>
      <c r="G1929" t="str">
        <f t="shared" si="30"/>
        <v>2023-01</v>
      </c>
    </row>
    <row r="1930" spans="1:7" x14ac:dyDescent="0.3">
      <c r="A1930">
        <v>4106</v>
      </c>
      <c r="B1930" t="s">
        <v>8</v>
      </c>
      <c r="C1930" s="7">
        <v>33</v>
      </c>
      <c r="D1930" s="1">
        <v>45034</v>
      </c>
      <c r="E1930" s="29">
        <v>2.9</v>
      </c>
      <c r="F1930" t="s">
        <v>1</v>
      </c>
      <c r="G1930" t="str">
        <f t="shared" si="30"/>
        <v>2023-04</v>
      </c>
    </row>
    <row r="1931" spans="1:7" x14ac:dyDescent="0.3">
      <c r="A1931">
        <v>3977</v>
      </c>
      <c r="B1931" t="s">
        <v>3</v>
      </c>
      <c r="C1931" s="7">
        <v>167</v>
      </c>
      <c r="D1931" s="1">
        <v>45100</v>
      </c>
      <c r="E1931" s="29">
        <v>4.5</v>
      </c>
      <c r="F1931" t="s">
        <v>1</v>
      </c>
      <c r="G1931" t="str">
        <f t="shared" si="30"/>
        <v>2023-06</v>
      </c>
    </row>
    <row r="1932" spans="1:7" x14ac:dyDescent="0.3">
      <c r="A1932">
        <v>4085</v>
      </c>
      <c r="B1932" t="s">
        <v>24</v>
      </c>
      <c r="C1932" s="7">
        <v>190</v>
      </c>
      <c r="D1932" s="1">
        <v>45041</v>
      </c>
      <c r="E1932" s="29">
        <v>2.4</v>
      </c>
      <c r="F1932" t="s">
        <v>4</v>
      </c>
      <c r="G1932" t="str">
        <f t="shared" si="30"/>
        <v>2023-04</v>
      </c>
    </row>
    <row r="1933" spans="1:7" x14ac:dyDescent="0.3">
      <c r="A1933">
        <v>3961</v>
      </c>
      <c r="B1933" t="s">
        <v>35</v>
      </c>
      <c r="C1933" s="7">
        <v>97.071428571428498</v>
      </c>
      <c r="D1933" s="1">
        <v>44860</v>
      </c>
      <c r="E1933" s="29">
        <v>4.7</v>
      </c>
      <c r="F1933" t="s">
        <v>1</v>
      </c>
      <c r="G1933" t="str">
        <f t="shared" si="30"/>
        <v>2022-10</v>
      </c>
    </row>
    <row r="1934" spans="1:7" x14ac:dyDescent="0.3">
      <c r="A1934">
        <v>3986</v>
      </c>
      <c r="B1934" t="s">
        <v>28</v>
      </c>
      <c r="C1934" s="7">
        <v>52</v>
      </c>
      <c r="D1934" s="1">
        <v>45005</v>
      </c>
      <c r="E1934" s="29">
        <v>5</v>
      </c>
      <c r="F1934" t="s">
        <v>1</v>
      </c>
      <c r="G1934" t="str">
        <f t="shared" si="30"/>
        <v>2023-03</v>
      </c>
    </row>
    <row r="1935" spans="1:7" x14ac:dyDescent="0.3">
      <c r="A1935">
        <v>4075</v>
      </c>
      <c r="B1935" t="s">
        <v>32</v>
      </c>
      <c r="C1935" s="7">
        <v>121</v>
      </c>
      <c r="D1935" s="1">
        <v>44862</v>
      </c>
      <c r="E1935" s="29">
        <v>3.8</v>
      </c>
      <c r="F1935" t="s">
        <v>1</v>
      </c>
      <c r="G1935" t="str">
        <f t="shared" si="30"/>
        <v>2022-10</v>
      </c>
    </row>
    <row r="1936" spans="1:7" x14ac:dyDescent="0.3">
      <c r="A1936">
        <v>4002</v>
      </c>
      <c r="B1936" t="s">
        <v>51</v>
      </c>
      <c r="C1936" s="7">
        <v>105.1</v>
      </c>
      <c r="D1936" s="1">
        <v>45037</v>
      </c>
      <c r="E1936" s="29">
        <v>1.1000000000000001</v>
      </c>
      <c r="F1936" t="s">
        <v>4</v>
      </c>
      <c r="G1936" t="str">
        <f t="shared" si="30"/>
        <v>2023-04</v>
      </c>
    </row>
    <row r="1937" spans="1:7" x14ac:dyDescent="0.3">
      <c r="A1937">
        <v>4003</v>
      </c>
      <c r="B1937" t="s">
        <v>16</v>
      </c>
      <c r="C1937" s="7">
        <v>110.56666666666599</v>
      </c>
      <c r="D1937" s="1">
        <v>44957</v>
      </c>
      <c r="E1937" s="29">
        <v>3.1</v>
      </c>
      <c r="F1937" t="s">
        <v>4</v>
      </c>
      <c r="G1937" t="str">
        <f t="shared" si="30"/>
        <v>2023-01</v>
      </c>
    </row>
    <row r="1938" spans="1:7" x14ac:dyDescent="0.3">
      <c r="A1938">
        <v>4057</v>
      </c>
      <c r="B1938" t="s">
        <v>25</v>
      </c>
      <c r="C1938" s="7">
        <v>58</v>
      </c>
      <c r="D1938" s="1">
        <v>44857</v>
      </c>
      <c r="E1938" s="29">
        <v>2.8291666666666599</v>
      </c>
      <c r="F1938" t="s">
        <v>4</v>
      </c>
      <c r="G1938" t="str">
        <f t="shared" si="30"/>
        <v>2022-10</v>
      </c>
    </row>
    <row r="1939" spans="1:7" x14ac:dyDescent="0.3">
      <c r="A1939">
        <v>3968</v>
      </c>
      <c r="B1939" t="s">
        <v>40</v>
      </c>
      <c r="C1939" s="7">
        <v>151</v>
      </c>
      <c r="D1939" s="1">
        <v>45038</v>
      </c>
      <c r="E1939" s="29">
        <v>4.2</v>
      </c>
      <c r="F1939" t="s">
        <v>1</v>
      </c>
      <c r="G1939" t="str">
        <f t="shared" si="30"/>
        <v>2023-04</v>
      </c>
    </row>
    <row r="1940" spans="1:7" x14ac:dyDescent="0.3">
      <c r="A1940">
        <v>3978</v>
      </c>
      <c r="B1940" t="s">
        <v>41</v>
      </c>
      <c r="C1940" s="7">
        <v>196</v>
      </c>
      <c r="D1940" s="1">
        <v>45038</v>
      </c>
      <c r="E1940" s="29">
        <v>3.5</v>
      </c>
      <c r="F1940" t="s">
        <v>4</v>
      </c>
      <c r="G1940" t="str">
        <f t="shared" si="30"/>
        <v>2023-04</v>
      </c>
    </row>
    <row r="1941" spans="1:7" x14ac:dyDescent="0.3">
      <c r="A1941">
        <v>4063</v>
      </c>
      <c r="B1941" t="s">
        <v>44</v>
      </c>
      <c r="C1941" s="7">
        <v>179</v>
      </c>
      <c r="D1941" s="1">
        <v>44958</v>
      </c>
      <c r="E1941" s="29">
        <v>1.2</v>
      </c>
      <c r="F1941" t="s">
        <v>1</v>
      </c>
      <c r="G1941" t="str">
        <f t="shared" si="30"/>
        <v>2023-02</v>
      </c>
    </row>
    <row r="1942" spans="1:7" x14ac:dyDescent="0.3">
      <c r="A1942">
        <v>4033</v>
      </c>
      <c r="B1942" t="s">
        <v>29</v>
      </c>
      <c r="C1942" s="7">
        <v>70</v>
      </c>
      <c r="D1942" s="1">
        <v>45058</v>
      </c>
      <c r="E1942" s="29">
        <v>1.5</v>
      </c>
      <c r="F1942" t="s">
        <v>4</v>
      </c>
      <c r="G1942" t="str">
        <f t="shared" si="30"/>
        <v>2023-05</v>
      </c>
    </row>
    <row r="1943" spans="1:7" x14ac:dyDescent="0.3">
      <c r="A1943">
        <v>4037</v>
      </c>
      <c r="B1943" t="s">
        <v>18</v>
      </c>
      <c r="C1943" s="7">
        <v>102.74</v>
      </c>
      <c r="D1943" s="1">
        <v>44840</v>
      </c>
      <c r="E1943" s="29">
        <v>3</v>
      </c>
      <c r="F1943" t="s">
        <v>4</v>
      </c>
      <c r="G1943" t="str">
        <f t="shared" si="30"/>
        <v>2022-10</v>
      </c>
    </row>
    <row r="1944" spans="1:7" x14ac:dyDescent="0.3">
      <c r="A1944">
        <v>4107</v>
      </c>
      <c r="B1944" t="s">
        <v>25</v>
      </c>
      <c r="C1944" s="7">
        <v>150</v>
      </c>
      <c r="D1944" s="1">
        <v>45025</v>
      </c>
      <c r="E1944" s="29">
        <v>1.1000000000000001</v>
      </c>
      <c r="F1944" t="s">
        <v>1</v>
      </c>
      <c r="G1944" t="str">
        <f t="shared" si="30"/>
        <v>2023-04</v>
      </c>
    </row>
    <row r="1945" spans="1:7" x14ac:dyDescent="0.3">
      <c r="A1945">
        <v>4073</v>
      </c>
      <c r="B1945" t="s">
        <v>38</v>
      </c>
      <c r="C1945" s="7">
        <v>49</v>
      </c>
      <c r="D1945" s="1">
        <v>44858</v>
      </c>
      <c r="E1945" s="29">
        <v>3.9</v>
      </c>
      <c r="F1945" t="s">
        <v>4</v>
      </c>
      <c r="G1945" t="str">
        <f t="shared" si="30"/>
        <v>2022-10</v>
      </c>
    </row>
    <row r="1946" spans="1:7" x14ac:dyDescent="0.3">
      <c r="A1946">
        <v>4072</v>
      </c>
      <c r="B1946" t="s">
        <v>22</v>
      </c>
      <c r="C1946" s="7">
        <v>107.949152542372</v>
      </c>
      <c r="D1946" s="1">
        <v>44902</v>
      </c>
      <c r="E1946" s="29">
        <v>1.3</v>
      </c>
      <c r="F1946" t="s">
        <v>4</v>
      </c>
      <c r="G1946" t="str">
        <f t="shared" si="30"/>
        <v>2022-12</v>
      </c>
    </row>
    <row r="1947" spans="1:7" x14ac:dyDescent="0.3">
      <c r="A1947">
        <v>4116</v>
      </c>
      <c r="B1947" t="s">
        <v>33</v>
      </c>
      <c r="C1947" s="7">
        <v>113.54098360655701</v>
      </c>
      <c r="D1947" s="1">
        <v>45107</v>
      </c>
      <c r="E1947" s="29">
        <v>4.7</v>
      </c>
      <c r="F1947" t="s">
        <v>4</v>
      </c>
      <c r="G1947" t="str">
        <f t="shared" si="30"/>
        <v>2023-06</v>
      </c>
    </row>
    <row r="1948" spans="1:7" x14ac:dyDescent="0.3">
      <c r="A1948">
        <v>4024</v>
      </c>
      <c r="B1948" t="s">
        <v>50</v>
      </c>
      <c r="C1948" s="7">
        <v>123.21818181818099</v>
      </c>
      <c r="D1948" s="1">
        <v>45164</v>
      </c>
      <c r="E1948" s="29">
        <v>3.6</v>
      </c>
      <c r="F1948" t="s">
        <v>1</v>
      </c>
      <c r="G1948" t="str">
        <f t="shared" si="30"/>
        <v>2023-08</v>
      </c>
    </row>
    <row r="1949" spans="1:7" x14ac:dyDescent="0.3">
      <c r="A1949">
        <v>4044</v>
      </c>
      <c r="B1949" t="s">
        <v>38</v>
      </c>
      <c r="C1949" s="7">
        <v>170</v>
      </c>
      <c r="D1949" s="1">
        <v>44880</v>
      </c>
      <c r="E1949" s="29">
        <v>3.9</v>
      </c>
      <c r="F1949" t="s">
        <v>1</v>
      </c>
      <c r="G1949" t="str">
        <f t="shared" si="30"/>
        <v>2022-11</v>
      </c>
    </row>
    <row r="1950" spans="1:7" x14ac:dyDescent="0.3">
      <c r="A1950">
        <v>4004</v>
      </c>
      <c r="B1950" t="s">
        <v>38</v>
      </c>
      <c r="C1950" s="7">
        <v>61</v>
      </c>
      <c r="D1950" s="1">
        <v>45167</v>
      </c>
      <c r="E1950" s="29">
        <v>1.6</v>
      </c>
      <c r="F1950" t="s">
        <v>1</v>
      </c>
      <c r="G1950" t="str">
        <f t="shared" si="30"/>
        <v>2023-08</v>
      </c>
    </row>
    <row r="1951" spans="1:7" x14ac:dyDescent="0.3">
      <c r="A1951">
        <v>4011</v>
      </c>
      <c r="B1951" t="s">
        <v>0</v>
      </c>
      <c r="C1951" s="7">
        <v>112.145454545454</v>
      </c>
      <c r="D1951" s="1">
        <v>45160</v>
      </c>
      <c r="E1951" s="29">
        <v>1.4</v>
      </c>
      <c r="F1951" t="s">
        <v>4</v>
      </c>
      <c r="G1951" t="str">
        <f t="shared" si="30"/>
        <v>2023-08</v>
      </c>
    </row>
    <row r="1952" spans="1:7" x14ac:dyDescent="0.3">
      <c r="A1952">
        <v>4004</v>
      </c>
      <c r="B1952" t="s">
        <v>20</v>
      </c>
      <c r="C1952" s="7">
        <v>173</v>
      </c>
      <c r="D1952" s="1">
        <v>45055</v>
      </c>
      <c r="E1952" s="29">
        <v>2.6</v>
      </c>
      <c r="F1952" t="s">
        <v>4</v>
      </c>
      <c r="G1952" t="str">
        <f t="shared" si="30"/>
        <v>2023-05</v>
      </c>
    </row>
    <row r="1953" spans="1:7" x14ac:dyDescent="0.3">
      <c r="A1953">
        <v>3977</v>
      </c>
      <c r="B1953" t="s">
        <v>38</v>
      </c>
      <c r="C1953" s="7">
        <v>30</v>
      </c>
      <c r="D1953" s="1">
        <v>44972</v>
      </c>
      <c r="E1953" s="29">
        <v>3.0230769230769199</v>
      </c>
      <c r="F1953" t="s">
        <v>4</v>
      </c>
      <c r="G1953" t="str">
        <f t="shared" si="30"/>
        <v>2023-02</v>
      </c>
    </row>
    <row r="1954" spans="1:7" x14ac:dyDescent="0.3">
      <c r="A1954">
        <v>4111</v>
      </c>
      <c r="B1954" t="s">
        <v>51</v>
      </c>
      <c r="C1954" s="7">
        <v>39</v>
      </c>
      <c r="D1954" s="1">
        <v>44840</v>
      </c>
      <c r="E1954" s="29">
        <v>4.8</v>
      </c>
      <c r="F1954" t="s">
        <v>4</v>
      </c>
      <c r="G1954" t="str">
        <f t="shared" si="30"/>
        <v>2022-10</v>
      </c>
    </row>
    <row r="1955" spans="1:7" x14ac:dyDescent="0.3">
      <c r="A1955">
        <v>4023</v>
      </c>
      <c r="B1955" t="s">
        <v>33</v>
      </c>
      <c r="C1955" s="7">
        <v>111</v>
      </c>
      <c r="D1955" s="1">
        <v>45155</v>
      </c>
      <c r="E1955" s="29">
        <v>3.3</v>
      </c>
      <c r="F1955" t="s">
        <v>4</v>
      </c>
      <c r="G1955" t="str">
        <f t="shared" si="30"/>
        <v>2023-08</v>
      </c>
    </row>
    <row r="1956" spans="1:7" x14ac:dyDescent="0.3">
      <c r="A1956">
        <v>3984</v>
      </c>
      <c r="B1956" t="s">
        <v>26</v>
      </c>
      <c r="C1956" s="7">
        <v>179</v>
      </c>
      <c r="D1956" s="1">
        <v>45115</v>
      </c>
      <c r="E1956" s="29">
        <v>4.3</v>
      </c>
      <c r="F1956" t="s">
        <v>1</v>
      </c>
      <c r="G1956" t="str">
        <f t="shared" si="30"/>
        <v>2023-07</v>
      </c>
    </row>
    <row r="1957" spans="1:7" x14ac:dyDescent="0.3">
      <c r="A1957">
        <v>4068</v>
      </c>
      <c r="B1957" t="s">
        <v>5</v>
      </c>
      <c r="C1957" s="7">
        <v>174</v>
      </c>
      <c r="D1957" s="1">
        <v>45136</v>
      </c>
      <c r="E1957" s="29">
        <v>3.2</v>
      </c>
      <c r="F1957" t="s">
        <v>4</v>
      </c>
      <c r="G1957" t="str">
        <f t="shared" si="30"/>
        <v>2023-07</v>
      </c>
    </row>
    <row r="1958" spans="1:7" x14ac:dyDescent="0.3">
      <c r="A1958">
        <v>4093</v>
      </c>
      <c r="B1958" t="s">
        <v>51</v>
      </c>
      <c r="C1958" s="7">
        <v>57</v>
      </c>
      <c r="D1958" s="1">
        <v>44897</v>
      </c>
      <c r="E1958" s="29">
        <v>4.7</v>
      </c>
      <c r="F1958" t="s">
        <v>1</v>
      </c>
      <c r="G1958" t="str">
        <f t="shared" si="30"/>
        <v>2022-12</v>
      </c>
    </row>
    <row r="1959" spans="1:7" x14ac:dyDescent="0.3">
      <c r="A1959">
        <v>3961</v>
      </c>
      <c r="B1959" t="s">
        <v>44</v>
      </c>
      <c r="C1959" s="7">
        <v>107</v>
      </c>
      <c r="D1959" s="1">
        <v>44841</v>
      </c>
      <c r="E1959" s="29">
        <v>2.92063492063492</v>
      </c>
      <c r="F1959" t="s">
        <v>1</v>
      </c>
      <c r="G1959" t="str">
        <f t="shared" si="30"/>
        <v>2022-10</v>
      </c>
    </row>
    <row r="1960" spans="1:7" x14ac:dyDescent="0.3">
      <c r="A1960">
        <v>3958</v>
      </c>
      <c r="B1960" t="s">
        <v>49</v>
      </c>
      <c r="C1960" s="7">
        <v>124</v>
      </c>
      <c r="D1960" s="1">
        <v>44946</v>
      </c>
      <c r="E1960" s="29">
        <v>3.2020408163265301</v>
      </c>
      <c r="F1960" t="s">
        <v>4</v>
      </c>
      <c r="G1960" t="str">
        <f t="shared" si="30"/>
        <v>2023-01</v>
      </c>
    </row>
    <row r="1961" spans="1:7" x14ac:dyDescent="0.3">
      <c r="A1961">
        <v>4058</v>
      </c>
      <c r="B1961" t="s">
        <v>37</v>
      </c>
      <c r="C1961" s="7">
        <v>97.720588235294102</v>
      </c>
      <c r="D1961" s="1">
        <v>45136</v>
      </c>
      <c r="E1961" s="29">
        <v>2.1</v>
      </c>
      <c r="F1961" t="s">
        <v>4</v>
      </c>
      <c r="G1961" t="str">
        <f t="shared" si="30"/>
        <v>2023-07</v>
      </c>
    </row>
    <row r="1962" spans="1:7" x14ac:dyDescent="0.3">
      <c r="A1962">
        <v>3986</v>
      </c>
      <c r="B1962" t="s">
        <v>31</v>
      </c>
      <c r="C1962" s="7">
        <v>77</v>
      </c>
      <c r="D1962" s="1">
        <v>44858</v>
      </c>
      <c r="E1962" s="29">
        <v>1.3</v>
      </c>
      <c r="F1962" t="s">
        <v>1</v>
      </c>
      <c r="G1962" t="str">
        <f t="shared" si="30"/>
        <v>2022-10</v>
      </c>
    </row>
    <row r="1963" spans="1:7" x14ac:dyDescent="0.3">
      <c r="A1963">
        <v>3960</v>
      </c>
      <c r="B1963" t="s">
        <v>44</v>
      </c>
      <c r="C1963" s="7">
        <v>78</v>
      </c>
      <c r="D1963" s="1">
        <v>45139</v>
      </c>
      <c r="E1963" s="29">
        <v>4.9000000000000004</v>
      </c>
      <c r="F1963" t="s">
        <v>4</v>
      </c>
      <c r="G1963" t="str">
        <f t="shared" si="30"/>
        <v>2023-08</v>
      </c>
    </row>
    <row r="1964" spans="1:7" x14ac:dyDescent="0.3">
      <c r="A1964">
        <v>4000</v>
      </c>
      <c r="B1964" t="s">
        <v>9</v>
      </c>
      <c r="C1964" s="7">
        <v>48</v>
      </c>
      <c r="D1964" s="1">
        <v>44896</v>
      </c>
      <c r="E1964" s="29">
        <v>3</v>
      </c>
      <c r="F1964" t="s">
        <v>1</v>
      </c>
      <c r="G1964" t="str">
        <f t="shared" si="30"/>
        <v>2022-12</v>
      </c>
    </row>
    <row r="1965" spans="1:7" x14ac:dyDescent="0.3">
      <c r="A1965">
        <v>4079</v>
      </c>
      <c r="B1965" t="s">
        <v>29</v>
      </c>
      <c r="C1965" s="7">
        <v>180</v>
      </c>
      <c r="D1965" s="1">
        <v>44920</v>
      </c>
      <c r="E1965" s="29">
        <v>2.69137931034482</v>
      </c>
      <c r="F1965" t="s">
        <v>4</v>
      </c>
      <c r="G1965" t="str">
        <f t="shared" si="30"/>
        <v>2022-12</v>
      </c>
    </row>
    <row r="1966" spans="1:7" x14ac:dyDescent="0.3">
      <c r="A1966">
        <v>4074</v>
      </c>
      <c r="B1966" t="s">
        <v>12</v>
      </c>
      <c r="C1966" s="7">
        <v>103.354166666666</v>
      </c>
      <c r="D1966" s="1">
        <v>44866</v>
      </c>
      <c r="E1966" s="29">
        <v>4.5999999999999996</v>
      </c>
      <c r="F1966" t="s">
        <v>4</v>
      </c>
      <c r="G1966" t="str">
        <f t="shared" si="30"/>
        <v>2022-11</v>
      </c>
    </row>
    <row r="1967" spans="1:7" x14ac:dyDescent="0.3">
      <c r="A1967">
        <v>4060</v>
      </c>
      <c r="B1967" t="s">
        <v>9</v>
      </c>
      <c r="C1967" s="7">
        <v>148</v>
      </c>
      <c r="D1967" s="1">
        <v>44957</v>
      </c>
      <c r="E1967" s="29">
        <v>4.9000000000000004</v>
      </c>
      <c r="F1967" t="s">
        <v>1</v>
      </c>
      <c r="G1967" t="str">
        <f t="shared" si="30"/>
        <v>2023-01</v>
      </c>
    </row>
    <row r="1968" spans="1:7" x14ac:dyDescent="0.3">
      <c r="A1968">
        <v>4111</v>
      </c>
      <c r="B1968" t="s">
        <v>6</v>
      </c>
      <c r="C1968" s="7">
        <v>160</v>
      </c>
      <c r="D1968" s="1">
        <v>45163</v>
      </c>
      <c r="E1968" s="29">
        <v>4.8</v>
      </c>
      <c r="F1968" t="s">
        <v>4</v>
      </c>
      <c r="G1968" t="str">
        <f t="shared" si="30"/>
        <v>2023-08</v>
      </c>
    </row>
    <row r="1969" spans="1:7" x14ac:dyDescent="0.3">
      <c r="A1969">
        <v>4081</v>
      </c>
      <c r="B1969" t="s">
        <v>30</v>
      </c>
      <c r="C1969" s="7">
        <v>25</v>
      </c>
      <c r="D1969" s="1">
        <v>44850</v>
      </c>
      <c r="E1969" s="29">
        <v>3.2</v>
      </c>
      <c r="F1969" t="s">
        <v>4</v>
      </c>
      <c r="G1969" t="str">
        <f t="shared" si="30"/>
        <v>2022-10</v>
      </c>
    </row>
    <row r="1970" spans="1:7" x14ac:dyDescent="0.3">
      <c r="A1970">
        <v>4034</v>
      </c>
      <c r="B1970" t="s">
        <v>19</v>
      </c>
      <c r="C1970" s="7">
        <v>143</v>
      </c>
      <c r="D1970" s="1">
        <v>44909</v>
      </c>
      <c r="E1970" s="29">
        <v>4.3</v>
      </c>
      <c r="F1970" t="s">
        <v>1</v>
      </c>
      <c r="G1970" t="str">
        <f t="shared" si="30"/>
        <v>2022-12</v>
      </c>
    </row>
    <row r="1971" spans="1:7" x14ac:dyDescent="0.3">
      <c r="A1971">
        <v>4115</v>
      </c>
      <c r="B1971" t="s">
        <v>24</v>
      </c>
      <c r="C1971" s="7">
        <v>147</v>
      </c>
      <c r="D1971" s="1">
        <v>45022</v>
      </c>
      <c r="E1971" s="29">
        <v>3.7</v>
      </c>
      <c r="F1971" t="s">
        <v>4</v>
      </c>
      <c r="G1971" t="str">
        <f t="shared" si="30"/>
        <v>2023-04</v>
      </c>
    </row>
    <row r="1972" spans="1:7" x14ac:dyDescent="0.3">
      <c r="A1972">
        <v>4114</v>
      </c>
      <c r="B1972" t="s">
        <v>8</v>
      </c>
      <c r="C1972" s="7">
        <v>131</v>
      </c>
      <c r="D1972" s="1">
        <v>44905</v>
      </c>
      <c r="E1972" s="29">
        <v>3.7</v>
      </c>
      <c r="F1972" t="s">
        <v>4</v>
      </c>
      <c r="G1972" t="str">
        <f t="shared" si="30"/>
        <v>2022-12</v>
      </c>
    </row>
    <row r="1973" spans="1:7" x14ac:dyDescent="0.3">
      <c r="A1973">
        <v>4049</v>
      </c>
      <c r="B1973" t="s">
        <v>42</v>
      </c>
      <c r="C1973" s="7">
        <v>70</v>
      </c>
      <c r="D1973" s="1">
        <v>44847</v>
      </c>
      <c r="E1973" s="29">
        <v>3.4</v>
      </c>
      <c r="F1973" t="s">
        <v>1</v>
      </c>
      <c r="G1973" t="str">
        <f t="shared" si="30"/>
        <v>2022-10</v>
      </c>
    </row>
    <row r="1974" spans="1:7" x14ac:dyDescent="0.3">
      <c r="A1974">
        <v>4058</v>
      </c>
      <c r="B1974" t="s">
        <v>48</v>
      </c>
      <c r="C1974" s="7">
        <v>30</v>
      </c>
      <c r="D1974" s="1">
        <v>45147</v>
      </c>
      <c r="E1974" s="29">
        <v>4.2</v>
      </c>
      <c r="F1974" t="s">
        <v>1</v>
      </c>
      <c r="G1974" t="str">
        <f t="shared" si="30"/>
        <v>2023-08</v>
      </c>
    </row>
    <row r="1975" spans="1:7" x14ac:dyDescent="0.3">
      <c r="A1975">
        <v>4034</v>
      </c>
      <c r="B1975" t="s">
        <v>11</v>
      </c>
      <c r="C1975" s="7">
        <v>192</v>
      </c>
      <c r="D1975" s="1">
        <v>44970</v>
      </c>
      <c r="E1975" s="29">
        <v>2</v>
      </c>
      <c r="F1975" t="s">
        <v>4</v>
      </c>
      <c r="G1975" t="str">
        <f t="shared" si="30"/>
        <v>2023-02</v>
      </c>
    </row>
    <row r="1976" spans="1:7" x14ac:dyDescent="0.3">
      <c r="A1976">
        <v>3979</v>
      </c>
      <c r="B1976" t="s">
        <v>38</v>
      </c>
      <c r="C1976" s="7">
        <v>103.222222222222</v>
      </c>
      <c r="D1976" s="1">
        <v>45009</v>
      </c>
      <c r="E1976" s="29">
        <v>2.7</v>
      </c>
      <c r="F1976" t="s">
        <v>4</v>
      </c>
      <c r="G1976" t="str">
        <f t="shared" si="30"/>
        <v>2023-03</v>
      </c>
    </row>
    <row r="1977" spans="1:7" x14ac:dyDescent="0.3">
      <c r="A1977">
        <v>3989</v>
      </c>
      <c r="B1977" t="s">
        <v>2</v>
      </c>
      <c r="C1977" s="7">
        <v>142</v>
      </c>
      <c r="D1977" s="1">
        <v>44916</v>
      </c>
      <c r="E1977" s="29">
        <v>4.8</v>
      </c>
      <c r="F1977" t="s">
        <v>4</v>
      </c>
      <c r="G1977" t="str">
        <f t="shared" si="30"/>
        <v>2022-12</v>
      </c>
    </row>
    <row r="1978" spans="1:7" x14ac:dyDescent="0.3">
      <c r="A1978">
        <v>3991</v>
      </c>
      <c r="B1978" t="s">
        <v>20</v>
      </c>
      <c r="C1978" s="7">
        <v>183</v>
      </c>
      <c r="D1978" s="1">
        <v>45188</v>
      </c>
      <c r="E1978" s="29">
        <v>4.9000000000000004</v>
      </c>
      <c r="F1978" t="s">
        <v>1</v>
      </c>
      <c r="G1978" t="str">
        <f t="shared" si="30"/>
        <v>2023-09</v>
      </c>
    </row>
    <row r="1979" spans="1:7" x14ac:dyDescent="0.3">
      <c r="A1979">
        <v>3960</v>
      </c>
      <c r="B1979" t="s">
        <v>32</v>
      </c>
      <c r="C1979" s="7">
        <v>47</v>
      </c>
      <c r="D1979" s="1">
        <v>44938</v>
      </c>
      <c r="E1979" s="29">
        <v>1.2</v>
      </c>
      <c r="F1979" t="s">
        <v>4</v>
      </c>
      <c r="G1979" t="str">
        <f t="shared" si="30"/>
        <v>2023-01</v>
      </c>
    </row>
    <row r="1980" spans="1:7" x14ac:dyDescent="0.3">
      <c r="A1980">
        <v>4005</v>
      </c>
      <c r="B1980" t="s">
        <v>42</v>
      </c>
      <c r="C1980" s="7">
        <v>114.396551724137</v>
      </c>
      <c r="D1980" s="1">
        <v>45071</v>
      </c>
      <c r="E1980" s="29">
        <v>4.2</v>
      </c>
      <c r="F1980" t="s">
        <v>4</v>
      </c>
      <c r="G1980" t="str">
        <f t="shared" si="30"/>
        <v>2023-05</v>
      </c>
    </row>
    <row r="1981" spans="1:7" x14ac:dyDescent="0.3">
      <c r="A1981">
        <v>3985</v>
      </c>
      <c r="B1981" t="s">
        <v>32</v>
      </c>
      <c r="C1981" s="7">
        <v>54</v>
      </c>
      <c r="D1981" s="1">
        <v>45025</v>
      </c>
      <c r="E1981" s="29">
        <v>4.3</v>
      </c>
      <c r="F1981" t="s">
        <v>4</v>
      </c>
      <c r="G1981" t="str">
        <f t="shared" si="30"/>
        <v>2023-04</v>
      </c>
    </row>
    <row r="1982" spans="1:7" x14ac:dyDescent="0.3">
      <c r="A1982">
        <v>3961</v>
      </c>
      <c r="B1982" t="s">
        <v>27</v>
      </c>
      <c r="C1982" s="7">
        <v>52</v>
      </c>
      <c r="D1982" s="1">
        <v>45127</v>
      </c>
      <c r="E1982" s="29">
        <v>4.4000000000000004</v>
      </c>
      <c r="F1982" t="s">
        <v>1</v>
      </c>
      <c r="G1982" t="str">
        <f t="shared" si="30"/>
        <v>2023-07</v>
      </c>
    </row>
    <row r="1983" spans="1:7" x14ac:dyDescent="0.3">
      <c r="A1983">
        <v>4005</v>
      </c>
      <c r="B1983" t="s">
        <v>19</v>
      </c>
      <c r="C1983" s="7">
        <v>59</v>
      </c>
      <c r="D1983" s="1">
        <v>45075</v>
      </c>
      <c r="E1983" s="29">
        <v>4.8</v>
      </c>
      <c r="F1983" t="s">
        <v>4</v>
      </c>
      <c r="G1983" t="str">
        <f t="shared" si="30"/>
        <v>2023-05</v>
      </c>
    </row>
    <row r="1984" spans="1:7" x14ac:dyDescent="0.3">
      <c r="A1984">
        <v>3963</v>
      </c>
      <c r="B1984" t="s">
        <v>12</v>
      </c>
      <c r="C1984" s="7">
        <v>103.354166666666</v>
      </c>
      <c r="D1984" s="1">
        <v>45192</v>
      </c>
      <c r="E1984" s="29">
        <v>1.6</v>
      </c>
      <c r="F1984" t="s">
        <v>4</v>
      </c>
      <c r="G1984" t="str">
        <f t="shared" si="30"/>
        <v>2023-09</v>
      </c>
    </row>
    <row r="1985" spans="1:7" x14ac:dyDescent="0.3">
      <c r="A1985">
        <v>4010</v>
      </c>
      <c r="B1985" t="s">
        <v>41</v>
      </c>
      <c r="C1985" s="7">
        <v>184</v>
      </c>
      <c r="D1985" s="1">
        <v>45141</v>
      </c>
      <c r="E1985" s="29">
        <v>2.70806451612903</v>
      </c>
      <c r="F1985" t="s">
        <v>4</v>
      </c>
      <c r="G1985" t="str">
        <f t="shared" si="30"/>
        <v>2023-08</v>
      </c>
    </row>
    <row r="1986" spans="1:7" x14ac:dyDescent="0.3">
      <c r="A1986">
        <v>4080</v>
      </c>
      <c r="B1986" t="s">
        <v>2</v>
      </c>
      <c r="C1986" s="7">
        <v>170</v>
      </c>
      <c r="D1986" s="1">
        <v>45023</v>
      </c>
      <c r="E1986" s="29">
        <v>2.5</v>
      </c>
      <c r="F1986" t="s">
        <v>1</v>
      </c>
      <c r="G1986" t="str">
        <f t="shared" si="30"/>
        <v>2023-04</v>
      </c>
    </row>
    <row r="1987" spans="1:7" x14ac:dyDescent="0.3">
      <c r="A1987">
        <v>3994</v>
      </c>
      <c r="B1987" t="s">
        <v>6</v>
      </c>
      <c r="C1987" s="7">
        <v>114.77966101694901</v>
      </c>
      <c r="D1987" s="1">
        <v>44954</v>
      </c>
      <c r="E1987" s="29">
        <v>2.7</v>
      </c>
      <c r="F1987" t="s">
        <v>1</v>
      </c>
      <c r="G1987" t="str">
        <f t="shared" ref="G1987:G2050" si="31">TEXT(D1987,"ГГГГ-ММ")</f>
        <v>2023-01</v>
      </c>
    </row>
    <row r="1988" spans="1:7" x14ac:dyDescent="0.3">
      <c r="A1988">
        <v>4018</v>
      </c>
      <c r="B1988" t="s">
        <v>49</v>
      </c>
      <c r="C1988" s="7">
        <v>91</v>
      </c>
      <c r="D1988" s="1">
        <v>44893</v>
      </c>
      <c r="E1988" s="29">
        <v>1.3</v>
      </c>
      <c r="F1988" t="s">
        <v>4</v>
      </c>
      <c r="G1988" t="str">
        <f t="shared" si="31"/>
        <v>2022-11</v>
      </c>
    </row>
    <row r="1989" spans="1:7" x14ac:dyDescent="0.3">
      <c r="A1989">
        <v>4068</v>
      </c>
      <c r="B1989" t="s">
        <v>25</v>
      </c>
      <c r="C1989" s="7">
        <v>27</v>
      </c>
      <c r="D1989" s="1">
        <v>45130</v>
      </c>
      <c r="E1989" s="29">
        <v>2.9</v>
      </c>
      <c r="F1989" t="s">
        <v>4</v>
      </c>
      <c r="G1989" t="str">
        <f t="shared" si="31"/>
        <v>2023-07</v>
      </c>
    </row>
    <row r="1990" spans="1:7" x14ac:dyDescent="0.3">
      <c r="A1990">
        <v>4117</v>
      </c>
      <c r="B1990" t="s">
        <v>21</v>
      </c>
      <c r="C1990" s="7">
        <v>120.22</v>
      </c>
      <c r="D1990" s="1">
        <v>45168</v>
      </c>
      <c r="E1990" s="29">
        <v>1.3</v>
      </c>
      <c r="F1990" t="s">
        <v>4</v>
      </c>
      <c r="G1990" t="str">
        <f t="shared" si="31"/>
        <v>2023-08</v>
      </c>
    </row>
    <row r="1991" spans="1:7" x14ac:dyDescent="0.3">
      <c r="A1991">
        <v>4094</v>
      </c>
      <c r="B1991" t="s">
        <v>43</v>
      </c>
      <c r="C1991" s="7">
        <v>151</v>
      </c>
      <c r="D1991" s="1">
        <v>44931</v>
      </c>
      <c r="E1991" s="29">
        <v>4.5999999999999996</v>
      </c>
      <c r="F1991" t="s">
        <v>4</v>
      </c>
      <c r="G1991" t="str">
        <f t="shared" si="31"/>
        <v>2023-01</v>
      </c>
    </row>
    <row r="1992" spans="1:7" x14ac:dyDescent="0.3">
      <c r="A1992">
        <v>4005</v>
      </c>
      <c r="B1992" t="s">
        <v>37</v>
      </c>
      <c r="C1992" s="7">
        <v>80</v>
      </c>
      <c r="D1992" s="1">
        <v>45036</v>
      </c>
      <c r="E1992" s="29">
        <v>4.3</v>
      </c>
      <c r="F1992" t="s">
        <v>4</v>
      </c>
      <c r="G1992" t="str">
        <f t="shared" si="31"/>
        <v>2023-04</v>
      </c>
    </row>
    <row r="1993" spans="1:7" x14ac:dyDescent="0.3">
      <c r="A1993">
        <v>3979</v>
      </c>
      <c r="B1993" t="s">
        <v>42</v>
      </c>
      <c r="C1993" s="7">
        <v>13</v>
      </c>
      <c r="D1993" s="1">
        <v>44857</v>
      </c>
      <c r="E1993" s="29">
        <v>2.9</v>
      </c>
      <c r="F1993" t="s">
        <v>4</v>
      </c>
      <c r="G1993" t="str">
        <f t="shared" si="31"/>
        <v>2022-10</v>
      </c>
    </row>
    <row r="1994" spans="1:7" x14ac:dyDescent="0.3">
      <c r="A1994">
        <v>4034</v>
      </c>
      <c r="B1994" t="s">
        <v>19</v>
      </c>
      <c r="C1994" s="7">
        <v>169</v>
      </c>
      <c r="D1994" s="1">
        <v>44861</v>
      </c>
      <c r="E1994" s="29">
        <v>3.2083333333333299</v>
      </c>
      <c r="F1994" t="s">
        <v>4</v>
      </c>
      <c r="G1994" t="str">
        <f t="shared" si="31"/>
        <v>2022-10</v>
      </c>
    </row>
    <row r="1995" spans="1:7" x14ac:dyDescent="0.3">
      <c r="A1995">
        <v>4075</v>
      </c>
      <c r="B1995" t="s">
        <v>21</v>
      </c>
      <c r="C1995" s="7">
        <v>117</v>
      </c>
      <c r="D1995" s="1">
        <v>45155</v>
      </c>
      <c r="E1995" s="29">
        <v>1.5</v>
      </c>
      <c r="F1995" t="s">
        <v>4</v>
      </c>
      <c r="G1995" t="str">
        <f t="shared" si="31"/>
        <v>2023-08</v>
      </c>
    </row>
    <row r="1996" spans="1:7" x14ac:dyDescent="0.3">
      <c r="A1996">
        <v>3994</v>
      </c>
      <c r="B1996" t="s">
        <v>19</v>
      </c>
      <c r="C1996" s="7">
        <v>117.172413793103</v>
      </c>
      <c r="D1996" s="1">
        <v>45109</v>
      </c>
      <c r="E1996" s="29">
        <v>4.5</v>
      </c>
      <c r="F1996" t="s">
        <v>1</v>
      </c>
      <c r="G1996" t="str">
        <f t="shared" si="31"/>
        <v>2023-07</v>
      </c>
    </row>
    <row r="1997" spans="1:7" x14ac:dyDescent="0.3">
      <c r="A1997">
        <v>4078</v>
      </c>
      <c r="B1997" t="s">
        <v>17</v>
      </c>
      <c r="C1997" s="7">
        <v>119.195652173913</v>
      </c>
      <c r="D1997" s="1">
        <v>45056</v>
      </c>
      <c r="E1997" s="29">
        <v>4.8</v>
      </c>
      <c r="F1997" t="s">
        <v>1</v>
      </c>
      <c r="G1997" t="str">
        <f t="shared" si="31"/>
        <v>2023-05</v>
      </c>
    </row>
    <row r="1998" spans="1:7" x14ac:dyDescent="0.3">
      <c r="A1998">
        <v>4065</v>
      </c>
      <c r="B1998" t="s">
        <v>13</v>
      </c>
      <c r="C1998" s="7">
        <v>159</v>
      </c>
      <c r="D1998" s="1">
        <v>44858</v>
      </c>
      <c r="E1998" s="29">
        <v>2.6</v>
      </c>
      <c r="F1998" t="s">
        <v>4</v>
      </c>
      <c r="G1998" t="str">
        <f t="shared" si="31"/>
        <v>2022-10</v>
      </c>
    </row>
    <row r="1999" spans="1:7" x14ac:dyDescent="0.3">
      <c r="A1999">
        <v>3962</v>
      </c>
      <c r="B1999" t="s">
        <v>23</v>
      </c>
      <c r="C1999" s="7">
        <v>35</v>
      </c>
      <c r="D1999" s="1">
        <v>44904</v>
      </c>
      <c r="E1999" s="29">
        <v>2.1</v>
      </c>
      <c r="F1999" t="s">
        <v>1</v>
      </c>
      <c r="G1999" t="str">
        <f t="shared" si="31"/>
        <v>2022-12</v>
      </c>
    </row>
    <row r="2000" spans="1:7" x14ac:dyDescent="0.3">
      <c r="A2000">
        <v>3986</v>
      </c>
      <c r="B2000" t="s">
        <v>37</v>
      </c>
      <c r="C2000" s="7">
        <v>154</v>
      </c>
      <c r="D2000" s="1">
        <v>45073</v>
      </c>
      <c r="E2000" s="29">
        <v>1.7</v>
      </c>
      <c r="F2000" t="s">
        <v>4</v>
      </c>
      <c r="G2000" t="str">
        <f t="shared" si="31"/>
        <v>2023-05</v>
      </c>
    </row>
    <row r="2001" spans="1:7" x14ac:dyDescent="0.3">
      <c r="A2001">
        <v>3999</v>
      </c>
      <c r="B2001" t="s">
        <v>11</v>
      </c>
      <c r="C2001" s="7">
        <v>83</v>
      </c>
      <c r="D2001" s="1">
        <v>45014</v>
      </c>
      <c r="E2001" s="29">
        <v>2.2999999999999998</v>
      </c>
      <c r="F2001" t="s">
        <v>4</v>
      </c>
      <c r="G2001" t="str">
        <f t="shared" si="31"/>
        <v>2023-03</v>
      </c>
    </row>
    <row r="2002" spans="1:7" x14ac:dyDescent="0.3">
      <c r="A2002">
        <v>3996</v>
      </c>
      <c r="B2002" t="s">
        <v>46</v>
      </c>
      <c r="C2002" s="7">
        <v>98</v>
      </c>
      <c r="D2002" s="1">
        <v>45088</v>
      </c>
      <c r="E2002" s="29">
        <v>1.3</v>
      </c>
      <c r="F2002" t="s">
        <v>1</v>
      </c>
      <c r="G2002" t="str">
        <f t="shared" si="31"/>
        <v>2023-06</v>
      </c>
    </row>
    <row r="2003" spans="1:7" x14ac:dyDescent="0.3">
      <c r="A2003">
        <v>4070</v>
      </c>
      <c r="B2003" t="s">
        <v>27</v>
      </c>
      <c r="C2003" s="7">
        <v>77</v>
      </c>
      <c r="D2003" s="1">
        <v>44987</v>
      </c>
      <c r="E2003" s="29">
        <v>3.2016129032257998</v>
      </c>
      <c r="F2003" t="s">
        <v>4</v>
      </c>
      <c r="G2003" t="str">
        <f t="shared" si="31"/>
        <v>2023-03</v>
      </c>
    </row>
    <row r="2004" spans="1:7" x14ac:dyDescent="0.3">
      <c r="A2004">
        <v>4081</v>
      </c>
      <c r="B2004" t="s">
        <v>26</v>
      </c>
      <c r="C2004" s="7">
        <v>134</v>
      </c>
      <c r="D2004" s="1">
        <v>45174</v>
      </c>
      <c r="E2004" s="29">
        <v>1</v>
      </c>
      <c r="F2004" t="s">
        <v>4</v>
      </c>
      <c r="G2004" t="str">
        <f t="shared" si="31"/>
        <v>2023-09</v>
      </c>
    </row>
    <row r="2005" spans="1:7" x14ac:dyDescent="0.3">
      <c r="A2005">
        <v>4077</v>
      </c>
      <c r="B2005" t="s">
        <v>33</v>
      </c>
      <c r="C2005" s="7">
        <v>131</v>
      </c>
      <c r="D2005" s="1">
        <v>45000</v>
      </c>
      <c r="E2005" s="29">
        <v>3</v>
      </c>
      <c r="F2005" t="s">
        <v>4</v>
      </c>
      <c r="G2005" t="str">
        <f t="shared" si="31"/>
        <v>2023-03</v>
      </c>
    </row>
    <row r="2006" spans="1:7" x14ac:dyDescent="0.3">
      <c r="A2006">
        <v>3962</v>
      </c>
      <c r="B2006" t="s">
        <v>32</v>
      </c>
      <c r="C2006" s="7">
        <v>84.528571428571396</v>
      </c>
      <c r="D2006" s="1">
        <v>44967</v>
      </c>
      <c r="E2006" s="29">
        <v>3.0542857142857098</v>
      </c>
      <c r="F2006" t="s">
        <v>1</v>
      </c>
      <c r="G2006" t="str">
        <f t="shared" si="31"/>
        <v>2023-02</v>
      </c>
    </row>
    <row r="2007" spans="1:7" x14ac:dyDescent="0.3">
      <c r="A2007">
        <v>4072</v>
      </c>
      <c r="B2007" t="s">
        <v>29</v>
      </c>
      <c r="C2007" s="7">
        <v>46</v>
      </c>
      <c r="D2007" s="1">
        <v>44975</v>
      </c>
      <c r="E2007" s="29">
        <v>4.2</v>
      </c>
      <c r="F2007" t="s">
        <v>4</v>
      </c>
      <c r="G2007" t="str">
        <f t="shared" si="31"/>
        <v>2023-02</v>
      </c>
    </row>
    <row r="2008" spans="1:7" x14ac:dyDescent="0.3">
      <c r="A2008">
        <v>4106</v>
      </c>
      <c r="B2008" t="s">
        <v>11</v>
      </c>
      <c r="C2008" s="7">
        <v>184</v>
      </c>
      <c r="D2008" s="1">
        <v>45158</v>
      </c>
      <c r="E2008" s="29">
        <v>5</v>
      </c>
      <c r="F2008" t="s">
        <v>1</v>
      </c>
      <c r="G2008" t="str">
        <f t="shared" si="31"/>
        <v>2023-08</v>
      </c>
    </row>
    <row r="2009" spans="1:7" x14ac:dyDescent="0.3">
      <c r="A2009">
        <v>4019</v>
      </c>
      <c r="B2009" t="s">
        <v>44</v>
      </c>
      <c r="C2009" s="7">
        <v>19</v>
      </c>
      <c r="D2009" s="1">
        <v>45138</v>
      </c>
      <c r="E2009" s="29">
        <v>2.92063492063492</v>
      </c>
      <c r="F2009" t="s">
        <v>4</v>
      </c>
      <c r="G2009" t="str">
        <f t="shared" si="31"/>
        <v>2023-07</v>
      </c>
    </row>
    <row r="2010" spans="1:7" x14ac:dyDescent="0.3">
      <c r="A2010">
        <v>4008</v>
      </c>
      <c r="B2010" t="s">
        <v>33</v>
      </c>
      <c r="C2010" s="7">
        <v>94</v>
      </c>
      <c r="D2010" s="1">
        <v>44906</v>
      </c>
      <c r="E2010" s="29">
        <v>1.5</v>
      </c>
      <c r="F2010" t="s">
        <v>4</v>
      </c>
      <c r="G2010" t="str">
        <f t="shared" si="31"/>
        <v>2022-12</v>
      </c>
    </row>
    <row r="2011" spans="1:7" x14ac:dyDescent="0.3">
      <c r="A2011">
        <v>4032</v>
      </c>
      <c r="B2011" t="s">
        <v>39</v>
      </c>
      <c r="C2011" s="7">
        <v>22</v>
      </c>
      <c r="D2011" s="1">
        <v>44858</v>
      </c>
      <c r="E2011" s="29">
        <v>2.5</v>
      </c>
      <c r="F2011" t="s">
        <v>1</v>
      </c>
      <c r="G2011" t="str">
        <f t="shared" si="31"/>
        <v>2022-10</v>
      </c>
    </row>
    <row r="2012" spans="1:7" x14ac:dyDescent="0.3">
      <c r="A2012">
        <v>4102</v>
      </c>
      <c r="B2012" t="s">
        <v>47</v>
      </c>
      <c r="C2012" s="7">
        <v>78</v>
      </c>
      <c r="D2012" s="1">
        <v>44999</v>
      </c>
      <c r="E2012" s="29">
        <v>4.3</v>
      </c>
      <c r="F2012" t="s">
        <v>4</v>
      </c>
      <c r="G2012" t="str">
        <f t="shared" si="31"/>
        <v>2023-03</v>
      </c>
    </row>
    <row r="2013" spans="1:7" x14ac:dyDescent="0.3">
      <c r="A2013">
        <v>4057</v>
      </c>
      <c r="B2013" t="s">
        <v>7</v>
      </c>
      <c r="C2013" s="7">
        <v>15</v>
      </c>
      <c r="D2013" s="1">
        <v>44982</v>
      </c>
      <c r="E2013" s="29">
        <v>3.3</v>
      </c>
      <c r="F2013" t="s">
        <v>4</v>
      </c>
      <c r="G2013" t="str">
        <f t="shared" si="31"/>
        <v>2023-02</v>
      </c>
    </row>
    <row r="2014" spans="1:7" x14ac:dyDescent="0.3">
      <c r="A2014">
        <v>3970</v>
      </c>
      <c r="B2014" t="s">
        <v>15</v>
      </c>
      <c r="C2014" s="7">
        <v>87</v>
      </c>
      <c r="D2014" s="1">
        <v>45121</v>
      </c>
      <c r="E2014" s="29">
        <v>3.04897959183673</v>
      </c>
      <c r="F2014" t="s">
        <v>4</v>
      </c>
      <c r="G2014" t="str">
        <f t="shared" si="31"/>
        <v>2023-07</v>
      </c>
    </row>
    <row r="2015" spans="1:7" x14ac:dyDescent="0.3">
      <c r="A2015">
        <v>4042</v>
      </c>
      <c r="B2015" t="s">
        <v>14</v>
      </c>
      <c r="C2015" s="7">
        <v>135</v>
      </c>
      <c r="D2015" s="1">
        <v>45145</v>
      </c>
      <c r="E2015" s="29">
        <v>2.2999999999999998</v>
      </c>
      <c r="F2015" t="s">
        <v>1</v>
      </c>
      <c r="G2015" t="str">
        <f t="shared" si="31"/>
        <v>2023-08</v>
      </c>
    </row>
    <row r="2016" spans="1:7" x14ac:dyDescent="0.3">
      <c r="A2016">
        <v>3959</v>
      </c>
      <c r="B2016" t="s">
        <v>19</v>
      </c>
      <c r="C2016" s="7">
        <v>185</v>
      </c>
      <c r="D2016" s="1">
        <v>44980</v>
      </c>
      <c r="E2016" s="29">
        <v>3.2083333333333299</v>
      </c>
      <c r="F2016" t="s">
        <v>1</v>
      </c>
      <c r="G2016" t="str">
        <f t="shared" si="31"/>
        <v>2023-02</v>
      </c>
    </row>
    <row r="2017" spans="1:7" x14ac:dyDescent="0.3">
      <c r="A2017">
        <v>3983</v>
      </c>
      <c r="B2017" t="s">
        <v>22</v>
      </c>
      <c r="C2017" s="7">
        <v>107.949152542372</v>
      </c>
      <c r="D2017" s="1">
        <v>45191</v>
      </c>
      <c r="E2017" s="29">
        <v>5</v>
      </c>
      <c r="F2017" t="s">
        <v>4</v>
      </c>
      <c r="G2017" t="str">
        <f t="shared" si="31"/>
        <v>2023-09</v>
      </c>
    </row>
    <row r="2018" spans="1:7" x14ac:dyDescent="0.3">
      <c r="A2018">
        <v>4118</v>
      </c>
      <c r="B2018" t="s">
        <v>46</v>
      </c>
      <c r="C2018" s="7">
        <v>44</v>
      </c>
      <c r="D2018" s="1">
        <v>44982</v>
      </c>
      <c r="E2018" s="29">
        <v>4.3</v>
      </c>
      <c r="F2018" t="s">
        <v>1</v>
      </c>
      <c r="G2018" t="str">
        <f t="shared" si="31"/>
        <v>2023-02</v>
      </c>
    </row>
    <row r="2019" spans="1:7" x14ac:dyDescent="0.3">
      <c r="A2019">
        <v>4067</v>
      </c>
      <c r="B2019" t="s">
        <v>26</v>
      </c>
      <c r="C2019" s="7">
        <v>200</v>
      </c>
      <c r="D2019" s="1">
        <v>45004</v>
      </c>
      <c r="E2019" s="29">
        <v>1.7</v>
      </c>
      <c r="F2019" t="s">
        <v>4</v>
      </c>
      <c r="G2019" t="str">
        <f t="shared" si="31"/>
        <v>2023-03</v>
      </c>
    </row>
    <row r="2020" spans="1:7" x14ac:dyDescent="0.3">
      <c r="A2020">
        <v>4063</v>
      </c>
      <c r="B2020" t="s">
        <v>21</v>
      </c>
      <c r="C2020" s="7">
        <v>92</v>
      </c>
      <c r="D2020" s="1">
        <v>44951</v>
      </c>
      <c r="E2020" s="29">
        <v>5</v>
      </c>
      <c r="F2020" t="s">
        <v>1</v>
      </c>
      <c r="G2020" t="str">
        <f t="shared" si="31"/>
        <v>2023-01</v>
      </c>
    </row>
    <row r="2021" spans="1:7" x14ac:dyDescent="0.3">
      <c r="A2021">
        <v>4083</v>
      </c>
      <c r="B2021" t="s">
        <v>33</v>
      </c>
      <c r="C2021" s="7">
        <v>116</v>
      </c>
      <c r="D2021" s="1">
        <v>45099</v>
      </c>
      <c r="E2021" s="29">
        <v>3.4</v>
      </c>
      <c r="F2021" t="s">
        <v>1</v>
      </c>
      <c r="G2021" t="str">
        <f t="shared" si="31"/>
        <v>2023-06</v>
      </c>
    </row>
    <row r="2022" spans="1:7" x14ac:dyDescent="0.3">
      <c r="A2022">
        <v>4105</v>
      </c>
      <c r="B2022" t="s">
        <v>37</v>
      </c>
      <c r="C2022" s="7">
        <v>32</v>
      </c>
      <c r="D2022" s="1">
        <v>44882</v>
      </c>
      <c r="E2022" s="29">
        <v>3.1</v>
      </c>
      <c r="F2022" t="s">
        <v>1</v>
      </c>
      <c r="G2022" t="str">
        <f t="shared" si="31"/>
        <v>2022-11</v>
      </c>
    </row>
    <row r="2023" spans="1:7" x14ac:dyDescent="0.3">
      <c r="A2023">
        <v>4109</v>
      </c>
      <c r="B2023" t="s">
        <v>9</v>
      </c>
      <c r="C2023" s="7">
        <v>103.564102564102</v>
      </c>
      <c r="D2023" s="1">
        <v>44899</v>
      </c>
      <c r="E2023" s="29">
        <v>2.1</v>
      </c>
      <c r="F2023" t="s">
        <v>1</v>
      </c>
      <c r="G2023" t="str">
        <f t="shared" si="31"/>
        <v>2022-12</v>
      </c>
    </row>
    <row r="2024" spans="1:7" x14ac:dyDescent="0.3">
      <c r="A2024">
        <v>4098</v>
      </c>
      <c r="B2024" t="s">
        <v>13</v>
      </c>
      <c r="C2024" s="7">
        <v>114</v>
      </c>
      <c r="D2024" s="1">
        <v>45121</v>
      </c>
      <c r="E2024" s="29">
        <v>2.45818181818181</v>
      </c>
      <c r="F2024" t="s">
        <v>4</v>
      </c>
      <c r="G2024" t="str">
        <f t="shared" si="31"/>
        <v>2023-07</v>
      </c>
    </row>
    <row r="2025" spans="1:7" x14ac:dyDescent="0.3">
      <c r="A2025">
        <v>4031</v>
      </c>
      <c r="B2025" t="s">
        <v>39</v>
      </c>
      <c r="C2025" s="7">
        <v>142</v>
      </c>
      <c r="D2025" s="1">
        <v>44844</v>
      </c>
      <c r="E2025" s="29">
        <v>2</v>
      </c>
      <c r="F2025" t="s">
        <v>1</v>
      </c>
      <c r="G2025" t="str">
        <f t="shared" si="31"/>
        <v>2022-10</v>
      </c>
    </row>
    <row r="2026" spans="1:7" x14ac:dyDescent="0.3">
      <c r="A2026">
        <v>3966</v>
      </c>
      <c r="B2026" t="s">
        <v>40</v>
      </c>
      <c r="C2026" s="7">
        <v>24</v>
      </c>
      <c r="D2026" s="1">
        <v>45158</v>
      </c>
      <c r="E2026" s="29">
        <v>3.8</v>
      </c>
      <c r="F2026" t="s">
        <v>4</v>
      </c>
      <c r="G2026" t="str">
        <f t="shared" si="31"/>
        <v>2023-08</v>
      </c>
    </row>
    <row r="2027" spans="1:7" x14ac:dyDescent="0.3">
      <c r="A2027">
        <v>4081</v>
      </c>
      <c r="B2027" t="s">
        <v>31</v>
      </c>
      <c r="C2027" s="7">
        <v>50</v>
      </c>
      <c r="D2027" s="1">
        <v>45123</v>
      </c>
      <c r="E2027" s="29">
        <v>2.6590163934426201</v>
      </c>
      <c r="F2027" t="s">
        <v>1</v>
      </c>
      <c r="G2027" t="str">
        <f t="shared" si="31"/>
        <v>2023-07</v>
      </c>
    </row>
    <row r="2028" spans="1:7" x14ac:dyDescent="0.3">
      <c r="A2028">
        <v>4059</v>
      </c>
      <c r="B2028" t="s">
        <v>50</v>
      </c>
      <c r="C2028" s="7">
        <v>123.21818181818099</v>
      </c>
      <c r="D2028" s="1">
        <v>44897</v>
      </c>
      <c r="E2028" s="29">
        <v>3.8</v>
      </c>
      <c r="F2028" t="s">
        <v>4</v>
      </c>
      <c r="G2028" t="str">
        <f t="shared" si="31"/>
        <v>2022-12</v>
      </c>
    </row>
    <row r="2029" spans="1:7" x14ac:dyDescent="0.3">
      <c r="A2029">
        <v>4081</v>
      </c>
      <c r="B2029" t="s">
        <v>15</v>
      </c>
      <c r="C2029" s="7">
        <v>113</v>
      </c>
      <c r="D2029" s="1">
        <v>45116</v>
      </c>
      <c r="E2029" s="29">
        <v>3.04897959183673</v>
      </c>
      <c r="F2029" t="s">
        <v>4</v>
      </c>
      <c r="G2029" t="str">
        <f t="shared" si="31"/>
        <v>2023-07</v>
      </c>
    </row>
    <row r="2030" spans="1:7" x14ac:dyDescent="0.3">
      <c r="A2030">
        <v>4088</v>
      </c>
      <c r="B2030" t="s">
        <v>42</v>
      </c>
      <c r="C2030" s="7">
        <v>114.396551724137</v>
      </c>
      <c r="D2030" s="1">
        <v>45140</v>
      </c>
      <c r="E2030" s="29">
        <v>3.7</v>
      </c>
      <c r="F2030" t="s">
        <v>4</v>
      </c>
      <c r="G2030" t="str">
        <f t="shared" si="31"/>
        <v>2023-08</v>
      </c>
    </row>
    <row r="2031" spans="1:7" x14ac:dyDescent="0.3">
      <c r="A2031">
        <v>4108</v>
      </c>
      <c r="B2031" t="s">
        <v>42</v>
      </c>
      <c r="C2031" s="7">
        <v>155</v>
      </c>
      <c r="D2031" s="1">
        <v>45035</v>
      </c>
      <c r="E2031" s="29">
        <v>4.2</v>
      </c>
      <c r="F2031" t="s">
        <v>1</v>
      </c>
      <c r="G2031" t="str">
        <f t="shared" si="31"/>
        <v>2023-04</v>
      </c>
    </row>
    <row r="2032" spans="1:7" x14ac:dyDescent="0.3">
      <c r="A2032">
        <v>4113</v>
      </c>
      <c r="B2032" t="s">
        <v>20</v>
      </c>
      <c r="C2032" s="7">
        <v>105.95348837209301</v>
      </c>
      <c r="D2032" s="1">
        <v>45014</v>
      </c>
      <c r="E2032" s="29">
        <v>3</v>
      </c>
      <c r="F2032" t="s">
        <v>1</v>
      </c>
      <c r="G2032" t="str">
        <f t="shared" si="31"/>
        <v>2023-03</v>
      </c>
    </row>
    <row r="2033" spans="1:7" x14ac:dyDescent="0.3">
      <c r="A2033">
        <v>4081</v>
      </c>
      <c r="B2033" t="s">
        <v>24</v>
      </c>
      <c r="C2033" s="7">
        <v>95.292307692307702</v>
      </c>
      <c r="D2033" s="1">
        <v>45158</v>
      </c>
      <c r="E2033" s="29">
        <v>3.8</v>
      </c>
      <c r="F2033" t="s">
        <v>1</v>
      </c>
      <c r="G2033" t="str">
        <f t="shared" si="31"/>
        <v>2023-08</v>
      </c>
    </row>
    <row r="2034" spans="1:7" x14ac:dyDescent="0.3">
      <c r="A2034">
        <v>4016</v>
      </c>
      <c r="B2034" t="s">
        <v>40</v>
      </c>
      <c r="C2034" s="7">
        <v>24</v>
      </c>
      <c r="D2034" s="1">
        <v>45015</v>
      </c>
      <c r="E2034" s="29">
        <v>4.2</v>
      </c>
      <c r="F2034" t="s">
        <v>4</v>
      </c>
      <c r="G2034" t="str">
        <f t="shared" si="31"/>
        <v>2023-03</v>
      </c>
    </row>
    <row r="2035" spans="1:7" x14ac:dyDescent="0.3">
      <c r="A2035">
        <v>3972</v>
      </c>
      <c r="B2035" t="s">
        <v>24</v>
      </c>
      <c r="C2035" s="7">
        <v>126</v>
      </c>
      <c r="D2035" s="1">
        <v>45107</v>
      </c>
      <c r="E2035" s="29">
        <v>4.9000000000000004</v>
      </c>
      <c r="F2035" t="s">
        <v>4</v>
      </c>
      <c r="G2035" t="str">
        <f t="shared" si="31"/>
        <v>2023-06</v>
      </c>
    </row>
    <row r="2036" spans="1:7" x14ac:dyDescent="0.3">
      <c r="A2036">
        <v>4092</v>
      </c>
      <c r="B2036" t="s">
        <v>37</v>
      </c>
      <c r="C2036" s="7">
        <v>97.720588235294102</v>
      </c>
      <c r="D2036" s="1">
        <v>44944</v>
      </c>
      <c r="E2036" s="29">
        <v>2.2999999999999998</v>
      </c>
      <c r="F2036" t="s">
        <v>4</v>
      </c>
      <c r="G2036" t="str">
        <f t="shared" si="31"/>
        <v>2023-01</v>
      </c>
    </row>
    <row r="2037" spans="1:7" x14ac:dyDescent="0.3">
      <c r="A2037">
        <v>3961</v>
      </c>
      <c r="B2037" t="s">
        <v>50</v>
      </c>
      <c r="C2037" s="7">
        <v>60</v>
      </c>
      <c r="D2037" s="1">
        <v>44981</v>
      </c>
      <c r="E2037" s="29">
        <v>1.6</v>
      </c>
      <c r="F2037" t="s">
        <v>1</v>
      </c>
      <c r="G2037" t="str">
        <f t="shared" si="31"/>
        <v>2023-02</v>
      </c>
    </row>
    <row r="2038" spans="1:7" x14ac:dyDescent="0.3">
      <c r="A2038">
        <v>4065</v>
      </c>
      <c r="B2038" t="s">
        <v>24</v>
      </c>
      <c r="C2038" s="7">
        <v>128</v>
      </c>
      <c r="D2038" s="1">
        <v>44980</v>
      </c>
      <c r="E2038" s="29">
        <v>1.3</v>
      </c>
      <c r="F2038" t="s">
        <v>1</v>
      </c>
      <c r="G2038" t="str">
        <f t="shared" si="31"/>
        <v>2023-02</v>
      </c>
    </row>
    <row r="2039" spans="1:7" x14ac:dyDescent="0.3">
      <c r="A2039">
        <v>4104</v>
      </c>
      <c r="B2039" t="s">
        <v>41</v>
      </c>
      <c r="C2039" s="7">
        <v>172</v>
      </c>
      <c r="D2039" s="1">
        <v>45005</v>
      </c>
      <c r="E2039" s="29">
        <v>1.5</v>
      </c>
      <c r="F2039" t="s">
        <v>1</v>
      </c>
      <c r="G2039" t="str">
        <f t="shared" si="31"/>
        <v>2023-03</v>
      </c>
    </row>
    <row r="2040" spans="1:7" x14ac:dyDescent="0.3">
      <c r="A2040">
        <v>4037</v>
      </c>
      <c r="B2040" t="s">
        <v>25</v>
      </c>
      <c r="C2040" s="7">
        <v>184</v>
      </c>
      <c r="D2040" s="1">
        <v>45039</v>
      </c>
      <c r="E2040" s="29">
        <v>2.8</v>
      </c>
      <c r="F2040" t="s">
        <v>1</v>
      </c>
      <c r="G2040" t="str">
        <f t="shared" si="31"/>
        <v>2023-04</v>
      </c>
    </row>
    <row r="2041" spans="1:7" x14ac:dyDescent="0.3">
      <c r="A2041">
        <v>4098</v>
      </c>
      <c r="B2041" t="s">
        <v>28</v>
      </c>
      <c r="C2041" s="7">
        <v>111.854838709677</v>
      </c>
      <c r="D2041" s="1">
        <v>45043</v>
      </c>
      <c r="E2041" s="29">
        <v>1.3</v>
      </c>
      <c r="F2041" t="s">
        <v>1</v>
      </c>
      <c r="G2041" t="str">
        <f t="shared" si="31"/>
        <v>2023-04</v>
      </c>
    </row>
    <row r="2042" spans="1:7" x14ac:dyDescent="0.3">
      <c r="A2042">
        <v>3973</v>
      </c>
      <c r="B2042" t="s">
        <v>35</v>
      </c>
      <c r="C2042" s="7">
        <v>162</v>
      </c>
      <c r="D2042" s="1">
        <v>44916</v>
      </c>
      <c r="E2042" s="29">
        <v>3.8</v>
      </c>
      <c r="F2042" t="s">
        <v>4</v>
      </c>
      <c r="G2042" t="str">
        <f t="shared" si="31"/>
        <v>2022-12</v>
      </c>
    </row>
    <row r="2043" spans="1:7" x14ac:dyDescent="0.3">
      <c r="A2043">
        <v>4025</v>
      </c>
      <c r="B2043" t="s">
        <v>6</v>
      </c>
      <c r="C2043" s="7">
        <v>131</v>
      </c>
      <c r="D2043" s="1">
        <v>44921</v>
      </c>
      <c r="E2043" s="29">
        <v>3.9</v>
      </c>
      <c r="F2043" t="s">
        <v>4</v>
      </c>
      <c r="G2043" t="str">
        <f t="shared" si="31"/>
        <v>2022-12</v>
      </c>
    </row>
    <row r="2044" spans="1:7" x14ac:dyDescent="0.3">
      <c r="A2044">
        <v>4122</v>
      </c>
      <c r="B2044" t="s">
        <v>31</v>
      </c>
      <c r="C2044" s="7">
        <v>99</v>
      </c>
      <c r="D2044" s="1">
        <v>45141</v>
      </c>
      <c r="E2044" s="29">
        <v>1.5</v>
      </c>
      <c r="F2044" t="s">
        <v>4</v>
      </c>
      <c r="G2044" t="str">
        <f t="shared" si="31"/>
        <v>2023-08</v>
      </c>
    </row>
    <row r="2045" spans="1:7" x14ac:dyDescent="0.3">
      <c r="A2045">
        <v>4063</v>
      </c>
      <c r="B2045" t="s">
        <v>29</v>
      </c>
      <c r="C2045" s="7">
        <v>76</v>
      </c>
      <c r="D2045" s="1">
        <v>45187</v>
      </c>
      <c r="E2045" s="29">
        <v>4.8</v>
      </c>
      <c r="F2045" t="s">
        <v>1</v>
      </c>
      <c r="G2045" t="str">
        <f t="shared" si="31"/>
        <v>2023-09</v>
      </c>
    </row>
    <row r="2046" spans="1:7" x14ac:dyDescent="0.3">
      <c r="A2046">
        <v>4078</v>
      </c>
      <c r="B2046" t="s">
        <v>5</v>
      </c>
      <c r="C2046" s="7">
        <v>186</v>
      </c>
      <c r="D2046" s="1">
        <v>45025</v>
      </c>
      <c r="E2046" s="29">
        <v>3.4</v>
      </c>
      <c r="F2046" t="s">
        <v>4</v>
      </c>
      <c r="G2046" t="str">
        <f t="shared" si="31"/>
        <v>2023-04</v>
      </c>
    </row>
    <row r="2047" spans="1:7" x14ac:dyDescent="0.3">
      <c r="A2047">
        <v>3986</v>
      </c>
      <c r="B2047" t="s">
        <v>22</v>
      </c>
      <c r="C2047" s="7">
        <v>107.949152542372</v>
      </c>
      <c r="D2047" s="1">
        <v>44912</v>
      </c>
      <c r="E2047" s="29">
        <v>1.8</v>
      </c>
      <c r="F2047" t="s">
        <v>4</v>
      </c>
      <c r="G2047" t="str">
        <f t="shared" si="31"/>
        <v>2022-12</v>
      </c>
    </row>
    <row r="2048" spans="1:7" x14ac:dyDescent="0.3">
      <c r="A2048">
        <v>4083</v>
      </c>
      <c r="B2048" t="s">
        <v>34</v>
      </c>
      <c r="C2048" s="7">
        <v>110.431818181818</v>
      </c>
      <c r="D2048" s="1">
        <v>44899</v>
      </c>
      <c r="E2048" s="29">
        <v>1.1000000000000001</v>
      </c>
      <c r="F2048" t="s">
        <v>1</v>
      </c>
      <c r="G2048" t="str">
        <f t="shared" si="31"/>
        <v>2022-12</v>
      </c>
    </row>
    <row r="2049" spans="1:7" x14ac:dyDescent="0.3">
      <c r="A2049">
        <v>4116</v>
      </c>
      <c r="B2049" t="s">
        <v>45</v>
      </c>
      <c r="C2049" s="7">
        <v>111.564102564102</v>
      </c>
      <c r="D2049" s="1">
        <v>45088</v>
      </c>
      <c r="E2049" s="29">
        <v>1.8</v>
      </c>
      <c r="F2049" t="s">
        <v>4</v>
      </c>
      <c r="G2049" t="str">
        <f t="shared" si="31"/>
        <v>2023-06</v>
      </c>
    </row>
    <row r="2050" spans="1:7" x14ac:dyDescent="0.3">
      <c r="A2050">
        <v>4122</v>
      </c>
      <c r="B2050" t="s">
        <v>32</v>
      </c>
      <c r="C2050" s="7">
        <v>64</v>
      </c>
      <c r="D2050" s="1">
        <v>45151</v>
      </c>
      <c r="E2050" s="29">
        <v>3.0542857142857098</v>
      </c>
      <c r="F2050" t="s">
        <v>4</v>
      </c>
      <c r="G2050" t="str">
        <f t="shared" si="31"/>
        <v>2023-08</v>
      </c>
    </row>
    <row r="2051" spans="1:7" x14ac:dyDescent="0.3">
      <c r="A2051">
        <v>4045</v>
      </c>
      <c r="B2051" t="s">
        <v>12</v>
      </c>
      <c r="C2051" s="7">
        <v>175</v>
      </c>
      <c r="D2051" s="1">
        <v>45089</v>
      </c>
      <c r="E2051" s="29">
        <v>2.7471698113207501</v>
      </c>
      <c r="F2051" t="s">
        <v>1</v>
      </c>
      <c r="G2051" t="str">
        <f t="shared" ref="G2051:G2114" si="32">TEXT(D2051,"ГГГГ-ММ")</f>
        <v>2023-06</v>
      </c>
    </row>
    <row r="2052" spans="1:7" x14ac:dyDescent="0.3">
      <c r="A2052">
        <v>4071</v>
      </c>
      <c r="B2052" t="s">
        <v>22</v>
      </c>
      <c r="C2052" s="7">
        <v>62</v>
      </c>
      <c r="D2052" s="1">
        <v>44862</v>
      </c>
      <c r="E2052" s="29">
        <v>2</v>
      </c>
      <c r="F2052" t="s">
        <v>1</v>
      </c>
      <c r="G2052" t="str">
        <f t="shared" si="32"/>
        <v>2022-10</v>
      </c>
    </row>
    <row r="2053" spans="1:7" x14ac:dyDescent="0.3">
      <c r="A2053">
        <v>4068</v>
      </c>
      <c r="B2053" t="s">
        <v>5</v>
      </c>
      <c r="C2053" s="7">
        <v>114</v>
      </c>
      <c r="D2053" s="1">
        <v>44997</v>
      </c>
      <c r="E2053" s="29">
        <v>3</v>
      </c>
      <c r="F2053" t="s">
        <v>1</v>
      </c>
      <c r="G2053" t="str">
        <f t="shared" si="32"/>
        <v>2023-03</v>
      </c>
    </row>
    <row r="2054" spans="1:7" x14ac:dyDescent="0.3">
      <c r="A2054">
        <v>3962</v>
      </c>
      <c r="B2054" t="s">
        <v>8</v>
      </c>
      <c r="C2054" s="7">
        <v>184</v>
      </c>
      <c r="D2054" s="1">
        <v>45194</v>
      </c>
      <c r="E2054" s="29">
        <v>2.6</v>
      </c>
      <c r="F2054" t="s">
        <v>4</v>
      </c>
      <c r="G2054" t="str">
        <f t="shared" si="32"/>
        <v>2023-09</v>
      </c>
    </row>
    <row r="2055" spans="1:7" x14ac:dyDescent="0.3">
      <c r="A2055">
        <v>3998</v>
      </c>
      <c r="B2055" t="s">
        <v>8</v>
      </c>
      <c r="C2055" s="7">
        <v>105.81034482758599</v>
      </c>
      <c r="D2055" s="1">
        <v>45044</v>
      </c>
      <c r="E2055" s="29">
        <v>2.2999999999999998</v>
      </c>
      <c r="F2055" t="s">
        <v>4</v>
      </c>
      <c r="G2055" t="str">
        <f t="shared" si="32"/>
        <v>2023-04</v>
      </c>
    </row>
    <row r="2056" spans="1:7" x14ac:dyDescent="0.3">
      <c r="A2056">
        <v>4030</v>
      </c>
      <c r="B2056" t="s">
        <v>5</v>
      </c>
      <c r="C2056" s="7">
        <v>175</v>
      </c>
      <c r="D2056" s="1">
        <v>45030</v>
      </c>
      <c r="E2056" s="29">
        <v>2.2999999999999998</v>
      </c>
      <c r="F2056" t="s">
        <v>1</v>
      </c>
      <c r="G2056" t="str">
        <f t="shared" si="32"/>
        <v>2023-04</v>
      </c>
    </row>
    <row r="2057" spans="1:7" x14ac:dyDescent="0.3">
      <c r="A2057">
        <v>4006</v>
      </c>
      <c r="B2057" t="s">
        <v>12</v>
      </c>
      <c r="C2057" s="7">
        <v>103.354166666666</v>
      </c>
      <c r="D2057" s="1">
        <v>44842</v>
      </c>
      <c r="E2057" s="29">
        <v>2.7</v>
      </c>
      <c r="F2057" t="s">
        <v>1</v>
      </c>
      <c r="G2057" t="str">
        <f t="shared" si="32"/>
        <v>2022-10</v>
      </c>
    </row>
    <row r="2058" spans="1:7" x14ac:dyDescent="0.3">
      <c r="A2058">
        <v>4077</v>
      </c>
      <c r="B2058" t="s">
        <v>28</v>
      </c>
      <c r="C2058" s="7">
        <v>67</v>
      </c>
      <c r="D2058" s="1">
        <v>44956</v>
      </c>
      <c r="E2058" s="29">
        <v>4.7</v>
      </c>
      <c r="F2058" t="s">
        <v>1</v>
      </c>
      <c r="G2058" t="str">
        <f t="shared" si="32"/>
        <v>2023-01</v>
      </c>
    </row>
    <row r="2059" spans="1:7" x14ac:dyDescent="0.3">
      <c r="A2059">
        <v>4045</v>
      </c>
      <c r="B2059" t="s">
        <v>32</v>
      </c>
      <c r="C2059" s="7">
        <v>88</v>
      </c>
      <c r="D2059" s="1">
        <v>45045</v>
      </c>
      <c r="E2059" s="29">
        <v>3.8</v>
      </c>
      <c r="F2059" t="s">
        <v>1</v>
      </c>
      <c r="G2059" t="str">
        <f t="shared" si="32"/>
        <v>2023-04</v>
      </c>
    </row>
    <row r="2060" spans="1:7" x14ac:dyDescent="0.3">
      <c r="A2060">
        <v>4069</v>
      </c>
      <c r="B2060" t="s">
        <v>38</v>
      </c>
      <c r="C2060" s="7">
        <v>191</v>
      </c>
      <c r="D2060" s="1">
        <v>44888</v>
      </c>
      <c r="E2060" s="29">
        <v>3.0230769230769199</v>
      </c>
      <c r="F2060" t="s">
        <v>1</v>
      </c>
      <c r="G2060" t="str">
        <f t="shared" si="32"/>
        <v>2022-11</v>
      </c>
    </row>
    <row r="2061" spans="1:7" x14ac:dyDescent="0.3">
      <c r="A2061">
        <v>4016</v>
      </c>
      <c r="B2061" t="s">
        <v>32</v>
      </c>
      <c r="C2061" s="7">
        <v>118</v>
      </c>
      <c r="D2061" s="1">
        <v>45051</v>
      </c>
      <c r="E2061" s="29">
        <v>4.8</v>
      </c>
      <c r="F2061" t="s">
        <v>4</v>
      </c>
      <c r="G2061" t="str">
        <f t="shared" si="32"/>
        <v>2023-05</v>
      </c>
    </row>
    <row r="2062" spans="1:7" x14ac:dyDescent="0.3">
      <c r="A2062">
        <v>4086</v>
      </c>
      <c r="B2062" t="s">
        <v>30</v>
      </c>
      <c r="C2062" s="7">
        <v>99</v>
      </c>
      <c r="D2062" s="1">
        <v>44907</v>
      </c>
      <c r="E2062" s="29">
        <v>2.9</v>
      </c>
      <c r="F2062" t="s">
        <v>4</v>
      </c>
      <c r="G2062" t="str">
        <f t="shared" si="32"/>
        <v>2022-12</v>
      </c>
    </row>
    <row r="2063" spans="1:7" x14ac:dyDescent="0.3">
      <c r="A2063">
        <v>4013</v>
      </c>
      <c r="B2063" t="s">
        <v>12</v>
      </c>
      <c r="C2063" s="7">
        <v>65</v>
      </c>
      <c r="D2063" s="1">
        <v>44994</v>
      </c>
      <c r="E2063" s="29">
        <v>1.6</v>
      </c>
      <c r="F2063" t="s">
        <v>4</v>
      </c>
      <c r="G2063" t="str">
        <f t="shared" si="32"/>
        <v>2023-03</v>
      </c>
    </row>
    <row r="2064" spans="1:7" x14ac:dyDescent="0.3">
      <c r="A2064">
        <v>4107</v>
      </c>
      <c r="B2064" t="s">
        <v>48</v>
      </c>
      <c r="C2064" s="7">
        <v>183</v>
      </c>
      <c r="D2064" s="1">
        <v>45113</v>
      </c>
      <c r="E2064" s="29">
        <v>2</v>
      </c>
      <c r="F2064" t="s">
        <v>1</v>
      </c>
      <c r="G2064" t="str">
        <f t="shared" si="32"/>
        <v>2023-07</v>
      </c>
    </row>
    <row r="2065" spans="1:7" x14ac:dyDescent="0.3">
      <c r="A2065">
        <v>4043</v>
      </c>
      <c r="B2065" t="s">
        <v>23</v>
      </c>
      <c r="C2065" s="7">
        <v>169</v>
      </c>
      <c r="D2065" s="1">
        <v>45052</v>
      </c>
      <c r="E2065" s="29">
        <v>4.8</v>
      </c>
      <c r="F2065" t="s">
        <v>4</v>
      </c>
      <c r="G2065" t="str">
        <f t="shared" si="32"/>
        <v>2023-05</v>
      </c>
    </row>
    <row r="2066" spans="1:7" x14ac:dyDescent="0.3">
      <c r="A2066">
        <v>4111</v>
      </c>
      <c r="B2066" t="s">
        <v>15</v>
      </c>
      <c r="C2066" s="7">
        <v>36</v>
      </c>
      <c r="D2066" s="1">
        <v>44851</v>
      </c>
      <c r="E2066" s="29">
        <v>3.9</v>
      </c>
      <c r="F2066" t="s">
        <v>1</v>
      </c>
      <c r="G2066" t="str">
        <f t="shared" si="32"/>
        <v>2022-10</v>
      </c>
    </row>
    <row r="2067" spans="1:7" x14ac:dyDescent="0.3">
      <c r="A2067">
        <v>4076</v>
      </c>
      <c r="B2067" t="s">
        <v>46</v>
      </c>
      <c r="C2067" s="7">
        <v>118.531914893617</v>
      </c>
      <c r="D2067" s="1">
        <v>45065</v>
      </c>
      <c r="E2067" s="29">
        <v>4.0999999999999996</v>
      </c>
      <c r="F2067" t="s">
        <v>1</v>
      </c>
      <c r="G2067" t="str">
        <f t="shared" si="32"/>
        <v>2023-05</v>
      </c>
    </row>
    <row r="2068" spans="1:7" x14ac:dyDescent="0.3">
      <c r="A2068">
        <v>3990</v>
      </c>
      <c r="B2068" t="s">
        <v>14</v>
      </c>
      <c r="C2068" s="7">
        <v>105</v>
      </c>
      <c r="D2068" s="1">
        <v>44841</v>
      </c>
      <c r="E2068" s="29">
        <v>3.8</v>
      </c>
      <c r="F2068" t="s">
        <v>4</v>
      </c>
      <c r="G2068" t="str">
        <f t="shared" si="32"/>
        <v>2022-10</v>
      </c>
    </row>
    <row r="2069" spans="1:7" x14ac:dyDescent="0.3">
      <c r="A2069">
        <v>4032</v>
      </c>
      <c r="B2069" t="s">
        <v>5</v>
      </c>
      <c r="C2069" s="7">
        <v>162</v>
      </c>
      <c r="D2069" s="1">
        <v>44987</v>
      </c>
      <c r="E2069" s="29">
        <v>2.5</v>
      </c>
      <c r="F2069" t="s">
        <v>4</v>
      </c>
      <c r="G2069" t="str">
        <f t="shared" si="32"/>
        <v>2023-03</v>
      </c>
    </row>
    <row r="2070" spans="1:7" x14ac:dyDescent="0.3">
      <c r="A2070">
        <v>4056</v>
      </c>
      <c r="B2070" t="s">
        <v>28</v>
      </c>
      <c r="C2070" s="7">
        <v>86</v>
      </c>
      <c r="D2070" s="1">
        <v>45065</v>
      </c>
      <c r="E2070" s="29">
        <v>3</v>
      </c>
      <c r="F2070" t="s">
        <v>4</v>
      </c>
      <c r="G2070" t="str">
        <f t="shared" si="32"/>
        <v>2023-05</v>
      </c>
    </row>
    <row r="2071" spans="1:7" x14ac:dyDescent="0.3">
      <c r="A2071">
        <v>4063</v>
      </c>
      <c r="B2071" t="s">
        <v>7</v>
      </c>
      <c r="C2071" s="7">
        <v>133</v>
      </c>
      <c r="D2071" s="1">
        <v>45163</v>
      </c>
      <c r="E2071" s="29">
        <v>4.3</v>
      </c>
      <c r="F2071" t="s">
        <v>1</v>
      </c>
      <c r="G2071" t="str">
        <f t="shared" si="32"/>
        <v>2023-08</v>
      </c>
    </row>
    <row r="2072" spans="1:7" x14ac:dyDescent="0.3">
      <c r="A2072">
        <v>4049</v>
      </c>
      <c r="B2072" t="s">
        <v>10</v>
      </c>
      <c r="C2072" s="7">
        <v>120.375</v>
      </c>
      <c r="D2072" s="1">
        <v>44914</v>
      </c>
      <c r="E2072" s="29">
        <v>1.8</v>
      </c>
      <c r="F2072" t="s">
        <v>4</v>
      </c>
      <c r="G2072" t="str">
        <f t="shared" si="32"/>
        <v>2022-12</v>
      </c>
    </row>
    <row r="2073" spans="1:7" x14ac:dyDescent="0.3">
      <c r="A2073">
        <v>4077</v>
      </c>
      <c r="B2073" t="s">
        <v>27</v>
      </c>
      <c r="C2073" s="7">
        <v>173</v>
      </c>
      <c r="D2073" s="1">
        <v>45051</v>
      </c>
      <c r="E2073" s="29">
        <v>3.6</v>
      </c>
      <c r="F2073" t="s">
        <v>1</v>
      </c>
      <c r="G2073" t="str">
        <f t="shared" si="32"/>
        <v>2023-05</v>
      </c>
    </row>
    <row r="2074" spans="1:7" x14ac:dyDescent="0.3">
      <c r="A2074">
        <v>3998</v>
      </c>
      <c r="B2074" t="s">
        <v>7</v>
      </c>
      <c r="C2074" s="7">
        <v>80</v>
      </c>
      <c r="D2074" s="1">
        <v>45043</v>
      </c>
      <c r="E2074" s="29">
        <v>3</v>
      </c>
      <c r="F2074" t="s">
        <v>4</v>
      </c>
      <c r="G2074" t="str">
        <f t="shared" si="32"/>
        <v>2023-04</v>
      </c>
    </row>
    <row r="2075" spans="1:7" x14ac:dyDescent="0.3">
      <c r="A2075">
        <v>4116</v>
      </c>
      <c r="B2075" t="s">
        <v>27</v>
      </c>
      <c r="C2075" s="7">
        <v>192</v>
      </c>
      <c r="D2075" s="1">
        <v>44844</v>
      </c>
      <c r="E2075" s="29">
        <v>4.5999999999999996</v>
      </c>
      <c r="F2075" t="s">
        <v>4</v>
      </c>
      <c r="G2075" t="str">
        <f t="shared" si="32"/>
        <v>2022-10</v>
      </c>
    </row>
    <row r="2076" spans="1:7" x14ac:dyDescent="0.3">
      <c r="A2076">
        <v>4010</v>
      </c>
      <c r="B2076" t="s">
        <v>34</v>
      </c>
      <c r="C2076" s="7">
        <v>176</v>
      </c>
      <c r="D2076" s="1">
        <v>44903</v>
      </c>
      <c r="E2076" s="29">
        <v>3.4</v>
      </c>
      <c r="F2076" t="s">
        <v>4</v>
      </c>
      <c r="G2076" t="str">
        <f t="shared" si="32"/>
        <v>2022-12</v>
      </c>
    </row>
    <row r="2077" spans="1:7" x14ac:dyDescent="0.3">
      <c r="A2077">
        <v>4029</v>
      </c>
      <c r="B2077" t="s">
        <v>51</v>
      </c>
      <c r="C2077" s="7">
        <v>48</v>
      </c>
      <c r="D2077" s="1">
        <v>44936</v>
      </c>
      <c r="E2077" s="29">
        <v>2.7</v>
      </c>
      <c r="F2077" t="s">
        <v>4</v>
      </c>
      <c r="G2077" t="str">
        <f t="shared" si="32"/>
        <v>2023-01</v>
      </c>
    </row>
    <row r="2078" spans="1:7" x14ac:dyDescent="0.3">
      <c r="A2078">
        <v>3979</v>
      </c>
      <c r="B2078" t="s">
        <v>2</v>
      </c>
      <c r="C2078" s="7">
        <v>71</v>
      </c>
      <c r="D2078" s="1">
        <v>45016</v>
      </c>
      <c r="E2078" s="29">
        <v>4.2</v>
      </c>
      <c r="F2078" t="s">
        <v>1</v>
      </c>
      <c r="G2078" t="str">
        <f t="shared" si="32"/>
        <v>2023-03</v>
      </c>
    </row>
    <row r="2079" spans="1:7" x14ac:dyDescent="0.3">
      <c r="A2079">
        <v>4080</v>
      </c>
      <c r="B2079" t="s">
        <v>19</v>
      </c>
      <c r="C2079" s="7">
        <v>163</v>
      </c>
      <c r="D2079" s="1">
        <v>44868</v>
      </c>
      <c r="E2079" s="29">
        <v>3.9</v>
      </c>
      <c r="F2079" t="s">
        <v>4</v>
      </c>
      <c r="G2079" t="str">
        <f t="shared" si="32"/>
        <v>2022-11</v>
      </c>
    </row>
    <row r="2080" spans="1:7" x14ac:dyDescent="0.3">
      <c r="A2080">
        <v>3990</v>
      </c>
      <c r="B2080" t="s">
        <v>8</v>
      </c>
      <c r="C2080" s="7">
        <v>91</v>
      </c>
      <c r="D2080" s="1">
        <v>45023</v>
      </c>
      <c r="E2080" s="29">
        <v>3.2</v>
      </c>
      <c r="F2080" t="s">
        <v>1</v>
      </c>
      <c r="G2080" t="str">
        <f t="shared" si="32"/>
        <v>2023-04</v>
      </c>
    </row>
    <row r="2081" spans="1:7" x14ac:dyDescent="0.3">
      <c r="A2081">
        <v>4001</v>
      </c>
      <c r="B2081" t="s">
        <v>31</v>
      </c>
      <c r="C2081" s="7">
        <v>194</v>
      </c>
      <c r="D2081" s="1">
        <v>45094</v>
      </c>
      <c r="E2081" s="29">
        <v>1.2</v>
      </c>
      <c r="F2081" t="s">
        <v>1</v>
      </c>
      <c r="G2081" t="str">
        <f t="shared" si="32"/>
        <v>2023-06</v>
      </c>
    </row>
    <row r="2082" spans="1:7" x14ac:dyDescent="0.3">
      <c r="A2082">
        <v>4008</v>
      </c>
      <c r="B2082" t="s">
        <v>15</v>
      </c>
      <c r="C2082" s="7">
        <v>103.108695652173</v>
      </c>
      <c r="D2082" s="1">
        <v>45022</v>
      </c>
      <c r="E2082" s="29">
        <v>2.6</v>
      </c>
      <c r="F2082" t="s">
        <v>4</v>
      </c>
      <c r="G2082" t="str">
        <f t="shared" si="32"/>
        <v>2023-04</v>
      </c>
    </row>
    <row r="2083" spans="1:7" x14ac:dyDescent="0.3">
      <c r="A2083">
        <v>3997</v>
      </c>
      <c r="B2083" t="s">
        <v>24</v>
      </c>
      <c r="C2083" s="7">
        <v>85</v>
      </c>
      <c r="D2083" s="1">
        <v>44849</v>
      </c>
      <c r="E2083" s="29">
        <v>4.2</v>
      </c>
      <c r="F2083" t="s">
        <v>1</v>
      </c>
      <c r="G2083" t="str">
        <f t="shared" si="32"/>
        <v>2022-10</v>
      </c>
    </row>
    <row r="2084" spans="1:7" x14ac:dyDescent="0.3">
      <c r="A2084">
        <v>4112</v>
      </c>
      <c r="B2084" t="s">
        <v>20</v>
      </c>
      <c r="C2084" s="7">
        <v>117</v>
      </c>
      <c r="D2084" s="1">
        <v>44872</v>
      </c>
      <c r="E2084" s="29">
        <v>4.5</v>
      </c>
      <c r="F2084" t="s">
        <v>4</v>
      </c>
      <c r="G2084" t="str">
        <f t="shared" si="32"/>
        <v>2022-11</v>
      </c>
    </row>
    <row r="2085" spans="1:7" x14ac:dyDescent="0.3">
      <c r="A2085">
        <v>4082</v>
      </c>
      <c r="B2085" t="s">
        <v>49</v>
      </c>
      <c r="C2085" s="7">
        <v>198</v>
      </c>
      <c r="D2085" s="1">
        <v>45027</v>
      </c>
      <c r="E2085" s="29">
        <v>4.7</v>
      </c>
      <c r="F2085" t="s">
        <v>1</v>
      </c>
      <c r="G2085" t="str">
        <f t="shared" si="32"/>
        <v>2023-04</v>
      </c>
    </row>
    <row r="2086" spans="1:7" x14ac:dyDescent="0.3">
      <c r="A2086">
        <v>3982</v>
      </c>
      <c r="B2086" t="s">
        <v>40</v>
      </c>
      <c r="C2086" s="7">
        <v>106.80769230769199</v>
      </c>
      <c r="D2086" s="1">
        <v>44937</v>
      </c>
      <c r="E2086" s="29">
        <v>1.9</v>
      </c>
      <c r="F2086" t="s">
        <v>1</v>
      </c>
      <c r="G2086" t="str">
        <f t="shared" si="32"/>
        <v>2023-01</v>
      </c>
    </row>
    <row r="2087" spans="1:7" x14ac:dyDescent="0.3">
      <c r="A2087">
        <v>4063</v>
      </c>
      <c r="B2087" t="s">
        <v>6</v>
      </c>
      <c r="C2087" s="7">
        <v>156</v>
      </c>
      <c r="D2087" s="1">
        <v>45184</v>
      </c>
      <c r="E2087" s="29">
        <v>3.4</v>
      </c>
      <c r="F2087" t="s">
        <v>1</v>
      </c>
      <c r="G2087" t="str">
        <f t="shared" si="32"/>
        <v>2023-09</v>
      </c>
    </row>
    <row r="2088" spans="1:7" x14ac:dyDescent="0.3">
      <c r="A2088">
        <v>4083</v>
      </c>
      <c r="B2088" t="s">
        <v>25</v>
      </c>
      <c r="C2088" s="7">
        <v>97</v>
      </c>
      <c r="D2088" s="1">
        <v>44838</v>
      </c>
      <c r="E2088" s="29">
        <v>2.2000000000000002</v>
      </c>
      <c r="F2088" t="s">
        <v>1</v>
      </c>
      <c r="G2088" t="str">
        <f t="shared" si="32"/>
        <v>2022-10</v>
      </c>
    </row>
    <row r="2089" spans="1:7" x14ac:dyDescent="0.3">
      <c r="A2089">
        <v>4034</v>
      </c>
      <c r="B2089" t="s">
        <v>19</v>
      </c>
      <c r="C2089" s="7">
        <v>66</v>
      </c>
      <c r="D2089" s="1">
        <v>44870</v>
      </c>
      <c r="E2089" s="29">
        <v>1.2</v>
      </c>
      <c r="F2089" t="s">
        <v>4</v>
      </c>
      <c r="G2089" t="str">
        <f t="shared" si="32"/>
        <v>2022-11</v>
      </c>
    </row>
    <row r="2090" spans="1:7" x14ac:dyDescent="0.3">
      <c r="A2090">
        <v>4017</v>
      </c>
      <c r="B2090" t="s">
        <v>50</v>
      </c>
      <c r="C2090" s="7">
        <v>173</v>
      </c>
      <c r="D2090" s="1">
        <v>45061</v>
      </c>
      <c r="E2090" s="29">
        <v>4.5999999999999996</v>
      </c>
      <c r="F2090" t="s">
        <v>4</v>
      </c>
      <c r="G2090" t="str">
        <f t="shared" si="32"/>
        <v>2023-05</v>
      </c>
    </row>
    <row r="2091" spans="1:7" x14ac:dyDescent="0.3">
      <c r="A2091">
        <v>4010</v>
      </c>
      <c r="B2091" t="s">
        <v>19</v>
      </c>
      <c r="C2091" s="7">
        <v>181</v>
      </c>
      <c r="D2091" s="1">
        <v>44953</v>
      </c>
      <c r="E2091" s="29">
        <v>2.1</v>
      </c>
      <c r="F2091" t="s">
        <v>1</v>
      </c>
      <c r="G2091" t="str">
        <f t="shared" si="32"/>
        <v>2023-01</v>
      </c>
    </row>
    <row r="2092" spans="1:7" x14ac:dyDescent="0.3">
      <c r="A2092">
        <v>4099</v>
      </c>
      <c r="B2092" t="s">
        <v>31</v>
      </c>
      <c r="C2092" s="7">
        <v>86</v>
      </c>
      <c r="D2092" s="1">
        <v>45183</v>
      </c>
      <c r="E2092" s="29">
        <v>1.2</v>
      </c>
      <c r="F2092" t="s">
        <v>1</v>
      </c>
      <c r="G2092" t="str">
        <f t="shared" si="32"/>
        <v>2023-09</v>
      </c>
    </row>
    <row r="2093" spans="1:7" x14ac:dyDescent="0.3">
      <c r="A2093">
        <v>3969</v>
      </c>
      <c r="B2093" t="s">
        <v>23</v>
      </c>
      <c r="C2093" s="7">
        <v>178</v>
      </c>
      <c r="D2093" s="1">
        <v>45161</v>
      </c>
      <c r="E2093" s="29">
        <v>2.8</v>
      </c>
      <c r="F2093" t="s">
        <v>1</v>
      </c>
      <c r="G2093" t="str">
        <f t="shared" si="32"/>
        <v>2023-08</v>
      </c>
    </row>
    <row r="2094" spans="1:7" x14ac:dyDescent="0.3">
      <c r="A2094">
        <v>3961</v>
      </c>
      <c r="B2094" t="s">
        <v>41</v>
      </c>
      <c r="C2094" s="7">
        <v>56</v>
      </c>
      <c r="D2094" s="1">
        <v>44882</v>
      </c>
      <c r="E2094" s="29">
        <v>2.7</v>
      </c>
      <c r="F2094" t="s">
        <v>4</v>
      </c>
      <c r="G2094" t="str">
        <f t="shared" si="32"/>
        <v>2022-11</v>
      </c>
    </row>
    <row r="2095" spans="1:7" x14ac:dyDescent="0.3">
      <c r="A2095">
        <v>4048</v>
      </c>
      <c r="B2095" t="s">
        <v>28</v>
      </c>
      <c r="C2095" s="7">
        <v>130</v>
      </c>
      <c r="D2095" s="1">
        <v>45052</v>
      </c>
      <c r="E2095" s="29">
        <v>4.2</v>
      </c>
      <c r="F2095" t="s">
        <v>4</v>
      </c>
      <c r="G2095" t="str">
        <f t="shared" si="32"/>
        <v>2023-05</v>
      </c>
    </row>
    <row r="2096" spans="1:7" x14ac:dyDescent="0.3">
      <c r="A2096">
        <v>4023</v>
      </c>
      <c r="B2096" t="s">
        <v>43</v>
      </c>
      <c r="C2096" s="7">
        <v>117.354166666666</v>
      </c>
      <c r="D2096" s="1">
        <v>45090</v>
      </c>
      <c r="E2096" s="29">
        <v>4.3</v>
      </c>
      <c r="F2096" t="s">
        <v>4</v>
      </c>
      <c r="G2096" t="str">
        <f t="shared" si="32"/>
        <v>2023-06</v>
      </c>
    </row>
    <row r="2097" spans="1:7" x14ac:dyDescent="0.3">
      <c r="A2097">
        <v>4048</v>
      </c>
      <c r="B2097" t="s">
        <v>43</v>
      </c>
      <c r="C2097" s="7">
        <v>153</v>
      </c>
      <c r="D2097" s="1">
        <v>44884</v>
      </c>
      <c r="E2097" s="29">
        <v>2.7</v>
      </c>
      <c r="F2097" t="s">
        <v>4</v>
      </c>
      <c r="G2097" t="str">
        <f t="shared" si="32"/>
        <v>2022-11</v>
      </c>
    </row>
    <row r="2098" spans="1:7" x14ac:dyDescent="0.3">
      <c r="A2098">
        <v>3997</v>
      </c>
      <c r="B2098" t="s">
        <v>17</v>
      </c>
      <c r="C2098" s="7">
        <v>56</v>
      </c>
      <c r="D2098" s="1">
        <v>44997</v>
      </c>
      <c r="E2098" s="29">
        <v>4.8</v>
      </c>
      <c r="F2098" t="s">
        <v>1</v>
      </c>
      <c r="G2098" t="str">
        <f t="shared" si="32"/>
        <v>2023-03</v>
      </c>
    </row>
    <row r="2099" spans="1:7" x14ac:dyDescent="0.3">
      <c r="A2099">
        <v>4001</v>
      </c>
      <c r="B2099" t="s">
        <v>39</v>
      </c>
      <c r="C2099" s="7">
        <v>95</v>
      </c>
      <c r="D2099" s="1">
        <v>45052</v>
      </c>
      <c r="E2099" s="29">
        <v>3.6</v>
      </c>
      <c r="F2099" t="s">
        <v>1</v>
      </c>
      <c r="G2099" t="str">
        <f t="shared" si="32"/>
        <v>2023-05</v>
      </c>
    </row>
    <row r="2100" spans="1:7" x14ac:dyDescent="0.3">
      <c r="A2100">
        <v>4085</v>
      </c>
      <c r="B2100" t="s">
        <v>39</v>
      </c>
      <c r="C2100" s="7">
        <v>66</v>
      </c>
      <c r="D2100" s="1">
        <v>44863</v>
      </c>
      <c r="E2100" s="29">
        <v>3.4</v>
      </c>
      <c r="F2100" t="s">
        <v>4</v>
      </c>
      <c r="G2100" t="str">
        <f t="shared" si="32"/>
        <v>2022-10</v>
      </c>
    </row>
    <row r="2101" spans="1:7" x14ac:dyDescent="0.3">
      <c r="A2101">
        <v>3965</v>
      </c>
      <c r="B2101" t="s">
        <v>36</v>
      </c>
      <c r="C2101" s="7">
        <v>200</v>
      </c>
      <c r="D2101" s="1">
        <v>45013</v>
      </c>
      <c r="E2101" s="29">
        <v>3.1546875000000001</v>
      </c>
      <c r="F2101" t="s">
        <v>4</v>
      </c>
      <c r="G2101" t="str">
        <f t="shared" si="32"/>
        <v>2023-03</v>
      </c>
    </row>
    <row r="2102" spans="1:7" x14ac:dyDescent="0.3">
      <c r="A2102">
        <v>3973</v>
      </c>
      <c r="B2102" t="s">
        <v>48</v>
      </c>
      <c r="C2102" s="7">
        <v>117</v>
      </c>
      <c r="D2102" s="1">
        <v>45105</v>
      </c>
      <c r="E2102" s="29">
        <v>1.9</v>
      </c>
      <c r="F2102" t="s">
        <v>4</v>
      </c>
      <c r="G2102" t="str">
        <f t="shared" si="32"/>
        <v>2023-06</v>
      </c>
    </row>
    <row r="2103" spans="1:7" x14ac:dyDescent="0.3">
      <c r="A2103">
        <v>4043</v>
      </c>
      <c r="B2103" t="s">
        <v>24</v>
      </c>
      <c r="C2103" s="7">
        <v>94</v>
      </c>
      <c r="D2103" s="1">
        <v>45061</v>
      </c>
      <c r="E2103" s="29">
        <v>2.2000000000000002</v>
      </c>
      <c r="F2103" t="s">
        <v>4</v>
      </c>
      <c r="G2103" t="str">
        <f t="shared" si="32"/>
        <v>2023-05</v>
      </c>
    </row>
    <row r="2104" spans="1:7" x14ac:dyDescent="0.3">
      <c r="A2104">
        <v>4067</v>
      </c>
      <c r="B2104" t="s">
        <v>30</v>
      </c>
      <c r="C2104" s="7">
        <v>159</v>
      </c>
      <c r="D2104" s="1">
        <v>45128</v>
      </c>
      <c r="E2104" s="29">
        <v>1.9</v>
      </c>
      <c r="F2104" t="s">
        <v>4</v>
      </c>
      <c r="G2104" t="str">
        <f t="shared" si="32"/>
        <v>2023-07</v>
      </c>
    </row>
    <row r="2105" spans="1:7" x14ac:dyDescent="0.3">
      <c r="A2105">
        <v>3986</v>
      </c>
      <c r="B2105" t="s">
        <v>0</v>
      </c>
      <c r="C2105" s="7">
        <v>40</v>
      </c>
      <c r="D2105" s="1">
        <v>44867</v>
      </c>
      <c r="E2105" s="29">
        <v>3.2</v>
      </c>
      <c r="F2105" t="s">
        <v>4</v>
      </c>
      <c r="G2105" t="str">
        <f t="shared" si="32"/>
        <v>2022-11</v>
      </c>
    </row>
    <row r="2106" spans="1:7" x14ac:dyDescent="0.3">
      <c r="A2106">
        <v>4115</v>
      </c>
      <c r="B2106" t="s">
        <v>38</v>
      </c>
      <c r="C2106" s="7">
        <v>172</v>
      </c>
      <c r="D2106" s="1">
        <v>45027</v>
      </c>
      <c r="E2106" s="29">
        <v>3.2</v>
      </c>
      <c r="F2106" t="s">
        <v>4</v>
      </c>
      <c r="G2106" t="str">
        <f t="shared" si="32"/>
        <v>2023-04</v>
      </c>
    </row>
    <row r="2107" spans="1:7" x14ac:dyDescent="0.3">
      <c r="A2107">
        <v>4015</v>
      </c>
      <c r="B2107" t="s">
        <v>15</v>
      </c>
      <c r="C2107" s="7">
        <v>168</v>
      </c>
      <c r="D2107" s="1">
        <v>44902</v>
      </c>
      <c r="E2107" s="29">
        <v>3.7</v>
      </c>
      <c r="F2107" t="s">
        <v>1</v>
      </c>
      <c r="G2107" t="str">
        <f t="shared" si="32"/>
        <v>2022-12</v>
      </c>
    </row>
    <row r="2108" spans="1:7" x14ac:dyDescent="0.3">
      <c r="A2108">
        <v>3987</v>
      </c>
      <c r="B2108" t="s">
        <v>15</v>
      </c>
      <c r="C2108" s="7">
        <v>103.108695652173</v>
      </c>
      <c r="D2108" s="1">
        <v>44927</v>
      </c>
      <c r="E2108" s="29">
        <v>3.04897959183673</v>
      </c>
      <c r="F2108" t="s">
        <v>4</v>
      </c>
      <c r="G2108" t="str">
        <f t="shared" si="32"/>
        <v>2023-01</v>
      </c>
    </row>
    <row r="2109" spans="1:7" x14ac:dyDescent="0.3">
      <c r="A2109">
        <v>4100</v>
      </c>
      <c r="B2109" t="s">
        <v>50</v>
      </c>
      <c r="C2109" s="7">
        <v>138</v>
      </c>
      <c r="D2109" s="1">
        <v>44966</v>
      </c>
      <c r="E2109" s="29">
        <v>4.8</v>
      </c>
      <c r="F2109" t="s">
        <v>1</v>
      </c>
      <c r="G2109" t="str">
        <f t="shared" si="32"/>
        <v>2023-02</v>
      </c>
    </row>
    <row r="2110" spans="1:7" x14ac:dyDescent="0.3">
      <c r="A2110">
        <v>4014</v>
      </c>
      <c r="B2110" t="s">
        <v>50</v>
      </c>
      <c r="C2110" s="7">
        <v>123.21818181818099</v>
      </c>
      <c r="D2110" s="1">
        <v>44990</v>
      </c>
      <c r="E2110" s="29">
        <v>3</v>
      </c>
      <c r="F2110" t="s">
        <v>4</v>
      </c>
      <c r="G2110" t="str">
        <f t="shared" si="32"/>
        <v>2023-03</v>
      </c>
    </row>
    <row r="2111" spans="1:7" x14ac:dyDescent="0.3">
      <c r="A2111">
        <v>4081</v>
      </c>
      <c r="B2111" t="s">
        <v>20</v>
      </c>
      <c r="C2111" s="7">
        <v>145</v>
      </c>
      <c r="D2111" s="1">
        <v>44874</v>
      </c>
      <c r="E2111" s="29">
        <v>4</v>
      </c>
      <c r="F2111" t="s">
        <v>1</v>
      </c>
      <c r="G2111" t="str">
        <f t="shared" si="32"/>
        <v>2022-11</v>
      </c>
    </row>
    <row r="2112" spans="1:7" x14ac:dyDescent="0.3">
      <c r="A2112">
        <v>4023</v>
      </c>
      <c r="B2112" t="s">
        <v>37</v>
      </c>
      <c r="C2112" s="7">
        <v>23</v>
      </c>
      <c r="D2112" s="1">
        <v>44943</v>
      </c>
      <c r="E2112" s="29">
        <v>3.6</v>
      </c>
      <c r="F2112" t="s">
        <v>1</v>
      </c>
      <c r="G2112" t="str">
        <f t="shared" si="32"/>
        <v>2023-01</v>
      </c>
    </row>
    <row r="2113" spans="1:7" x14ac:dyDescent="0.3">
      <c r="A2113">
        <v>4044</v>
      </c>
      <c r="B2113" t="s">
        <v>14</v>
      </c>
      <c r="C2113" s="7">
        <v>48</v>
      </c>
      <c r="D2113" s="1">
        <v>44961</v>
      </c>
      <c r="E2113" s="29">
        <v>2.7</v>
      </c>
      <c r="F2113" t="s">
        <v>1</v>
      </c>
      <c r="G2113" t="str">
        <f t="shared" si="32"/>
        <v>2023-02</v>
      </c>
    </row>
    <row r="2114" spans="1:7" x14ac:dyDescent="0.3">
      <c r="A2114">
        <v>4047</v>
      </c>
      <c r="B2114" t="s">
        <v>13</v>
      </c>
      <c r="C2114" s="7">
        <v>112.64705882352899</v>
      </c>
      <c r="D2114" s="1">
        <v>45138</v>
      </c>
      <c r="E2114" s="29">
        <v>1.8</v>
      </c>
      <c r="F2114" t="s">
        <v>4</v>
      </c>
      <c r="G2114" t="str">
        <f t="shared" si="32"/>
        <v>2023-07</v>
      </c>
    </row>
    <row r="2115" spans="1:7" x14ac:dyDescent="0.3">
      <c r="A2115">
        <v>3968</v>
      </c>
      <c r="B2115" t="s">
        <v>9</v>
      </c>
      <c r="C2115" s="7">
        <v>114</v>
      </c>
      <c r="D2115" s="1">
        <v>45003</v>
      </c>
      <c r="E2115" s="29">
        <v>1.4</v>
      </c>
      <c r="F2115" t="s">
        <v>4</v>
      </c>
      <c r="G2115" t="str">
        <f t="shared" ref="G2115:G2178" si="33">TEXT(D2115,"ГГГГ-ММ")</f>
        <v>2023-03</v>
      </c>
    </row>
    <row r="2116" spans="1:7" x14ac:dyDescent="0.3">
      <c r="A2116">
        <v>4099</v>
      </c>
      <c r="B2116" t="s">
        <v>48</v>
      </c>
      <c r="C2116" s="7">
        <v>127</v>
      </c>
      <c r="D2116" s="1">
        <v>44993</v>
      </c>
      <c r="E2116" s="29">
        <v>2.2000000000000002</v>
      </c>
      <c r="F2116" t="s">
        <v>4</v>
      </c>
      <c r="G2116" t="str">
        <f t="shared" si="33"/>
        <v>2023-03</v>
      </c>
    </row>
    <row r="2117" spans="1:7" x14ac:dyDescent="0.3">
      <c r="A2117">
        <v>4025</v>
      </c>
      <c r="B2117" t="s">
        <v>26</v>
      </c>
      <c r="C2117" s="7">
        <v>103.267857142857</v>
      </c>
      <c r="D2117" s="1">
        <v>45062</v>
      </c>
      <c r="E2117" s="29">
        <v>3.2</v>
      </c>
      <c r="F2117" t="s">
        <v>4</v>
      </c>
      <c r="G2117" t="str">
        <f t="shared" si="33"/>
        <v>2023-05</v>
      </c>
    </row>
    <row r="2118" spans="1:7" x14ac:dyDescent="0.3">
      <c r="A2118">
        <v>3995</v>
      </c>
      <c r="B2118" t="s">
        <v>38</v>
      </c>
      <c r="C2118" s="7">
        <v>56</v>
      </c>
      <c r="D2118" s="1">
        <v>45126</v>
      </c>
      <c r="E2118" s="29">
        <v>3.0230769230769199</v>
      </c>
      <c r="F2118" t="s">
        <v>1</v>
      </c>
      <c r="G2118" t="str">
        <f t="shared" si="33"/>
        <v>2023-07</v>
      </c>
    </row>
    <row r="2119" spans="1:7" x14ac:dyDescent="0.3">
      <c r="A2119">
        <v>4088</v>
      </c>
      <c r="B2119" t="s">
        <v>37</v>
      </c>
      <c r="C2119" s="7">
        <v>134</v>
      </c>
      <c r="D2119" s="1">
        <v>44971</v>
      </c>
      <c r="E2119" s="29">
        <v>4.5</v>
      </c>
      <c r="F2119" t="s">
        <v>4</v>
      </c>
      <c r="G2119" t="str">
        <f t="shared" si="33"/>
        <v>2023-02</v>
      </c>
    </row>
    <row r="2120" spans="1:7" x14ac:dyDescent="0.3">
      <c r="A2120">
        <v>4111</v>
      </c>
      <c r="B2120" t="s">
        <v>43</v>
      </c>
      <c r="C2120" s="7">
        <v>55</v>
      </c>
      <c r="D2120" s="1">
        <v>44864</v>
      </c>
      <c r="E2120" s="29">
        <v>1</v>
      </c>
      <c r="F2120" t="s">
        <v>4</v>
      </c>
      <c r="G2120" t="str">
        <f t="shared" si="33"/>
        <v>2022-10</v>
      </c>
    </row>
    <row r="2121" spans="1:7" x14ac:dyDescent="0.3">
      <c r="A2121">
        <v>3983</v>
      </c>
      <c r="B2121" t="s">
        <v>26</v>
      </c>
      <c r="C2121" s="7">
        <v>24</v>
      </c>
      <c r="D2121" s="1">
        <v>45199</v>
      </c>
      <c r="E2121" s="29">
        <v>4.0999999999999996</v>
      </c>
      <c r="F2121" t="s">
        <v>1</v>
      </c>
      <c r="G2121" t="str">
        <f t="shared" si="33"/>
        <v>2023-09</v>
      </c>
    </row>
    <row r="2122" spans="1:7" x14ac:dyDescent="0.3">
      <c r="A2122">
        <v>3969</v>
      </c>
      <c r="B2122" t="s">
        <v>35</v>
      </c>
      <c r="C2122" s="7">
        <v>97.071428571428498</v>
      </c>
      <c r="D2122" s="1">
        <v>45028</v>
      </c>
      <c r="E2122" s="29">
        <v>4.8</v>
      </c>
      <c r="F2122" t="s">
        <v>1</v>
      </c>
      <c r="G2122" t="str">
        <f t="shared" si="33"/>
        <v>2023-04</v>
      </c>
    </row>
    <row r="2123" spans="1:7" x14ac:dyDescent="0.3">
      <c r="A2123">
        <v>4069</v>
      </c>
      <c r="B2123" t="s">
        <v>6</v>
      </c>
      <c r="C2123" s="7">
        <v>53</v>
      </c>
      <c r="D2123" s="1">
        <v>44971</v>
      </c>
      <c r="E2123" s="29">
        <v>1.5</v>
      </c>
      <c r="F2123" t="s">
        <v>1</v>
      </c>
      <c r="G2123" t="str">
        <f t="shared" si="33"/>
        <v>2023-02</v>
      </c>
    </row>
    <row r="2124" spans="1:7" x14ac:dyDescent="0.3">
      <c r="A2124">
        <v>4074</v>
      </c>
      <c r="B2124" t="s">
        <v>40</v>
      </c>
      <c r="C2124" s="7">
        <v>50</v>
      </c>
      <c r="D2124" s="1">
        <v>45023</v>
      </c>
      <c r="E2124" s="29">
        <v>1.5</v>
      </c>
      <c r="F2124" t="s">
        <v>1</v>
      </c>
      <c r="G2124" t="str">
        <f t="shared" si="33"/>
        <v>2023-04</v>
      </c>
    </row>
    <row r="2125" spans="1:7" x14ac:dyDescent="0.3">
      <c r="A2125">
        <v>3985</v>
      </c>
      <c r="B2125" t="s">
        <v>20</v>
      </c>
      <c r="C2125" s="7">
        <v>32</v>
      </c>
      <c r="D2125" s="1">
        <v>44945</v>
      </c>
      <c r="E2125" s="29">
        <v>4.0999999999999996</v>
      </c>
      <c r="F2125" t="s">
        <v>1</v>
      </c>
      <c r="G2125" t="str">
        <f t="shared" si="33"/>
        <v>2023-01</v>
      </c>
    </row>
    <row r="2126" spans="1:7" x14ac:dyDescent="0.3">
      <c r="A2126">
        <v>3984</v>
      </c>
      <c r="B2126" t="s">
        <v>37</v>
      </c>
      <c r="C2126" s="7">
        <v>97.720588235294102</v>
      </c>
      <c r="D2126" s="1">
        <v>44885</v>
      </c>
      <c r="E2126" s="29">
        <v>1.5</v>
      </c>
      <c r="F2126" t="s">
        <v>4</v>
      </c>
      <c r="G2126" t="str">
        <f t="shared" si="33"/>
        <v>2022-11</v>
      </c>
    </row>
    <row r="2127" spans="1:7" x14ac:dyDescent="0.3">
      <c r="A2127">
        <v>4113</v>
      </c>
      <c r="B2127" t="s">
        <v>25</v>
      </c>
      <c r="C2127" s="7">
        <v>119</v>
      </c>
      <c r="D2127" s="1">
        <v>45184</v>
      </c>
      <c r="E2127" s="29">
        <v>2.1</v>
      </c>
      <c r="F2127" t="s">
        <v>1</v>
      </c>
      <c r="G2127" t="str">
        <f t="shared" si="33"/>
        <v>2023-09</v>
      </c>
    </row>
    <row r="2128" spans="1:7" x14ac:dyDescent="0.3">
      <c r="A2128">
        <v>4113</v>
      </c>
      <c r="B2128" t="s">
        <v>16</v>
      </c>
      <c r="C2128" s="7">
        <v>132</v>
      </c>
      <c r="D2128" s="1">
        <v>44999</v>
      </c>
      <c r="E2128" s="29">
        <v>3.05820895522388</v>
      </c>
      <c r="F2128" t="s">
        <v>1</v>
      </c>
      <c r="G2128" t="str">
        <f t="shared" si="33"/>
        <v>2023-03</v>
      </c>
    </row>
    <row r="2129" spans="1:7" x14ac:dyDescent="0.3">
      <c r="A2129">
        <v>3983</v>
      </c>
      <c r="B2129" t="s">
        <v>22</v>
      </c>
      <c r="C2129" s="7">
        <v>19</v>
      </c>
      <c r="D2129" s="1">
        <v>45191</v>
      </c>
      <c r="E2129" s="29">
        <v>2.4</v>
      </c>
      <c r="F2129" t="s">
        <v>4</v>
      </c>
      <c r="G2129" t="str">
        <f t="shared" si="33"/>
        <v>2023-09</v>
      </c>
    </row>
    <row r="2130" spans="1:7" x14ac:dyDescent="0.3">
      <c r="A2130">
        <v>4100</v>
      </c>
      <c r="B2130" t="s">
        <v>24</v>
      </c>
      <c r="C2130" s="7">
        <v>197</v>
      </c>
      <c r="D2130" s="1">
        <v>45075</v>
      </c>
      <c r="E2130" s="29">
        <v>1.8</v>
      </c>
      <c r="F2130" t="s">
        <v>4</v>
      </c>
      <c r="G2130" t="str">
        <f t="shared" si="33"/>
        <v>2023-05</v>
      </c>
    </row>
    <row r="2131" spans="1:7" x14ac:dyDescent="0.3">
      <c r="A2131">
        <v>3967</v>
      </c>
      <c r="B2131" t="s">
        <v>23</v>
      </c>
      <c r="C2131" s="7">
        <v>13</v>
      </c>
      <c r="D2131" s="1">
        <v>45134</v>
      </c>
      <c r="E2131" s="29">
        <v>3.9</v>
      </c>
      <c r="F2131" t="s">
        <v>1</v>
      </c>
      <c r="G2131" t="str">
        <f t="shared" si="33"/>
        <v>2023-07</v>
      </c>
    </row>
    <row r="2132" spans="1:7" x14ac:dyDescent="0.3">
      <c r="A2132">
        <v>4086</v>
      </c>
      <c r="B2132" t="s">
        <v>37</v>
      </c>
      <c r="C2132" s="7">
        <v>145</v>
      </c>
      <c r="D2132" s="1">
        <v>44863</v>
      </c>
      <c r="E2132" s="29">
        <v>3.5</v>
      </c>
      <c r="F2132" t="s">
        <v>4</v>
      </c>
      <c r="G2132" t="str">
        <f t="shared" si="33"/>
        <v>2022-10</v>
      </c>
    </row>
    <row r="2133" spans="1:7" x14ac:dyDescent="0.3">
      <c r="A2133">
        <v>3983</v>
      </c>
      <c r="B2133" t="s">
        <v>27</v>
      </c>
      <c r="C2133" s="7">
        <v>103.98245614035</v>
      </c>
      <c r="D2133" s="1">
        <v>44999</v>
      </c>
      <c r="E2133" s="29">
        <v>4.0999999999999996</v>
      </c>
      <c r="F2133" t="s">
        <v>4</v>
      </c>
      <c r="G2133" t="str">
        <f t="shared" si="33"/>
        <v>2023-03</v>
      </c>
    </row>
    <row r="2134" spans="1:7" x14ac:dyDescent="0.3">
      <c r="A2134">
        <v>3999</v>
      </c>
      <c r="B2134" t="s">
        <v>16</v>
      </c>
      <c r="C2134" s="7">
        <v>170</v>
      </c>
      <c r="D2134" s="1">
        <v>45071</v>
      </c>
      <c r="E2134" s="29">
        <v>1.6</v>
      </c>
      <c r="F2134" t="s">
        <v>4</v>
      </c>
      <c r="G2134" t="str">
        <f t="shared" si="33"/>
        <v>2023-05</v>
      </c>
    </row>
    <row r="2135" spans="1:7" x14ac:dyDescent="0.3">
      <c r="A2135">
        <v>4118</v>
      </c>
      <c r="B2135" t="s">
        <v>24</v>
      </c>
      <c r="C2135" s="7">
        <v>67</v>
      </c>
      <c r="D2135" s="1">
        <v>44899</v>
      </c>
      <c r="E2135" s="29">
        <v>3.1</v>
      </c>
      <c r="F2135" t="s">
        <v>4</v>
      </c>
      <c r="G2135" t="str">
        <f t="shared" si="33"/>
        <v>2022-12</v>
      </c>
    </row>
    <row r="2136" spans="1:7" x14ac:dyDescent="0.3">
      <c r="A2136">
        <v>3987</v>
      </c>
      <c r="B2136" t="s">
        <v>45</v>
      </c>
      <c r="C2136" s="7">
        <v>98</v>
      </c>
      <c r="D2136" s="1">
        <v>45129</v>
      </c>
      <c r="E2136" s="29">
        <v>1.8</v>
      </c>
      <c r="F2136" t="s">
        <v>4</v>
      </c>
      <c r="G2136" t="str">
        <f t="shared" si="33"/>
        <v>2023-07</v>
      </c>
    </row>
    <row r="2137" spans="1:7" x14ac:dyDescent="0.3">
      <c r="A2137">
        <v>4009</v>
      </c>
      <c r="B2137" t="s">
        <v>51</v>
      </c>
      <c r="C2137" s="7">
        <v>36</v>
      </c>
      <c r="D2137" s="1">
        <v>44876</v>
      </c>
      <c r="E2137" s="29">
        <v>4</v>
      </c>
      <c r="F2137" t="s">
        <v>4</v>
      </c>
      <c r="G2137" t="str">
        <f t="shared" si="33"/>
        <v>2022-11</v>
      </c>
    </row>
    <row r="2138" spans="1:7" x14ac:dyDescent="0.3">
      <c r="A2138">
        <v>4049</v>
      </c>
      <c r="B2138" t="s">
        <v>33</v>
      </c>
      <c r="C2138" s="7">
        <v>160</v>
      </c>
      <c r="D2138" s="1">
        <v>45165</v>
      </c>
      <c r="E2138" s="29">
        <v>2.4</v>
      </c>
      <c r="F2138" t="s">
        <v>4</v>
      </c>
      <c r="G2138" t="str">
        <f t="shared" si="33"/>
        <v>2023-08</v>
      </c>
    </row>
    <row r="2139" spans="1:7" x14ac:dyDescent="0.3">
      <c r="A2139">
        <v>3997</v>
      </c>
      <c r="B2139" t="s">
        <v>51</v>
      </c>
      <c r="C2139" s="7">
        <v>26</v>
      </c>
      <c r="D2139" s="1">
        <v>45104</v>
      </c>
      <c r="E2139" s="29">
        <v>4</v>
      </c>
      <c r="F2139" t="s">
        <v>4</v>
      </c>
      <c r="G2139" t="str">
        <f t="shared" si="33"/>
        <v>2023-06</v>
      </c>
    </row>
    <row r="2140" spans="1:7" x14ac:dyDescent="0.3">
      <c r="A2140">
        <v>4031</v>
      </c>
      <c r="B2140" t="s">
        <v>33</v>
      </c>
      <c r="C2140" s="7">
        <v>86</v>
      </c>
      <c r="D2140" s="1">
        <v>45162</v>
      </c>
      <c r="E2140" s="29">
        <v>3</v>
      </c>
      <c r="F2140" t="s">
        <v>4</v>
      </c>
      <c r="G2140" t="str">
        <f t="shared" si="33"/>
        <v>2023-08</v>
      </c>
    </row>
    <row r="2141" spans="1:7" x14ac:dyDescent="0.3">
      <c r="A2141">
        <v>4070</v>
      </c>
      <c r="B2141" t="s">
        <v>0</v>
      </c>
      <c r="C2141" s="7">
        <v>126</v>
      </c>
      <c r="D2141" s="1">
        <v>45130</v>
      </c>
      <c r="E2141" s="29">
        <v>1.8</v>
      </c>
      <c r="F2141" t="s">
        <v>1</v>
      </c>
      <c r="G2141" t="str">
        <f t="shared" si="33"/>
        <v>2023-07</v>
      </c>
    </row>
    <row r="2142" spans="1:7" x14ac:dyDescent="0.3">
      <c r="A2142">
        <v>4086</v>
      </c>
      <c r="B2142" t="s">
        <v>17</v>
      </c>
      <c r="C2142" s="7">
        <v>162</v>
      </c>
      <c r="D2142" s="1">
        <v>45108</v>
      </c>
      <c r="E2142" s="29">
        <v>3.5</v>
      </c>
      <c r="F2142" t="s">
        <v>4</v>
      </c>
      <c r="G2142" t="str">
        <f t="shared" si="33"/>
        <v>2023-07</v>
      </c>
    </row>
    <row r="2143" spans="1:7" x14ac:dyDescent="0.3">
      <c r="A2143">
        <v>4084</v>
      </c>
      <c r="B2143" t="s">
        <v>45</v>
      </c>
      <c r="C2143" s="7">
        <v>121</v>
      </c>
      <c r="D2143" s="1">
        <v>45039</v>
      </c>
      <c r="E2143" s="29">
        <v>4</v>
      </c>
      <c r="F2143" t="s">
        <v>4</v>
      </c>
      <c r="G2143" t="str">
        <f t="shared" si="33"/>
        <v>2023-04</v>
      </c>
    </row>
    <row r="2144" spans="1:7" x14ac:dyDescent="0.3">
      <c r="A2144">
        <v>3982</v>
      </c>
      <c r="B2144" t="s">
        <v>15</v>
      </c>
      <c r="C2144" s="7">
        <v>44</v>
      </c>
      <c r="D2144" s="1">
        <v>45058</v>
      </c>
      <c r="E2144" s="29">
        <v>3.04897959183673</v>
      </c>
      <c r="F2144" t="s">
        <v>1</v>
      </c>
      <c r="G2144" t="str">
        <f t="shared" si="33"/>
        <v>2023-05</v>
      </c>
    </row>
    <row r="2145" spans="1:7" x14ac:dyDescent="0.3">
      <c r="A2145">
        <v>3996</v>
      </c>
      <c r="B2145" t="s">
        <v>51</v>
      </c>
      <c r="C2145" s="7">
        <v>135</v>
      </c>
      <c r="D2145" s="1">
        <v>44989</v>
      </c>
      <c r="E2145" s="29">
        <v>1.9</v>
      </c>
      <c r="F2145" t="s">
        <v>1</v>
      </c>
      <c r="G2145" t="str">
        <f t="shared" si="33"/>
        <v>2023-03</v>
      </c>
    </row>
    <row r="2146" spans="1:7" x14ac:dyDescent="0.3">
      <c r="A2146">
        <v>4122</v>
      </c>
      <c r="B2146" t="s">
        <v>30</v>
      </c>
      <c r="C2146" s="7">
        <v>58</v>
      </c>
      <c r="D2146" s="1">
        <v>45043</v>
      </c>
      <c r="E2146" s="29">
        <v>4.7</v>
      </c>
      <c r="F2146" t="s">
        <v>1</v>
      </c>
      <c r="G2146" t="str">
        <f t="shared" si="33"/>
        <v>2023-04</v>
      </c>
    </row>
    <row r="2147" spans="1:7" x14ac:dyDescent="0.3">
      <c r="A2147">
        <v>4050</v>
      </c>
      <c r="B2147" t="s">
        <v>8</v>
      </c>
      <c r="C2147" s="7">
        <v>105.81034482758599</v>
      </c>
      <c r="D2147" s="1">
        <v>45133</v>
      </c>
      <c r="E2147" s="29">
        <v>4.0999999999999996</v>
      </c>
      <c r="F2147" t="s">
        <v>1</v>
      </c>
      <c r="G2147" t="str">
        <f t="shared" si="33"/>
        <v>2023-07</v>
      </c>
    </row>
    <row r="2148" spans="1:7" x14ac:dyDescent="0.3">
      <c r="A2148">
        <v>4042</v>
      </c>
      <c r="B2148" t="s">
        <v>13</v>
      </c>
      <c r="C2148" s="7">
        <v>113</v>
      </c>
      <c r="D2148" s="1">
        <v>44945</v>
      </c>
      <c r="E2148" s="29">
        <v>3.6</v>
      </c>
      <c r="F2148" t="s">
        <v>4</v>
      </c>
      <c r="G2148" t="str">
        <f t="shared" si="33"/>
        <v>2023-01</v>
      </c>
    </row>
    <row r="2149" spans="1:7" x14ac:dyDescent="0.3">
      <c r="A2149">
        <v>3992</v>
      </c>
      <c r="B2149" t="s">
        <v>45</v>
      </c>
      <c r="C2149" s="7">
        <v>111.564102564102</v>
      </c>
      <c r="D2149" s="1">
        <v>45055</v>
      </c>
      <c r="E2149" s="29">
        <v>1.2</v>
      </c>
      <c r="F2149" t="s">
        <v>1</v>
      </c>
      <c r="G2149" t="str">
        <f t="shared" si="33"/>
        <v>2023-05</v>
      </c>
    </row>
    <row r="2150" spans="1:7" x14ac:dyDescent="0.3">
      <c r="A2150">
        <v>3988</v>
      </c>
      <c r="B2150" t="s">
        <v>20</v>
      </c>
      <c r="C2150" s="7">
        <v>43</v>
      </c>
      <c r="D2150" s="1">
        <v>45005</v>
      </c>
      <c r="E2150" s="29">
        <v>1</v>
      </c>
      <c r="F2150" t="s">
        <v>4</v>
      </c>
      <c r="G2150" t="str">
        <f t="shared" si="33"/>
        <v>2023-03</v>
      </c>
    </row>
    <row r="2151" spans="1:7" x14ac:dyDescent="0.3">
      <c r="A2151">
        <v>4008</v>
      </c>
      <c r="B2151" t="s">
        <v>51</v>
      </c>
      <c r="C2151" s="7">
        <v>15</v>
      </c>
      <c r="D2151" s="1">
        <v>45034</v>
      </c>
      <c r="E2151" s="29">
        <v>5</v>
      </c>
      <c r="F2151" t="s">
        <v>1</v>
      </c>
      <c r="G2151" t="str">
        <f t="shared" si="33"/>
        <v>2023-04</v>
      </c>
    </row>
    <row r="2152" spans="1:7" x14ac:dyDescent="0.3">
      <c r="A2152">
        <v>4069</v>
      </c>
      <c r="B2152" t="s">
        <v>27</v>
      </c>
      <c r="C2152" s="7">
        <v>53</v>
      </c>
      <c r="D2152" s="1">
        <v>44899</v>
      </c>
      <c r="E2152" s="29">
        <v>3.6</v>
      </c>
      <c r="F2152" t="s">
        <v>1</v>
      </c>
      <c r="G2152" t="str">
        <f t="shared" si="33"/>
        <v>2022-12</v>
      </c>
    </row>
    <row r="2153" spans="1:7" x14ac:dyDescent="0.3">
      <c r="A2153">
        <v>4063</v>
      </c>
      <c r="B2153" t="s">
        <v>7</v>
      </c>
      <c r="C2153" s="7">
        <v>99.697674418604606</v>
      </c>
      <c r="D2153" s="1">
        <v>45119</v>
      </c>
      <c r="E2153" s="29">
        <v>4.4000000000000004</v>
      </c>
      <c r="F2153" t="s">
        <v>4</v>
      </c>
      <c r="G2153" t="str">
        <f t="shared" si="33"/>
        <v>2023-07</v>
      </c>
    </row>
    <row r="2154" spans="1:7" x14ac:dyDescent="0.3">
      <c r="A2154">
        <v>3958</v>
      </c>
      <c r="B2154" t="s">
        <v>36</v>
      </c>
      <c r="C2154" s="7">
        <v>19</v>
      </c>
      <c r="D2154" s="1">
        <v>44956</v>
      </c>
      <c r="E2154" s="29">
        <v>4.4000000000000004</v>
      </c>
      <c r="F2154" t="s">
        <v>4</v>
      </c>
      <c r="G2154" t="str">
        <f t="shared" si="33"/>
        <v>2023-01</v>
      </c>
    </row>
    <row r="2155" spans="1:7" x14ac:dyDescent="0.3">
      <c r="A2155">
        <v>4019</v>
      </c>
      <c r="B2155" t="s">
        <v>34</v>
      </c>
      <c r="C2155" s="7">
        <v>173</v>
      </c>
      <c r="D2155" s="1">
        <v>44935</v>
      </c>
      <c r="E2155" s="29">
        <v>3.01249999999999</v>
      </c>
      <c r="F2155" t="s">
        <v>4</v>
      </c>
      <c r="G2155" t="str">
        <f t="shared" si="33"/>
        <v>2023-01</v>
      </c>
    </row>
    <row r="2156" spans="1:7" x14ac:dyDescent="0.3">
      <c r="A2156">
        <v>4078</v>
      </c>
      <c r="B2156" t="s">
        <v>2</v>
      </c>
      <c r="C2156" s="7">
        <v>146</v>
      </c>
      <c r="D2156" s="1">
        <v>45001</v>
      </c>
      <c r="E2156" s="29">
        <v>3.4</v>
      </c>
      <c r="F2156" t="s">
        <v>1</v>
      </c>
      <c r="G2156" t="str">
        <f t="shared" si="33"/>
        <v>2023-03</v>
      </c>
    </row>
    <row r="2157" spans="1:7" x14ac:dyDescent="0.3">
      <c r="A2157">
        <v>4044</v>
      </c>
      <c r="B2157" t="s">
        <v>22</v>
      </c>
      <c r="C2157" s="7">
        <v>162</v>
      </c>
      <c r="D2157" s="1">
        <v>45146</v>
      </c>
      <c r="E2157" s="29">
        <v>1.5</v>
      </c>
      <c r="F2157" t="s">
        <v>1</v>
      </c>
      <c r="G2157" t="str">
        <f t="shared" si="33"/>
        <v>2023-08</v>
      </c>
    </row>
    <row r="2158" spans="1:7" x14ac:dyDescent="0.3">
      <c r="A2158">
        <v>4030</v>
      </c>
      <c r="B2158" t="s">
        <v>16</v>
      </c>
      <c r="C2158" s="7">
        <v>179</v>
      </c>
      <c r="D2158" s="1">
        <v>45089</v>
      </c>
      <c r="E2158" s="29">
        <v>3</v>
      </c>
      <c r="F2158" t="s">
        <v>1</v>
      </c>
      <c r="G2158" t="str">
        <f t="shared" si="33"/>
        <v>2023-06</v>
      </c>
    </row>
    <row r="2159" spans="1:7" x14ac:dyDescent="0.3">
      <c r="A2159">
        <v>4086</v>
      </c>
      <c r="B2159" t="s">
        <v>15</v>
      </c>
      <c r="C2159" s="7">
        <v>103.108695652173</v>
      </c>
      <c r="D2159" s="1">
        <v>44971</v>
      </c>
      <c r="E2159" s="29">
        <v>3.9</v>
      </c>
      <c r="F2159" t="s">
        <v>1</v>
      </c>
      <c r="G2159" t="str">
        <f t="shared" si="33"/>
        <v>2023-02</v>
      </c>
    </row>
    <row r="2160" spans="1:7" x14ac:dyDescent="0.3">
      <c r="A2160">
        <v>4000</v>
      </c>
      <c r="B2160" t="s">
        <v>19</v>
      </c>
      <c r="C2160" s="7">
        <v>22</v>
      </c>
      <c r="D2160" s="1">
        <v>45157</v>
      </c>
      <c r="E2160" s="29">
        <v>3.5</v>
      </c>
      <c r="F2160" t="s">
        <v>1</v>
      </c>
      <c r="G2160" t="str">
        <f t="shared" si="33"/>
        <v>2023-08</v>
      </c>
    </row>
    <row r="2161" spans="1:7" x14ac:dyDescent="0.3">
      <c r="A2161">
        <v>3978</v>
      </c>
      <c r="B2161" t="s">
        <v>18</v>
      </c>
      <c r="C2161" s="7">
        <v>116</v>
      </c>
      <c r="D2161" s="1">
        <v>45179</v>
      </c>
      <c r="E2161" s="29">
        <v>3.06153846153846</v>
      </c>
      <c r="F2161" t="s">
        <v>1</v>
      </c>
      <c r="G2161" t="str">
        <f t="shared" si="33"/>
        <v>2023-09</v>
      </c>
    </row>
    <row r="2162" spans="1:7" x14ac:dyDescent="0.3">
      <c r="A2162">
        <v>4025</v>
      </c>
      <c r="B2162" t="s">
        <v>49</v>
      </c>
      <c r="C2162" s="7">
        <v>41</v>
      </c>
      <c r="D2162" s="1">
        <v>45122</v>
      </c>
      <c r="E2162" s="29">
        <v>2.2999999999999998</v>
      </c>
      <c r="F2162" t="s">
        <v>4</v>
      </c>
      <c r="G2162" t="str">
        <f t="shared" si="33"/>
        <v>2023-07</v>
      </c>
    </row>
    <row r="2163" spans="1:7" x14ac:dyDescent="0.3">
      <c r="A2163">
        <v>4052</v>
      </c>
      <c r="B2163" t="s">
        <v>38</v>
      </c>
      <c r="C2163" s="7">
        <v>131</v>
      </c>
      <c r="D2163" s="1">
        <v>45071</v>
      </c>
      <c r="E2163" s="29">
        <v>4.3</v>
      </c>
      <c r="F2163" t="s">
        <v>1</v>
      </c>
      <c r="G2163" t="str">
        <f t="shared" si="33"/>
        <v>2023-05</v>
      </c>
    </row>
    <row r="2164" spans="1:7" x14ac:dyDescent="0.3">
      <c r="A2164">
        <v>4063</v>
      </c>
      <c r="B2164" t="s">
        <v>35</v>
      </c>
      <c r="C2164" s="7">
        <v>62</v>
      </c>
      <c r="D2164" s="1">
        <v>45038</v>
      </c>
      <c r="E2164" s="29">
        <v>4.4000000000000004</v>
      </c>
      <c r="F2164" t="s">
        <v>1</v>
      </c>
      <c r="G2164" t="str">
        <f t="shared" si="33"/>
        <v>2023-04</v>
      </c>
    </row>
    <row r="2165" spans="1:7" x14ac:dyDescent="0.3">
      <c r="A2165">
        <v>4049</v>
      </c>
      <c r="B2165" t="s">
        <v>25</v>
      </c>
      <c r="C2165" s="7">
        <v>171</v>
      </c>
      <c r="D2165" s="1">
        <v>45116</v>
      </c>
      <c r="E2165" s="29">
        <v>2.8291666666666599</v>
      </c>
      <c r="F2165" t="s">
        <v>1</v>
      </c>
      <c r="G2165" t="str">
        <f t="shared" si="33"/>
        <v>2023-07</v>
      </c>
    </row>
    <row r="2166" spans="1:7" x14ac:dyDescent="0.3">
      <c r="A2166">
        <v>4118</v>
      </c>
      <c r="B2166" t="s">
        <v>48</v>
      </c>
      <c r="C2166" s="7">
        <v>107.26027397260199</v>
      </c>
      <c r="D2166" s="1">
        <v>44839</v>
      </c>
      <c r="E2166" s="29">
        <v>4.9000000000000004</v>
      </c>
      <c r="F2166" t="s">
        <v>1</v>
      </c>
      <c r="G2166" t="str">
        <f t="shared" si="33"/>
        <v>2022-10</v>
      </c>
    </row>
    <row r="2167" spans="1:7" x14ac:dyDescent="0.3">
      <c r="A2167">
        <v>4019</v>
      </c>
      <c r="B2167" t="s">
        <v>31</v>
      </c>
      <c r="C2167" s="7">
        <v>35</v>
      </c>
      <c r="D2167" s="1">
        <v>45027</v>
      </c>
      <c r="E2167" s="29">
        <v>2</v>
      </c>
      <c r="F2167" t="s">
        <v>4</v>
      </c>
      <c r="G2167" t="str">
        <f t="shared" si="33"/>
        <v>2023-04</v>
      </c>
    </row>
    <row r="2168" spans="1:7" x14ac:dyDescent="0.3">
      <c r="A2168">
        <v>3995</v>
      </c>
      <c r="B2168" t="s">
        <v>42</v>
      </c>
      <c r="C2168" s="7">
        <v>79</v>
      </c>
      <c r="D2168" s="1">
        <v>45187</v>
      </c>
      <c r="E2168" s="29">
        <v>1.6</v>
      </c>
      <c r="F2168" t="s">
        <v>1</v>
      </c>
      <c r="G2168" t="str">
        <f t="shared" si="33"/>
        <v>2023-09</v>
      </c>
    </row>
    <row r="2169" spans="1:7" x14ac:dyDescent="0.3">
      <c r="A2169">
        <v>4092</v>
      </c>
      <c r="B2169" t="s">
        <v>48</v>
      </c>
      <c r="C2169" s="7">
        <v>189</v>
      </c>
      <c r="D2169" s="1">
        <v>45075</v>
      </c>
      <c r="E2169" s="29">
        <v>2.6</v>
      </c>
      <c r="F2169" t="s">
        <v>1</v>
      </c>
      <c r="G2169" t="str">
        <f t="shared" si="33"/>
        <v>2023-05</v>
      </c>
    </row>
    <row r="2170" spans="1:7" x14ac:dyDescent="0.3">
      <c r="A2170">
        <v>4064</v>
      </c>
      <c r="B2170" t="s">
        <v>50</v>
      </c>
      <c r="C2170" s="7">
        <v>123.21818181818099</v>
      </c>
      <c r="D2170" s="1">
        <v>44861</v>
      </c>
      <c r="E2170" s="29">
        <v>3</v>
      </c>
      <c r="F2170" t="s">
        <v>4</v>
      </c>
      <c r="G2170" t="str">
        <f t="shared" si="33"/>
        <v>2022-10</v>
      </c>
    </row>
    <row r="2171" spans="1:7" x14ac:dyDescent="0.3">
      <c r="A2171">
        <v>4015</v>
      </c>
      <c r="B2171" t="s">
        <v>38</v>
      </c>
      <c r="C2171" s="7">
        <v>36</v>
      </c>
      <c r="D2171" s="1">
        <v>44931</v>
      </c>
      <c r="E2171" s="29">
        <v>1.3</v>
      </c>
      <c r="F2171" t="s">
        <v>4</v>
      </c>
      <c r="G2171" t="str">
        <f t="shared" si="33"/>
        <v>2023-01</v>
      </c>
    </row>
    <row r="2172" spans="1:7" x14ac:dyDescent="0.3">
      <c r="A2172">
        <v>3992</v>
      </c>
      <c r="B2172" t="s">
        <v>15</v>
      </c>
      <c r="C2172" s="7">
        <v>168</v>
      </c>
      <c r="D2172" s="1">
        <v>44960</v>
      </c>
      <c r="E2172" s="29">
        <v>2.2000000000000002</v>
      </c>
      <c r="F2172" t="s">
        <v>1</v>
      </c>
      <c r="G2172" t="str">
        <f t="shared" si="33"/>
        <v>2023-02</v>
      </c>
    </row>
    <row r="2173" spans="1:7" x14ac:dyDescent="0.3">
      <c r="A2173">
        <v>4066</v>
      </c>
      <c r="B2173" t="s">
        <v>0</v>
      </c>
      <c r="C2173" s="7">
        <v>112.145454545454</v>
      </c>
      <c r="D2173" s="1">
        <v>45191</v>
      </c>
      <c r="E2173" s="29">
        <v>3.0636363636363599</v>
      </c>
      <c r="F2173" t="s">
        <v>4</v>
      </c>
      <c r="G2173" t="str">
        <f t="shared" si="33"/>
        <v>2023-09</v>
      </c>
    </row>
    <row r="2174" spans="1:7" x14ac:dyDescent="0.3">
      <c r="A2174">
        <v>4062</v>
      </c>
      <c r="B2174" t="s">
        <v>47</v>
      </c>
      <c r="C2174" s="7">
        <v>106.297872340425</v>
      </c>
      <c r="D2174" s="1">
        <v>45080</v>
      </c>
      <c r="E2174" s="29">
        <v>2.2999999999999998</v>
      </c>
      <c r="F2174" t="s">
        <v>4</v>
      </c>
      <c r="G2174" t="str">
        <f t="shared" si="33"/>
        <v>2023-06</v>
      </c>
    </row>
    <row r="2175" spans="1:7" x14ac:dyDescent="0.3">
      <c r="A2175">
        <v>4061</v>
      </c>
      <c r="B2175" t="s">
        <v>8</v>
      </c>
      <c r="C2175" s="7">
        <v>105.81034482758599</v>
      </c>
      <c r="D2175" s="1">
        <v>45078</v>
      </c>
      <c r="E2175" s="29">
        <v>4.5</v>
      </c>
      <c r="F2175" t="s">
        <v>1</v>
      </c>
      <c r="G2175" t="str">
        <f t="shared" si="33"/>
        <v>2023-06</v>
      </c>
    </row>
    <row r="2176" spans="1:7" x14ac:dyDescent="0.3">
      <c r="A2176">
        <v>4074</v>
      </c>
      <c r="B2176" t="s">
        <v>44</v>
      </c>
      <c r="C2176" s="7">
        <v>106.72413793103399</v>
      </c>
      <c r="D2176" s="1">
        <v>44881</v>
      </c>
      <c r="E2176" s="29">
        <v>3.4</v>
      </c>
      <c r="F2176" t="s">
        <v>4</v>
      </c>
      <c r="G2176" t="str">
        <f t="shared" si="33"/>
        <v>2022-11</v>
      </c>
    </row>
    <row r="2177" spans="1:7" x14ac:dyDescent="0.3">
      <c r="A2177">
        <v>4089</v>
      </c>
      <c r="B2177" t="s">
        <v>28</v>
      </c>
      <c r="C2177" s="7">
        <v>111.854838709677</v>
      </c>
      <c r="D2177" s="1">
        <v>45113</v>
      </c>
      <c r="E2177" s="29">
        <v>2.5</v>
      </c>
      <c r="F2177" t="s">
        <v>4</v>
      </c>
      <c r="G2177" t="str">
        <f t="shared" si="33"/>
        <v>2023-07</v>
      </c>
    </row>
    <row r="2178" spans="1:7" x14ac:dyDescent="0.3">
      <c r="A2178">
        <v>4049</v>
      </c>
      <c r="B2178" t="s">
        <v>43</v>
      </c>
      <c r="C2178" s="7">
        <v>143</v>
      </c>
      <c r="D2178" s="1">
        <v>44971</v>
      </c>
      <c r="E2178" s="29">
        <v>3.07213114754098</v>
      </c>
      <c r="F2178" t="s">
        <v>4</v>
      </c>
      <c r="G2178" t="str">
        <f t="shared" si="33"/>
        <v>2023-02</v>
      </c>
    </row>
    <row r="2179" spans="1:7" x14ac:dyDescent="0.3">
      <c r="A2179">
        <v>3964</v>
      </c>
      <c r="B2179" t="s">
        <v>18</v>
      </c>
      <c r="C2179" s="7">
        <v>101</v>
      </c>
      <c r="D2179" s="1">
        <v>44961</v>
      </c>
      <c r="E2179" s="29">
        <v>2.2999999999999998</v>
      </c>
      <c r="F2179" t="s">
        <v>4</v>
      </c>
      <c r="G2179" t="str">
        <f t="shared" ref="G2179:G2242" si="34">TEXT(D2179,"ГГГГ-ММ")</f>
        <v>2023-02</v>
      </c>
    </row>
    <row r="2180" spans="1:7" x14ac:dyDescent="0.3">
      <c r="A2180">
        <v>4070</v>
      </c>
      <c r="B2180" t="s">
        <v>36</v>
      </c>
      <c r="C2180" s="7">
        <v>85</v>
      </c>
      <c r="D2180" s="1">
        <v>44839</v>
      </c>
      <c r="E2180" s="29">
        <v>1.7</v>
      </c>
      <c r="F2180" t="s">
        <v>1</v>
      </c>
      <c r="G2180" t="str">
        <f t="shared" si="34"/>
        <v>2022-10</v>
      </c>
    </row>
    <row r="2181" spans="1:7" x14ac:dyDescent="0.3">
      <c r="A2181">
        <v>3994</v>
      </c>
      <c r="B2181" t="s">
        <v>16</v>
      </c>
      <c r="C2181" s="7">
        <v>110.56666666666599</v>
      </c>
      <c r="D2181" s="1">
        <v>45164</v>
      </c>
      <c r="E2181" s="29">
        <v>4.2</v>
      </c>
      <c r="F2181" t="s">
        <v>1</v>
      </c>
      <c r="G2181" t="str">
        <f t="shared" si="34"/>
        <v>2023-08</v>
      </c>
    </row>
    <row r="2182" spans="1:7" x14ac:dyDescent="0.3">
      <c r="A2182">
        <v>3959</v>
      </c>
      <c r="B2182" t="s">
        <v>11</v>
      </c>
      <c r="C2182" s="7">
        <v>63</v>
      </c>
      <c r="D2182" s="1">
        <v>44887</v>
      </c>
      <c r="E2182" s="29">
        <v>2.1</v>
      </c>
      <c r="F2182" t="s">
        <v>4</v>
      </c>
      <c r="G2182" t="str">
        <f t="shared" si="34"/>
        <v>2022-11</v>
      </c>
    </row>
    <row r="2183" spans="1:7" x14ac:dyDescent="0.3">
      <c r="A2183">
        <v>4089</v>
      </c>
      <c r="B2183" t="s">
        <v>22</v>
      </c>
      <c r="C2183" s="7">
        <v>133</v>
      </c>
      <c r="D2183" s="1">
        <v>45124</v>
      </c>
      <c r="E2183" s="29">
        <v>3.2</v>
      </c>
      <c r="F2183" t="s">
        <v>1</v>
      </c>
      <c r="G2183" t="str">
        <f t="shared" si="34"/>
        <v>2023-07</v>
      </c>
    </row>
    <row r="2184" spans="1:7" x14ac:dyDescent="0.3">
      <c r="A2184">
        <v>3974</v>
      </c>
      <c r="B2184" t="s">
        <v>46</v>
      </c>
      <c r="C2184" s="7">
        <v>10</v>
      </c>
      <c r="D2184" s="1">
        <v>44931</v>
      </c>
      <c r="E2184" s="29">
        <v>4.4000000000000004</v>
      </c>
      <c r="F2184" t="s">
        <v>4</v>
      </c>
      <c r="G2184" t="str">
        <f t="shared" si="34"/>
        <v>2023-01</v>
      </c>
    </row>
    <row r="2185" spans="1:7" x14ac:dyDescent="0.3">
      <c r="A2185">
        <v>3978</v>
      </c>
      <c r="B2185" t="s">
        <v>39</v>
      </c>
      <c r="C2185" s="7">
        <v>108.54716981132</v>
      </c>
      <c r="D2185" s="1">
        <v>44919</v>
      </c>
      <c r="E2185" s="29">
        <v>3.2</v>
      </c>
      <c r="F2185" t="s">
        <v>1</v>
      </c>
      <c r="G2185" t="str">
        <f t="shared" si="34"/>
        <v>2022-12</v>
      </c>
    </row>
    <row r="2186" spans="1:7" x14ac:dyDescent="0.3">
      <c r="A2186">
        <v>4043</v>
      </c>
      <c r="B2186" t="s">
        <v>15</v>
      </c>
      <c r="C2186" s="7">
        <v>103.108695652173</v>
      </c>
      <c r="D2186" s="1">
        <v>44849</v>
      </c>
      <c r="E2186" s="29">
        <v>3.8</v>
      </c>
      <c r="F2186" t="s">
        <v>4</v>
      </c>
      <c r="G2186" t="str">
        <f t="shared" si="34"/>
        <v>2022-10</v>
      </c>
    </row>
    <row r="2187" spans="1:7" x14ac:dyDescent="0.3">
      <c r="A2187">
        <v>4037</v>
      </c>
      <c r="B2187" t="s">
        <v>23</v>
      </c>
      <c r="C2187" s="7">
        <v>107.68518518518501</v>
      </c>
      <c r="D2187" s="1">
        <v>45144</v>
      </c>
      <c r="E2187" s="29">
        <v>3.2</v>
      </c>
      <c r="F2187" t="s">
        <v>1</v>
      </c>
      <c r="G2187" t="str">
        <f t="shared" si="34"/>
        <v>2023-08</v>
      </c>
    </row>
    <row r="2188" spans="1:7" x14ac:dyDescent="0.3">
      <c r="A2188">
        <v>4059</v>
      </c>
      <c r="B2188" t="s">
        <v>3</v>
      </c>
      <c r="C2188" s="7">
        <v>136</v>
      </c>
      <c r="D2188" s="1">
        <v>45020</v>
      </c>
      <c r="E2188" s="29">
        <v>4.5999999999999996</v>
      </c>
      <c r="F2188" t="s">
        <v>4</v>
      </c>
      <c r="G2188" t="str">
        <f t="shared" si="34"/>
        <v>2023-04</v>
      </c>
    </row>
    <row r="2189" spans="1:7" x14ac:dyDescent="0.3">
      <c r="A2189">
        <v>3999</v>
      </c>
      <c r="B2189" t="s">
        <v>28</v>
      </c>
      <c r="C2189" s="7">
        <v>111.854838709677</v>
      </c>
      <c r="D2189" s="1">
        <v>45057</v>
      </c>
      <c r="E2189" s="29">
        <v>1.2</v>
      </c>
      <c r="F2189" t="s">
        <v>1</v>
      </c>
      <c r="G2189" t="str">
        <f t="shared" si="34"/>
        <v>2023-05</v>
      </c>
    </row>
    <row r="2190" spans="1:7" x14ac:dyDescent="0.3">
      <c r="A2190">
        <v>4068</v>
      </c>
      <c r="B2190" t="s">
        <v>15</v>
      </c>
      <c r="C2190" s="7">
        <v>103.108695652173</v>
      </c>
      <c r="D2190" s="1">
        <v>45086</v>
      </c>
      <c r="E2190" s="29">
        <v>2.7</v>
      </c>
      <c r="F2190" t="s">
        <v>4</v>
      </c>
      <c r="G2190" t="str">
        <f t="shared" si="34"/>
        <v>2023-06</v>
      </c>
    </row>
    <row r="2191" spans="1:7" x14ac:dyDescent="0.3">
      <c r="A2191">
        <v>3972</v>
      </c>
      <c r="B2191" t="s">
        <v>2</v>
      </c>
      <c r="C2191" s="7">
        <v>195</v>
      </c>
      <c r="D2191" s="1">
        <v>44959</v>
      </c>
      <c r="E2191" s="29">
        <v>2.1</v>
      </c>
      <c r="F2191" t="s">
        <v>4</v>
      </c>
      <c r="G2191" t="str">
        <f t="shared" si="34"/>
        <v>2023-02</v>
      </c>
    </row>
    <row r="2192" spans="1:7" x14ac:dyDescent="0.3">
      <c r="A2192">
        <v>4057</v>
      </c>
      <c r="B2192" t="s">
        <v>28</v>
      </c>
      <c r="C2192" s="7">
        <v>75</v>
      </c>
      <c r="D2192" s="1">
        <v>44947</v>
      </c>
      <c r="E2192" s="29">
        <v>3</v>
      </c>
      <c r="F2192" t="s">
        <v>4</v>
      </c>
      <c r="G2192" t="str">
        <f t="shared" si="34"/>
        <v>2023-01</v>
      </c>
    </row>
    <row r="2193" spans="1:7" x14ac:dyDescent="0.3">
      <c r="A2193">
        <v>3966</v>
      </c>
      <c r="B2193" t="s">
        <v>17</v>
      </c>
      <c r="C2193" s="7">
        <v>126</v>
      </c>
      <c r="D2193" s="1">
        <v>44933</v>
      </c>
      <c r="E2193" s="29">
        <v>3.22399999999999</v>
      </c>
      <c r="F2193" t="s">
        <v>1</v>
      </c>
      <c r="G2193" t="str">
        <f t="shared" si="34"/>
        <v>2023-01</v>
      </c>
    </row>
    <row r="2194" spans="1:7" x14ac:dyDescent="0.3">
      <c r="A2194">
        <v>4121</v>
      </c>
      <c r="B2194" t="s">
        <v>32</v>
      </c>
      <c r="C2194" s="7">
        <v>85</v>
      </c>
      <c r="D2194" s="1">
        <v>44909</v>
      </c>
      <c r="E2194" s="29">
        <v>3.4</v>
      </c>
      <c r="F2194" t="s">
        <v>4</v>
      </c>
      <c r="G2194" t="str">
        <f t="shared" si="34"/>
        <v>2022-12</v>
      </c>
    </row>
    <row r="2195" spans="1:7" x14ac:dyDescent="0.3">
      <c r="A2195">
        <v>3995</v>
      </c>
      <c r="B2195" t="s">
        <v>43</v>
      </c>
      <c r="C2195" s="7">
        <v>22</v>
      </c>
      <c r="D2195" s="1">
        <v>45189</v>
      </c>
      <c r="E2195" s="29">
        <v>2.9</v>
      </c>
      <c r="F2195" t="s">
        <v>1</v>
      </c>
      <c r="G2195" t="str">
        <f t="shared" si="34"/>
        <v>2023-09</v>
      </c>
    </row>
    <row r="2196" spans="1:7" x14ac:dyDescent="0.3">
      <c r="A2196">
        <v>4104</v>
      </c>
      <c r="B2196" t="s">
        <v>14</v>
      </c>
      <c r="C2196" s="7">
        <v>102.377358490566</v>
      </c>
      <c r="D2196" s="1">
        <v>45197</v>
      </c>
      <c r="E2196" s="29">
        <v>2.4</v>
      </c>
      <c r="F2196" t="s">
        <v>1</v>
      </c>
      <c r="G2196" t="str">
        <f t="shared" si="34"/>
        <v>2023-09</v>
      </c>
    </row>
    <row r="2197" spans="1:7" x14ac:dyDescent="0.3">
      <c r="A2197">
        <v>3971</v>
      </c>
      <c r="B2197" t="s">
        <v>8</v>
      </c>
      <c r="C2197" s="7">
        <v>105.81034482758599</v>
      </c>
      <c r="D2197" s="1">
        <v>45145</v>
      </c>
      <c r="E2197" s="29">
        <v>2.1</v>
      </c>
      <c r="F2197" t="s">
        <v>4</v>
      </c>
      <c r="G2197" t="str">
        <f t="shared" si="34"/>
        <v>2023-08</v>
      </c>
    </row>
    <row r="2198" spans="1:7" x14ac:dyDescent="0.3">
      <c r="A2198">
        <v>4118</v>
      </c>
      <c r="B2198" t="s">
        <v>6</v>
      </c>
      <c r="C2198" s="7">
        <v>114.77966101694901</v>
      </c>
      <c r="D2198" s="1">
        <v>45193</v>
      </c>
      <c r="E2198" s="29">
        <v>3.2</v>
      </c>
      <c r="F2198" t="s">
        <v>1</v>
      </c>
      <c r="G2198" t="str">
        <f t="shared" si="34"/>
        <v>2023-09</v>
      </c>
    </row>
    <row r="2199" spans="1:7" x14ac:dyDescent="0.3">
      <c r="A2199">
        <v>4090</v>
      </c>
      <c r="B2199" t="s">
        <v>12</v>
      </c>
      <c r="C2199" s="7">
        <v>183</v>
      </c>
      <c r="D2199" s="1">
        <v>45081</v>
      </c>
      <c r="E2199" s="29">
        <v>1.3</v>
      </c>
      <c r="F2199" t="s">
        <v>1</v>
      </c>
      <c r="G2199" t="str">
        <f t="shared" si="34"/>
        <v>2023-06</v>
      </c>
    </row>
    <row r="2200" spans="1:7" x14ac:dyDescent="0.3">
      <c r="A2200">
        <v>4032</v>
      </c>
      <c r="B2200" t="s">
        <v>9</v>
      </c>
      <c r="C2200" s="7">
        <v>199</v>
      </c>
      <c r="D2200" s="1">
        <v>44944</v>
      </c>
      <c r="E2200" s="29">
        <v>3.6</v>
      </c>
      <c r="F2200" t="s">
        <v>4</v>
      </c>
      <c r="G2200" t="str">
        <f t="shared" si="34"/>
        <v>2023-01</v>
      </c>
    </row>
    <row r="2201" spans="1:7" x14ac:dyDescent="0.3">
      <c r="A2201">
        <v>4064</v>
      </c>
      <c r="B2201" t="s">
        <v>40</v>
      </c>
      <c r="C2201" s="7">
        <v>106.80769230769199</v>
      </c>
      <c r="D2201" s="1">
        <v>45185</v>
      </c>
      <c r="E2201" s="29">
        <v>4.5</v>
      </c>
      <c r="F2201" t="s">
        <v>4</v>
      </c>
      <c r="G2201" t="str">
        <f t="shared" si="34"/>
        <v>2023-09</v>
      </c>
    </row>
    <row r="2202" spans="1:7" x14ac:dyDescent="0.3">
      <c r="A2202">
        <v>4059</v>
      </c>
      <c r="B2202" t="s">
        <v>41</v>
      </c>
      <c r="C2202" s="7">
        <v>21</v>
      </c>
      <c r="D2202" s="1">
        <v>44904</v>
      </c>
      <c r="E2202" s="29">
        <v>1.1000000000000001</v>
      </c>
      <c r="F2202" t="s">
        <v>1</v>
      </c>
      <c r="G2202" t="str">
        <f t="shared" si="34"/>
        <v>2022-12</v>
      </c>
    </row>
    <row r="2203" spans="1:7" x14ac:dyDescent="0.3">
      <c r="A2203">
        <v>4098</v>
      </c>
      <c r="B2203" t="s">
        <v>37</v>
      </c>
      <c r="C2203" s="7">
        <v>97.720588235294102</v>
      </c>
      <c r="D2203" s="1">
        <v>44943</v>
      </c>
      <c r="E2203" s="29">
        <v>3.8</v>
      </c>
      <c r="F2203" t="s">
        <v>4</v>
      </c>
      <c r="G2203" t="str">
        <f t="shared" si="34"/>
        <v>2023-01</v>
      </c>
    </row>
    <row r="2204" spans="1:7" x14ac:dyDescent="0.3">
      <c r="A2204">
        <v>4034</v>
      </c>
      <c r="B2204" t="s">
        <v>3</v>
      </c>
      <c r="C2204" s="7">
        <v>100.679999999999</v>
      </c>
      <c r="D2204" s="1">
        <v>45125</v>
      </c>
      <c r="E2204" s="29">
        <v>4.8</v>
      </c>
      <c r="F2204" t="s">
        <v>4</v>
      </c>
      <c r="G2204" t="str">
        <f t="shared" si="34"/>
        <v>2023-07</v>
      </c>
    </row>
    <row r="2205" spans="1:7" x14ac:dyDescent="0.3">
      <c r="A2205">
        <v>4037</v>
      </c>
      <c r="B2205" t="s">
        <v>35</v>
      </c>
      <c r="C2205" s="7">
        <v>94</v>
      </c>
      <c r="D2205" s="1">
        <v>45043</v>
      </c>
      <c r="E2205" s="29">
        <v>3</v>
      </c>
      <c r="F2205" t="s">
        <v>4</v>
      </c>
      <c r="G2205" t="str">
        <f t="shared" si="34"/>
        <v>2023-04</v>
      </c>
    </row>
    <row r="2206" spans="1:7" x14ac:dyDescent="0.3">
      <c r="A2206">
        <v>4045</v>
      </c>
      <c r="B2206" t="s">
        <v>44</v>
      </c>
      <c r="C2206" s="7">
        <v>122</v>
      </c>
      <c r="D2206" s="1">
        <v>44984</v>
      </c>
      <c r="E2206" s="29">
        <v>1</v>
      </c>
      <c r="F2206" t="s">
        <v>4</v>
      </c>
      <c r="G2206" t="str">
        <f t="shared" si="34"/>
        <v>2023-02</v>
      </c>
    </row>
    <row r="2207" spans="1:7" x14ac:dyDescent="0.3">
      <c r="A2207">
        <v>3959</v>
      </c>
      <c r="B2207" t="s">
        <v>31</v>
      </c>
      <c r="C2207" s="7">
        <v>78</v>
      </c>
      <c r="D2207" s="1">
        <v>44968</v>
      </c>
      <c r="E2207" s="29">
        <v>2.1</v>
      </c>
      <c r="F2207" t="s">
        <v>4</v>
      </c>
      <c r="G2207" t="str">
        <f t="shared" si="34"/>
        <v>2023-02</v>
      </c>
    </row>
    <row r="2208" spans="1:7" x14ac:dyDescent="0.3">
      <c r="A2208">
        <v>4028</v>
      </c>
      <c r="B2208" t="s">
        <v>45</v>
      </c>
      <c r="C2208" s="7">
        <v>33</v>
      </c>
      <c r="D2208" s="1">
        <v>44856</v>
      </c>
      <c r="E2208" s="29">
        <v>4.0999999999999996</v>
      </c>
      <c r="F2208" t="s">
        <v>4</v>
      </c>
      <c r="G2208" t="str">
        <f t="shared" si="34"/>
        <v>2022-10</v>
      </c>
    </row>
    <row r="2209" spans="1:7" x14ac:dyDescent="0.3">
      <c r="A2209">
        <v>4092</v>
      </c>
      <c r="B2209" t="s">
        <v>0</v>
      </c>
      <c r="C2209" s="7">
        <v>97</v>
      </c>
      <c r="D2209" s="1">
        <v>44931</v>
      </c>
      <c r="E2209" s="29">
        <v>3.2</v>
      </c>
      <c r="F2209" t="s">
        <v>1</v>
      </c>
      <c r="G2209" t="str">
        <f t="shared" si="34"/>
        <v>2023-01</v>
      </c>
    </row>
    <row r="2210" spans="1:7" x14ac:dyDescent="0.3">
      <c r="A2210">
        <v>4113</v>
      </c>
      <c r="B2210" t="s">
        <v>44</v>
      </c>
      <c r="C2210" s="7">
        <v>106.72413793103399</v>
      </c>
      <c r="D2210" s="1">
        <v>45123</v>
      </c>
      <c r="E2210" s="29">
        <v>2.92063492063492</v>
      </c>
      <c r="F2210" t="s">
        <v>4</v>
      </c>
      <c r="G2210" t="str">
        <f t="shared" si="34"/>
        <v>2023-07</v>
      </c>
    </row>
    <row r="2211" spans="1:7" x14ac:dyDescent="0.3">
      <c r="A2211">
        <v>3994</v>
      </c>
      <c r="B2211" t="s">
        <v>21</v>
      </c>
      <c r="C2211" s="7">
        <v>126</v>
      </c>
      <c r="D2211" s="1">
        <v>44904</v>
      </c>
      <c r="E2211" s="29">
        <v>3.7</v>
      </c>
      <c r="F2211" t="s">
        <v>1</v>
      </c>
      <c r="G2211" t="str">
        <f t="shared" si="34"/>
        <v>2022-12</v>
      </c>
    </row>
    <row r="2212" spans="1:7" x14ac:dyDescent="0.3">
      <c r="A2212">
        <v>4060</v>
      </c>
      <c r="B2212" t="s">
        <v>41</v>
      </c>
      <c r="C2212" s="7">
        <v>108</v>
      </c>
      <c r="D2212" s="1">
        <v>45000</v>
      </c>
      <c r="E2212" s="29">
        <v>3.1</v>
      </c>
      <c r="F2212" t="s">
        <v>4</v>
      </c>
      <c r="G2212" t="str">
        <f t="shared" si="34"/>
        <v>2023-03</v>
      </c>
    </row>
    <row r="2213" spans="1:7" x14ac:dyDescent="0.3">
      <c r="A2213">
        <v>4071</v>
      </c>
      <c r="B2213" t="s">
        <v>37</v>
      </c>
      <c r="C2213" s="7">
        <v>132</v>
      </c>
      <c r="D2213" s="1">
        <v>44958</v>
      </c>
      <c r="E2213" s="29">
        <v>2.6</v>
      </c>
      <c r="F2213" t="s">
        <v>1</v>
      </c>
      <c r="G2213" t="str">
        <f t="shared" si="34"/>
        <v>2023-02</v>
      </c>
    </row>
    <row r="2214" spans="1:7" x14ac:dyDescent="0.3">
      <c r="A2214">
        <v>4121</v>
      </c>
      <c r="B2214" t="s">
        <v>10</v>
      </c>
      <c r="C2214" s="7">
        <v>176</v>
      </c>
      <c r="D2214" s="1">
        <v>44919</v>
      </c>
      <c r="E2214" s="29">
        <v>4.5999999999999996</v>
      </c>
      <c r="F2214" t="s">
        <v>4</v>
      </c>
      <c r="G2214" t="str">
        <f t="shared" si="34"/>
        <v>2022-12</v>
      </c>
    </row>
    <row r="2215" spans="1:7" x14ac:dyDescent="0.3">
      <c r="A2215">
        <v>4009</v>
      </c>
      <c r="B2215" t="s">
        <v>27</v>
      </c>
      <c r="C2215" s="7">
        <v>52</v>
      </c>
      <c r="D2215" s="1">
        <v>45038</v>
      </c>
      <c r="E2215" s="29">
        <v>2</v>
      </c>
      <c r="F2215" t="s">
        <v>4</v>
      </c>
      <c r="G2215" t="str">
        <f t="shared" si="34"/>
        <v>2023-04</v>
      </c>
    </row>
    <row r="2216" spans="1:7" x14ac:dyDescent="0.3">
      <c r="A2216">
        <v>4096</v>
      </c>
      <c r="B2216" t="s">
        <v>25</v>
      </c>
      <c r="C2216" s="7">
        <v>112.745762711864</v>
      </c>
      <c r="D2216" s="1">
        <v>45071</v>
      </c>
      <c r="E2216" s="29">
        <v>1.5</v>
      </c>
      <c r="F2216" t="s">
        <v>4</v>
      </c>
      <c r="G2216" t="str">
        <f t="shared" si="34"/>
        <v>2023-05</v>
      </c>
    </row>
    <row r="2217" spans="1:7" x14ac:dyDescent="0.3">
      <c r="A2217">
        <v>4116</v>
      </c>
      <c r="B2217" t="s">
        <v>5</v>
      </c>
      <c r="C2217" s="7">
        <v>25</v>
      </c>
      <c r="D2217" s="1">
        <v>45028</v>
      </c>
      <c r="E2217" s="29">
        <v>3.6</v>
      </c>
      <c r="F2217" t="s">
        <v>1</v>
      </c>
      <c r="G2217" t="str">
        <f t="shared" si="34"/>
        <v>2023-04</v>
      </c>
    </row>
    <row r="2218" spans="1:7" x14ac:dyDescent="0.3">
      <c r="A2218">
        <v>4115</v>
      </c>
      <c r="B2218" t="s">
        <v>26</v>
      </c>
      <c r="C2218" s="7">
        <v>50</v>
      </c>
      <c r="D2218" s="1">
        <v>45152</v>
      </c>
      <c r="E2218" s="29">
        <v>4.9000000000000004</v>
      </c>
      <c r="F2218" t="s">
        <v>4</v>
      </c>
      <c r="G2218" t="str">
        <f t="shared" si="34"/>
        <v>2023-08</v>
      </c>
    </row>
    <row r="2219" spans="1:7" x14ac:dyDescent="0.3">
      <c r="A2219">
        <v>4070</v>
      </c>
      <c r="B2219" t="s">
        <v>44</v>
      </c>
      <c r="C2219" s="7">
        <v>106.72413793103399</v>
      </c>
      <c r="D2219" s="1">
        <v>45139</v>
      </c>
      <c r="E2219" s="29">
        <v>1.8</v>
      </c>
      <c r="F2219" t="s">
        <v>1</v>
      </c>
      <c r="G2219" t="str">
        <f t="shared" si="34"/>
        <v>2023-08</v>
      </c>
    </row>
    <row r="2220" spans="1:7" x14ac:dyDescent="0.3">
      <c r="A2220">
        <v>4045</v>
      </c>
      <c r="B2220" t="s">
        <v>12</v>
      </c>
      <c r="C2220" s="7">
        <v>133</v>
      </c>
      <c r="D2220" s="1">
        <v>45170</v>
      </c>
      <c r="E2220" s="29">
        <v>1.5</v>
      </c>
      <c r="F2220" t="s">
        <v>4</v>
      </c>
      <c r="G2220" t="str">
        <f t="shared" si="34"/>
        <v>2023-09</v>
      </c>
    </row>
    <row r="2221" spans="1:7" x14ac:dyDescent="0.3">
      <c r="A2221">
        <v>4060</v>
      </c>
      <c r="B2221" t="s">
        <v>14</v>
      </c>
      <c r="C2221" s="7">
        <v>183</v>
      </c>
      <c r="D2221" s="1">
        <v>44931</v>
      </c>
      <c r="E2221" s="29">
        <v>3.6</v>
      </c>
      <c r="F2221" t="s">
        <v>4</v>
      </c>
      <c r="G2221" t="str">
        <f t="shared" si="34"/>
        <v>2023-01</v>
      </c>
    </row>
    <row r="2222" spans="1:7" x14ac:dyDescent="0.3">
      <c r="A2222">
        <v>4007</v>
      </c>
      <c r="B2222" t="s">
        <v>40</v>
      </c>
      <c r="C2222" s="7">
        <v>166</v>
      </c>
      <c r="D2222" s="1">
        <v>44968</v>
      </c>
      <c r="E2222" s="29">
        <v>3.7</v>
      </c>
      <c r="F2222" t="s">
        <v>4</v>
      </c>
      <c r="G2222" t="str">
        <f t="shared" si="34"/>
        <v>2023-02</v>
      </c>
    </row>
    <row r="2223" spans="1:7" x14ac:dyDescent="0.3">
      <c r="A2223">
        <v>4034</v>
      </c>
      <c r="B2223" t="s">
        <v>37</v>
      </c>
      <c r="C2223" s="7">
        <v>101</v>
      </c>
      <c r="D2223" s="1">
        <v>44920</v>
      </c>
      <c r="E2223" s="29">
        <v>1.2</v>
      </c>
      <c r="F2223" t="s">
        <v>1</v>
      </c>
      <c r="G2223" t="str">
        <f t="shared" si="34"/>
        <v>2022-12</v>
      </c>
    </row>
    <row r="2224" spans="1:7" x14ac:dyDescent="0.3">
      <c r="A2224">
        <v>3978</v>
      </c>
      <c r="B2224" t="s">
        <v>18</v>
      </c>
      <c r="C2224" s="7">
        <v>185</v>
      </c>
      <c r="D2224" s="1">
        <v>45060</v>
      </c>
      <c r="E2224" s="29">
        <v>4</v>
      </c>
      <c r="F2224" t="s">
        <v>4</v>
      </c>
      <c r="G2224" t="str">
        <f t="shared" si="34"/>
        <v>2023-05</v>
      </c>
    </row>
    <row r="2225" spans="1:7" x14ac:dyDescent="0.3">
      <c r="A2225">
        <v>3966</v>
      </c>
      <c r="B2225" t="s">
        <v>51</v>
      </c>
      <c r="C2225" s="7">
        <v>196</v>
      </c>
      <c r="D2225" s="1">
        <v>45078</v>
      </c>
      <c r="E2225" s="29">
        <v>3.7</v>
      </c>
      <c r="F2225" t="s">
        <v>4</v>
      </c>
      <c r="G2225" t="str">
        <f t="shared" si="34"/>
        <v>2023-06</v>
      </c>
    </row>
    <row r="2226" spans="1:7" x14ac:dyDescent="0.3">
      <c r="A2226">
        <v>4094</v>
      </c>
      <c r="B2226" t="s">
        <v>47</v>
      </c>
      <c r="C2226" s="7">
        <v>43</v>
      </c>
      <c r="D2226" s="1">
        <v>44957</v>
      </c>
      <c r="E2226" s="29">
        <v>1.9</v>
      </c>
      <c r="F2226" t="s">
        <v>1</v>
      </c>
      <c r="G2226" t="str">
        <f t="shared" si="34"/>
        <v>2023-01</v>
      </c>
    </row>
    <row r="2227" spans="1:7" x14ac:dyDescent="0.3">
      <c r="A2227">
        <v>4042</v>
      </c>
      <c r="B2227" t="s">
        <v>10</v>
      </c>
      <c r="C2227" s="7">
        <v>134</v>
      </c>
      <c r="D2227" s="1">
        <v>45154</v>
      </c>
      <c r="E2227" s="29">
        <v>3.3</v>
      </c>
      <c r="F2227" t="s">
        <v>1</v>
      </c>
      <c r="G2227" t="str">
        <f t="shared" si="34"/>
        <v>2023-08</v>
      </c>
    </row>
    <row r="2228" spans="1:7" x14ac:dyDescent="0.3">
      <c r="A2228">
        <v>4056</v>
      </c>
      <c r="B2228" t="s">
        <v>36</v>
      </c>
      <c r="C2228" s="7">
        <v>90.925925925925895</v>
      </c>
      <c r="D2228" s="1">
        <v>45199</v>
      </c>
      <c r="E2228" s="29">
        <v>3.9</v>
      </c>
      <c r="F2228" t="s">
        <v>4</v>
      </c>
      <c r="G2228" t="str">
        <f t="shared" si="34"/>
        <v>2023-09</v>
      </c>
    </row>
    <row r="2229" spans="1:7" x14ac:dyDescent="0.3">
      <c r="A2229">
        <v>3989</v>
      </c>
      <c r="B2229" t="s">
        <v>48</v>
      </c>
      <c r="C2229" s="7">
        <v>21</v>
      </c>
      <c r="D2229" s="1">
        <v>44917</v>
      </c>
      <c r="E2229" s="29">
        <v>1.1000000000000001</v>
      </c>
      <c r="F2229" t="s">
        <v>1</v>
      </c>
      <c r="G2229" t="str">
        <f t="shared" si="34"/>
        <v>2022-12</v>
      </c>
    </row>
    <row r="2230" spans="1:7" x14ac:dyDescent="0.3">
      <c r="A2230">
        <v>4090</v>
      </c>
      <c r="B2230" t="s">
        <v>27</v>
      </c>
      <c r="C2230" s="7">
        <v>103.98245614035</v>
      </c>
      <c r="D2230" s="1">
        <v>44950</v>
      </c>
      <c r="E2230" s="29">
        <v>1.8</v>
      </c>
      <c r="F2230" t="s">
        <v>4</v>
      </c>
      <c r="G2230" t="str">
        <f t="shared" si="34"/>
        <v>2023-01</v>
      </c>
    </row>
    <row r="2231" spans="1:7" x14ac:dyDescent="0.3">
      <c r="A2231">
        <v>4095</v>
      </c>
      <c r="B2231" t="s">
        <v>41</v>
      </c>
      <c r="C2231" s="7">
        <v>13</v>
      </c>
      <c r="D2231" s="1">
        <v>45109</v>
      </c>
      <c r="E2231" s="29">
        <v>3.9</v>
      </c>
      <c r="F2231" t="s">
        <v>1</v>
      </c>
      <c r="G2231" t="str">
        <f t="shared" si="34"/>
        <v>2023-07</v>
      </c>
    </row>
    <row r="2232" spans="1:7" x14ac:dyDescent="0.3">
      <c r="A2232">
        <v>4029</v>
      </c>
      <c r="B2232" t="s">
        <v>44</v>
      </c>
      <c r="C2232" s="7">
        <v>183</v>
      </c>
      <c r="D2232" s="1">
        <v>45009</v>
      </c>
      <c r="E2232" s="29">
        <v>4.5</v>
      </c>
      <c r="F2232" t="s">
        <v>1</v>
      </c>
      <c r="G2232" t="str">
        <f t="shared" si="34"/>
        <v>2023-03</v>
      </c>
    </row>
    <row r="2233" spans="1:7" x14ac:dyDescent="0.3">
      <c r="A2233">
        <v>4011</v>
      </c>
      <c r="B2233" t="s">
        <v>13</v>
      </c>
      <c r="C2233" s="7">
        <v>200</v>
      </c>
      <c r="D2233" s="1">
        <v>45169</v>
      </c>
      <c r="E2233" s="29">
        <v>2.6</v>
      </c>
      <c r="F2233" t="s">
        <v>1</v>
      </c>
      <c r="G2233" t="str">
        <f t="shared" si="34"/>
        <v>2023-08</v>
      </c>
    </row>
    <row r="2234" spans="1:7" x14ac:dyDescent="0.3">
      <c r="A2234">
        <v>3980</v>
      </c>
      <c r="B2234" t="s">
        <v>27</v>
      </c>
      <c r="C2234" s="7">
        <v>154</v>
      </c>
      <c r="D2234" s="1">
        <v>44908</v>
      </c>
      <c r="E2234" s="29">
        <v>3.7</v>
      </c>
      <c r="F2234" t="s">
        <v>1</v>
      </c>
      <c r="G2234" t="str">
        <f t="shared" si="34"/>
        <v>2022-12</v>
      </c>
    </row>
    <row r="2235" spans="1:7" x14ac:dyDescent="0.3">
      <c r="A2235">
        <v>4087</v>
      </c>
      <c r="B2235" t="s">
        <v>46</v>
      </c>
      <c r="C2235" s="7">
        <v>181</v>
      </c>
      <c r="D2235" s="1">
        <v>44859</v>
      </c>
      <c r="E2235" s="29">
        <v>1.8</v>
      </c>
      <c r="F2235" t="s">
        <v>1</v>
      </c>
      <c r="G2235" t="str">
        <f t="shared" si="34"/>
        <v>2022-10</v>
      </c>
    </row>
    <row r="2236" spans="1:7" x14ac:dyDescent="0.3">
      <c r="A2236">
        <v>4098</v>
      </c>
      <c r="B2236" t="s">
        <v>35</v>
      </c>
      <c r="C2236" s="7">
        <v>142</v>
      </c>
      <c r="D2236" s="1">
        <v>44905</v>
      </c>
      <c r="E2236" s="29">
        <v>1.8</v>
      </c>
      <c r="F2236" t="s">
        <v>4</v>
      </c>
      <c r="G2236" t="str">
        <f t="shared" si="34"/>
        <v>2022-12</v>
      </c>
    </row>
    <row r="2237" spans="1:7" x14ac:dyDescent="0.3">
      <c r="A2237">
        <v>4036</v>
      </c>
      <c r="B2237" t="s">
        <v>40</v>
      </c>
      <c r="C2237" s="7">
        <v>189</v>
      </c>
      <c r="D2237" s="1">
        <v>44958</v>
      </c>
      <c r="E2237" s="29">
        <v>4.5</v>
      </c>
      <c r="F2237" t="s">
        <v>1</v>
      </c>
      <c r="G2237" t="str">
        <f t="shared" si="34"/>
        <v>2023-02</v>
      </c>
    </row>
    <row r="2238" spans="1:7" x14ac:dyDescent="0.3">
      <c r="A2238">
        <v>4090</v>
      </c>
      <c r="B2238" t="s">
        <v>12</v>
      </c>
      <c r="C2238" s="7">
        <v>120</v>
      </c>
      <c r="D2238" s="1">
        <v>45187</v>
      </c>
      <c r="E2238" s="29">
        <v>3.6</v>
      </c>
      <c r="F2238" t="s">
        <v>1</v>
      </c>
      <c r="G2238" t="str">
        <f t="shared" si="34"/>
        <v>2023-09</v>
      </c>
    </row>
    <row r="2239" spans="1:7" x14ac:dyDescent="0.3">
      <c r="A2239">
        <v>4044</v>
      </c>
      <c r="B2239" t="s">
        <v>19</v>
      </c>
      <c r="C2239" s="7">
        <v>73</v>
      </c>
      <c r="D2239" s="1">
        <v>44929</v>
      </c>
      <c r="E2239" s="29">
        <v>4.8</v>
      </c>
      <c r="F2239" t="s">
        <v>1</v>
      </c>
      <c r="G2239" t="str">
        <f t="shared" si="34"/>
        <v>2023-01</v>
      </c>
    </row>
    <row r="2240" spans="1:7" x14ac:dyDescent="0.3">
      <c r="A2240">
        <v>4119</v>
      </c>
      <c r="B2240" t="s">
        <v>33</v>
      </c>
      <c r="C2240" s="7">
        <v>179</v>
      </c>
      <c r="D2240" s="1">
        <v>44847</v>
      </c>
      <c r="E2240" s="29">
        <v>2</v>
      </c>
      <c r="F2240" t="s">
        <v>1</v>
      </c>
      <c r="G2240" t="str">
        <f t="shared" si="34"/>
        <v>2022-10</v>
      </c>
    </row>
    <row r="2241" spans="1:7" x14ac:dyDescent="0.3">
      <c r="A2241">
        <v>3997</v>
      </c>
      <c r="B2241" t="s">
        <v>33</v>
      </c>
      <c r="C2241" s="7">
        <v>108</v>
      </c>
      <c r="D2241" s="1">
        <v>45130</v>
      </c>
      <c r="E2241" s="29">
        <v>1.6</v>
      </c>
      <c r="F2241" t="s">
        <v>1</v>
      </c>
      <c r="G2241" t="str">
        <f t="shared" si="34"/>
        <v>2023-07</v>
      </c>
    </row>
    <row r="2242" spans="1:7" x14ac:dyDescent="0.3">
      <c r="A2242">
        <v>3962</v>
      </c>
      <c r="B2242" t="s">
        <v>17</v>
      </c>
      <c r="C2242" s="7">
        <v>119.195652173913</v>
      </c>
      <c r="D2242" s="1">
        <v>44884</v>
      </c>
      <c r="E2242" s="29">
        <v>4.3</v>
      </c>
      <c r="F2242" t="s">
        <v>4</v>
      </c>
      <c r="G2242" t="str">
        <f t="shared" si="34"/>
        <v>2022-11</v>
      </c>
    </row>
    <row r="2243" spans="1:7" x14ac:dyDescent="0.3">
      <c r="A2243">
        <v>3964</v>
      </c>
      <c r="B2243" t="s">
        <v>37</v>
      </c>
      <c r="C2243" s="7">
        <v>166</v>
      </c>
      <c r="D2243" s="1">
        <v>44964</v>
      </c>
      <c r="E2243" s="29">
        <v>3.1</v>
      </c>
      <c r="F2243" t="s">
        <v>1</v>
      </c>
      <c r="G2243" t="str">
        <f t="shared" ref="G2243:G2306" si="35">TEXT(D2243,"ГГГГ-ММ")</f>
        <v>2023-02</v>
      </c>
    </row>
    <row r="2244" spans="1:7" x14ac:dyDescent="0.3">
      <c r="A2244">
        <v>4095</v>
      </c>
      <c r="B2244" t="s">
        <v>28</v>
      </c>
      <c r="C2244" s="7">
        <v>111.854838709677</v>
      </c>
      <c r="D2244" s="1">
        <v>45188</v>
      </c>
      <c r="E2244" s="29">
        <v>1.4</v>
      </c>
      <c r="F2244" t="s">
        <v>4</v>
      </c>
      <c r="G2244" t="str">
        <f t="shared" si="35"/>
        <v>2023-09</v>
      </c>
    </row>
    <row r="2245" spans="1:7" x14ac:dyDescent="0.3">
      <c r="A2245">
        <v>4108</v>
      </c>
      <c r="B2245" t="s">
        <v>27</v>
      </c>
      <c r="C2245" s="7">
        <v>50</v>
      </c>
      <c r="D2245" s="1">
        <v>44836</v>
      </c>
      <c r="E2245" s="29">
        <v>2.1</v>
      </c>
      <c r="F2245" t="s">
        <v>1</v>
      </c>
      <c r="G2245" t="str">
        <f t="shared" si="35"/>
        <v>2022-10</v>
      </c>
    </row>
    <row r="2246" spans="1:7" x14ac:dyDescent="0.3">
      <c r="A2246">
        <v>4023</v>
      </c>
      <c r="B2246" t="s">
        <v>49</v>
      </c>
      <c r="C2246" s="7">
        <v>130</v>
      </c>
      <c r="D2246" s="1">
        <v>44869</v>
      </c>
      <c r="E2246" s="29">
        <v>4.0999999999999996</v>
      </c>
      <c r="F2246" t="s">
        <v>1</v>
      </c>
      <c r="G2246" t="str">
        <f t="shared" si="35"/>
        <v>2022-11</v>
      </c>
    </row>
    <row r="2247" spans="1:7" x14ac:dyDescent="0.3">
      <c r="A2247">
        <v>4018</v>
      </c>
      <c r="B2247" t="s">
        <v>34</v>
      </c>
      <c r="C2247" s="7">
        <v>52</v>
      </c>
      <c r="D2247" s="1">
        <v>45052</v>
      </c>
      <c r="E2247" s="29">
        <v>4.0999999999999996</v>
      </c>
      <c r="F2247" t="s">
        <v>4</v>
      </c>
      <c r="G2247" t="str">
        <f t="shared" si="35"/>
        <v>2023-05</v>
      </c>
    </row>
    <row r="2248" spans="1:7" x14ac:dyDescent="0.3">
      <c r="A2248">
        <v>4034</v>
      </c>
      <c r="B2248" t="s">
        <v>32</v>
      </c>
      <c r="C2248" s="7">
        <v>84.528571428571396</v>
      </c>
      <c r="D2248" s="1">
        <v>45151</v>
      </c>
      <c r="E2248" s="29">
        <v>3.0542857142857098</v>
      </c>
      <c r="F2248" t="s">
        <v>1</v>
      </c>
      <c r="G2248" t="str">
        <f t="shared" si="35"/>
        <v>2023-08</v>
      </c>
    </row>
    <row r="2249" spans="1:7" x14ac:dyDescent="0.3">
      <c r="A2249">
        <v>4065</v>
      </c>
      <c r="B2249" t="s">
        <v>17</v>
      </c>
      <c r="C2249" s="7">
        <v>71</v>
      </c>
      <c r="D2249" s="1">
        <v>44932</v>
      </c>
      <c r="E2249" s="29">
        <v>2.2000000000000002</v>
      </c>
      <c r="F2249" t="s">
        <v>4</v>
      </c>
      <c r="G2249" t="str">
        <f t="shared" si="35"/>
        <v>2023-01</v>
      </c>
    </row>
    <row r="2250" spans="1:7" x14ac:dyDescent="0.3">
      <c r="A2250">
        <v>4086</v>
      </c>
      <c r="B2250" t="s">
        <v>45</v>
      </c>
      <c r="C2250" s="7">
        <v>81</v>
      </c>
      <c r="D2250" s="1">
        <v>44952</v>
      </c>
      <c r="E2250" s="29">
        <v>1.8</v>
      </c>
      <c r="F2250" t="s">
        <v>4</v>
      </c>
      <c r="G2250" t="str">
        <f t="shared" si="35"/>
        <v>2023-01</v>
      </c>
    </row>
    <row r="2251" spans="1:7" x14ac:dyDescent="0.3">
      <c r="A2251">
        <v>3985</v>
      </c>
      <c r="B2251" t="s">
        <v>47</v>
      </c>
      <c r="C2251" s="7">
        <v>106.297872340425</v>
      </c>
      <c r="D2251" s="1">
        <v>44925</v>
      </c>
      <c r="E2251" s="29">
        <v>4.4000000000000004</v>
      </c>
      <c r="F2251" t="s">
        <v>1</v>
      </c>
      <c r="G2251" t="str">
        <f t="shared" si="35"/>
        <v>2022-12</v>
      </c>
    </row>
    <row r="2252" spans="1:7" x14ac:dyDescent="0.3">
      <c r="A2252">
        <v>3972</v>
      </c>
      <c r="B2252" t="s">
        <v>20</v>
      </c>
      <c r="C2252" s="7">
        <v>174</v>
      </c>
      <c r="D2252" s="1">
        <v>45100</v>
      </c>
      <c r="E2252" s="29">
        <v>2.1</v>
      </c>
      <c r="F2252" t="s">
        <v>1</v>
      </c>
      <c r="G2252" t="str">
        <f t="shared" si="35"/>
        <v>2023-06</v>
      </c>
    </row>
    <row r="2253" spans="1:7" x14ac:dyDescent="0.3">
      <c r="A2253">
        <v>4052</v>
      </c>
      <c r="B2253" t="s">
        <v>33</v>
      </c>
      <c r="C2253" s="7">
        <v>70</v>
      </c>
      <c r="D2253" s="1">
        <v>44978</v>
      </c>
      <c r="E2253" s="29">
        <v>2.8</v>
      </c>
      <c r="F2253" t="s">
        <v>4</v>
      </c>
      <c r="G2253" t="str">
        <f t="shared" si="35"/>
        <v>2023-02</v>
      </c>
    </row>
    <row r="2254" spans="1:7" x14ac:dyDescent="0.3">
      <c r="A2254">
        <v>4023</v>
      </c>
      <c r="B2254" t="s">
        <v>41</v>
      </c>
      <c r="C2254" s="7">
        <v>93.135593220338905</v>
      </c>
      <c r="D2254" s="1">
        <v>44986</v>
      </c>
      <c r="E2254" s="29">
        <v>4.0999999999999996</v>
      </c>
      <c r="F2254" t="s">
        <v>4</v>
      </c>
      <c r="G2254" t="str">
        <f t="shared" si="35"/>
        <v>2023-03</v>
      </c>
    </row>
    <row r="2255" spans="1:7" x14ac:dyDescent="0.3">
      <c r="A2255">
        <v>4117</v>
      </c>
      <c r="B2255" t="s">
        <v>25</v>
      </c>
      <c r="C2255" s="7">
        <v>156</v>
      </c>
      <c r="D2255" s="1">
        <v>44906</v>
      </c>
      <c r="E2255" s="29">
        <v>2.5</v>
      </c>
      <c r="F2255" t="s">
        <v>1</v>
      </c>
      <c r="G2255" t="str">
        <f t="shared" si="35"/>
        <v>2022-12</v>
      </c>
    </row>
    <row r="2256" spans="1:7" x14ac:dyDescent="0.3">
      <c r="A2256">
        <v>4086</v>
      </c>
      <c r="B2256" t="s">
        <v>17</v>
      </c>
      <c r="C2256" s="7">
        <v>137</v>
      </c>
      <c r="D2256" s="1">
        <v>44944</v>
      </c>
      <c r="E2256" s="29">
        <v>3.2</v>
      </c>
      <c r="F2256" t="s">
        <v>4</v>
      </c>
      <c r="G2256" t="str">
        <f t="shared" si="35"/>
        <v>2023-01</v>
      </c>
    </row>
    <row r="2257" spans="1:7" x14ac:dyDescent="0.3">
      <c r="A2257">
        <v>4047</v>
      </c>
      <c r="B2257" t="s">
        <v>8</v>
      </c>
      <c r="C2257" s="7">
        <v>40</v>
      </c>
      <c r="D2257" s="1">
        <v>44988</v>
      </c>
      <c r="E2257" s="29">
        <v>1.6</v>
      </c>
      <c r="F2257" t="s">
        <v>1</v>
      </c>
      <c r="G2257" t="str">
        <f t="shared" si="35"/>
        <v>2023-03</v>
      </c>
    </row>
    <row r="2258" spans="1:7" x14ac:dyDescent="0.3">
      <c r="A2258">
        <v>3988</v>
      </c>
      <c r="B2258" t="s">
        <v>5</v>
      </c>
      <c r="C2258" s="7">
        <v>200</v>
      </c>
      <c r="D2258" s="1">
        <v>45089</v>
      </c>
      <c r="E2258" s="29">
        <v>2.5</v>
      </c>
      <c r="F2258" t="s">
        <v>4</v>
      </c>
      <c r="G2258" t="str">
        <f t="shared" si="35"/>
        <v>2023-06</v>
      </c>
    </row>
    <row r="2259" spans="1:7" x14ac:dyDescent="0.3">
      <c r="A2259">
        <v>3969</v>
      </c>
      <c r="B2259" t="s">
        <v>10</v>
      </c>
      <c r="C2259" s="7">
        <v>36</v>
      </c>
      <c r="D2259" s="1">
        <v>45173</v>
      </c>
      <c r="E2259" s="29">
        <v>1.4</v>
      </c>
      <c r="F2259" t="s">
        <v>1</v>
      </c>
      <c r="G2259" t="str">
        <f t="shared" si="35"/>
        <v>2023-09</v>
      </c>
    </row>
    <row r="2260" spans="1:7" x14ac:dyDescent="0.3">
      <c r="A2260">
        <v>3988</v>
      </c>
      <c r="B2260" t="s">
        <v>38</v>
      </c>
      <c r="C2260" s="7">
        <v>19</v>
      </c>
      <c r="D2260" s="1">
        <v>44872</v>
      </c>
      <c r="E2260" s="29">
        <v>3.1</v>
      </c>
      <c r="F2260" t="s">
        <v>1</v>
      </c>
      <c r="G2260" t="str">
        <f t="shared" si="35"/>
        <v>2022-11</v>
      </c>
    </row>
    <row r="2261" spans="1:7" x14ac:dyDescent="0.3">
      <c r="A2261">
        <v>4071</v>
      </c>
      <c r="B2261" t="s">
        <v>27</v>
      </c>
      <c r="C2261" s="7">
        <v>10</v>
      </c>
      <c r="D2261" s="1">
        <v>45145</v>
      </c>
      <c r="E2261" s="29">
        <v>2.6</v>
      </c>
      <c r="F2261" t="s">
        <v>4</v>
      </c>
      <c r="G2261" t="str">
        <f t="shared" si="35"/>
        <v>2023-08</v>
      </c>
    </row>
    <row r="2262" spans="1:7" x14ac:dyDescent="0.3">
      <c r="A2262">
        <v>4033</v>
      </c>
      <c r="B2262" t="s">
        <v>27</v>
      </c>
      <c r="C2262" s="7">
        <v>164</v>
      </c>
      <c r="D2262" s="1">
        <v>45138</v>
      </c>
      <c r="E2262" s="29">
        <v>3.2016129032257998</v>
      </c>
      <c r="F2262" t="s">
        <v>4</v>
      </c>
      <c r="G2262" t="str">
        <f t="shared" si="35"/>
        <v>2023-07</v>
      </c>
    </row>
    <row r="2263" spans="1:7" x14ac:dyDescent="0.3">
      <c r="A2263">
        <v>4103</v>
      </c>
      <c r="B2263" t="s">
        <v>49</v>
      </c>
      <c r="C2263" s="7">
        <v>173</v>
      </c>
      <c r="D2263" s="1">
        <v>45104</v>
      </c>
      <c r="E2263" s="29">
        <v>1.4</v>
      </c>
      <c r="F2263" t="s">
        <v>4</v>
      </c>
      <c r="G2263" t="str">
        <f t="shared" si="35"/>
        <v>2023-06</v>
      </c>
    </row>
    <row r="2264" spans="1:7" x14ac:dyDescent="0.3">
      <c r="A2264">
        <v>3958</v>
      </c>
      <c r="B2264" t="s">
        <v>50</v>
      </c>
      <c r="C2264" s="7">
        <v>140</v>
      </c>
      <c r="D2264" s="1">
        <v>44912</v>
      </c>
      <c r="E2264" s="29">
        <v>2</v>
      </c>
      <c r="F2264" t="s">
        <v>4</v>
      </c>
      <c r="G2264" t="str">
        <f t="shared" si="35"/>
        <v>2022-12</v>
      </c>
    </row>
    <row r="2265" spans="1:7" x14ac:dyDescent="0.3">
      <c r="A2265">
        <v>4073</v>
      </c>
      <c r="B2265" t="s">
        <v>26</v>
      </c>
      <c r="C2265" s="7">
        <v>177</v>
      </c>
      <c r="D2265" s="1">
        <v>45147</v>
      </c>
      <c r="E2265" s="29">
        <v>4.8</v>
      </c>
      <c r="F2265" t="s">
        <v>1</v>
      </c>
      <c r="G2265" t="str">
        <f t="shared" si="35"/>
        <v>2023-08</v>
      </c>
    </row>
    <row r="2266" spans="1:7" x14ac:dyDescent="0.3">
      <c r="A2266">
        <v>4043</v>
      </c>
      <c r="B2266" t="s">
        <v>3</v>
      </c>
      <c r="C2266" s="7">
        <v>97</v>
      </c>
      <c r="D2266" s="1">
        <v>44840</v>
      </c>
      <c r="E2266" s="29">
        <v>4.4000000000000004</v>
      </c>
      <c r="F2266" t="s">
        <v>4</v>
      </c>
      <c r="G2266" t="str">
        <f t="shared" si="35"/>
        <v>2022-10</v>
      </c>
    </row>
    <row r="2267" spans="1:7" x14ac:dyDescent="0.3">
      <c r="A2267">
        <v>4017</v>
      </c>
      <c r="B2267" t="s">
        <v>0</v>
      </c>
      <c r="C2267" s="7">
        <v>23</v>
      </c>
      <c r="D2267" s="1">
        <v>45180</v>
      </c>
      <c r="E2267" s="29">
        <v>4.7</v>
      </c>
      <c r="F2267" t="s">
        <v>1</v>
      </c>
      <c r="G2267" t="str">
        <f t="shared" si="35"/>
        <v>2023-09</v>
      </c>
    </row>
    <row r="2268" spans="1:7" x14ac:dyDescent="0.3">
      <c r="A2268">
        <v>4105</v>
      </c>
      <c r="B2268" t="s">
        <v>18</v>
      </c>
      <c r="C2268" s="7">
        <v>126</v>
      </c>
      <c r="D2268" s="1">
        <v>45083</v>
      </c>
      <c r="E2268" s="29">
        <v>3.5</v>
      </c>
      <c r="F2268" t="s">
        <v>4</v>
      </c>
      <c r="G2268" t="str">
        <f t="shared" si="35"/>
        <v>2023-06</v>
      </c>
    </row>
    <row r="2269" spans="1:7" x14ac:dyDescent="0.3">
      <c r="A2269">
        <v>4101</v>
      </c>
      <c r="B2269" t="s">
        <v>39</v>
      </c>
      <c r="C2269" s="7">
        <v>168</v>
      </c>
      <c r="D2269" s="1">
        <v>45005</v>
      </c>
      <c r="E2269" s="29">
        <v>1</v>
      </c>
      <c r="F2269" t="s">
        <v>1</v>
      </c>
      <c r="G2269" t="str">
        <f t="shared" si="35"/>
        <v>2023-03</v>
      </c>
    </row>
    <row r="2270" spans="1:7" x14ac:dyDescent="0.3">
      <c r="A2270">
        <v>4117</v>
      </c>
      <c r="B2270" t="s">
        <v>31</v>
      </c>
      <c r="C2270" s="7">
        <v>193</v>
      </c>
      <c r="D2270" s="1">
        <v>45000</v>
      </c>
      <c r="E2270" s="29">
        <v>2.2999999999999998</v>
      </c>
      <c r="F2270" t="s">
        <v>1</v>
      </c>
      <c r="G2270" t="str">
        <f t="shared" si="35"/>
        <v>2023-03</v>
      </c>
    </row>
    <row r="2271" spans="1:7" x14ac:dyDescent="0.3">
      <c r="A2271">
        <v>4093</v>
      </c>
      <c r="B2271" t="s">
        <v>20</v>
      </c>
      <c r="C2271" s="7">
        <v>193</v>
      </c>
      <c r="D2271" s="1">
        <v>44879</v>
      </c>
      <c r="E2271" s="29">
        <v>3.2</v>
      </c>
      <c r="F2271" t="s">
        <v>1</v>
      </c>
      <c r="G2271" t="str">
        <f t="shared" si="35"/>
        <v>2022-11</v>
      </c>
    </row>
    <row r="2272" spans="1:7" x14ac:dyDescent="0.3">
      <c r="A2272">
        <v>4109</v>
      </c>
      <c r="B2272" t="s">
        <v>3</v>
      </c>
      <c r="C2272" s="7">
        <v>34</v>
      </c>
      <c r="D2272" s="1">
        <v>45004</v>
      </c>
      <c r="E2272" s="29">
        <v>1</v>
      </c>
      <c r="F2272" t="s">
        <v>4</v>
      </c>
      <c r="G2272" t="str">
        <f t="shared" si="35"/>
        <v>2023-03</v>
      </c>
    </row>
    <row r="2273" spans="1:7" x14ac:dyDescent="0.3">
      <c r="A2273">
        <v>4016</v>
      </c>
      <c r="B2273" t="s">
        <v>5</v>
      </c>
      <c r="C2273" s="7">
        <v>66</v>
      </c>
      <c r="D2273" s="1">
        <v>44973</v>
      </c>
      <c r="E2273" s="29">
        <v>1.4</v>
      </c>
      <c r="F2273" t="s">
        <v>4</v>
      </c>
      <c r="G2273" t="str">
        <f t="shared" si="35"/>
        <v>2023-02</v>
      </c>
    </row>
    <row r="2274" spans="1:7" x14ac:dyDescent="0.3">
      <c r="A2274">
        <v>4046</v>
      </c>
      <c r="B2274" t="s">
        <v>49</v>
      </c>
      <c r="C2274" s="7">
        <v>114.217391304347</v>
      </c>
      <c r="D2274" s="1">
        <v>45189</v>
      </c>
      <c r="E2274" s="29">
        <v>4.0999999999999996</v>
      </c>
      <c r="F2274" t="s">
        <v>4</v>
      </c>
      <c r="G2274" t="str">
        <f t="shared" si="35"/>
        <v>2023-09</v>
      </c>
    </row>
    <row r="2275" spans="1:7" x14ac:dyDescent="0.3">
      <c r="A2275">
        <v>4033</v>
      </c>
      <c r="B2275" t="s">
        <v>25</v>
      </c>
      <c r="C2275" s="7">
        <v>172</v>
      </c>
      <c r="D2275" s="1">
        <v>45011</v>
      </c>
      <c r="E2275" s="29">
        <v>4.2</v>
      </c>
      <c r="F2275" t="s">
        <v>1</v>
      </c>
      <c r="G2275" t="str">
        <f t="shared" si="35"/>
        <v>2023-03</v>
      </c>
    </row>
    <row r="2276" spans="1:7" x14ac:dyDescent="0.3">
      <c r="A2276">
        <v>4029</v>
      </c>
      <c r="B2276" t="s">
        <v>49</v>
      </c>
      <c r="C2276" s="7">
        <v>84</v>
      </c>
      <c r="D2276" s="1">
        <v>44900</v>
      </c>
      <c r="E2276" s="29">
        <v>3.5</v>
      </c>
      <c r="F2276" t="s">
        <v>4</v>
      </c>
      <c r="G2276" t="str">
        <f t="shared" si="35"/>
        <v>2022-12</v>
      </c>
    </row>
    <row r="2277" spans="1:7" x14ac:dyDescent="0.3">
      <c r="A2277">
        <v>4103</v>
      </c>
      <c r="B2277" t="s">
        <v>46</v>
      </c>
      <c r="C2277" s="7">
        <v>105</v>
      </c>
      <c r="D2277" s="1">
        <v>45035</v>
      </c>
      <c r="E2277" s="29">
        <v>4.8</v>
      </c>
      <c r="F2277" t="s">
        <v>4</v>
      </c>
      <c r="G2277" t="str">
        <f t="shared" si="35"/>
        <v>2023-04</v>
      </c>
    </row>
    <row r="2278" spans="1:7" x14ac:dyDescent="0.3">
      <c r="A2278">
        <v>3992</v>
      </c>
      <c r="B2278" t="s">
        <v>22</v>
      </c>
      <c r="C2278" s="7">
        <v>21</v>
      </c>
      <c r="D2278" s="1">
        <v>44865</v>
      </c>
      <c r="E2278" s="29">
        <v>2.4</v>
      </c>
      <c r="F2278" t="s">
        <v>4</v>
      </c>
      <c r="G2278" t="str">
        <f t="shared" si="35"/>
        <v>2022-10</v>
      </c>
    </row>
    <row r="2279" spans="1:7" x14ac:dyDescent="0.3">
      <c r="A2279">
        <v>4053</v>
      </c>
      <c r="B2279" t="s">
        <v>21</v>
      </c>
      <c r="C2279" s="7">
        <v>136</v>
      </c>
      <c r="D2279" s="1">
        <v>45062</v>
      </c>
      <c r="E2279" s="29">
        <v>3.5</v>
      </c>
      <c r="F2279" t="s">
        <v>4</v>
      </c>
      <c r="G2279" t="str">
        <f t="shared" si="35"/>
        <v>2023-05</v>
      </c>
    </row>
    <row r="2280" spans="1:7" x14ac:dyDescent="0.3">
      <c r="A2280">
        <v>4090</v>
      </c>
      <c r="B2280" t="s">
        <v>11</v>
      </c>
      <c r="C2280" s="7">
        <v>109.08474576271099</v>
      </c>
      <c r="D2280" s="1">
        <v>45001</v>
      </c>
      <c r="E2280" s="29">
        <v>2.2999999999999998</v>
      </c>
      <c r="F2280" t="s">
        <v>1</v>
      </c>
      <c r="G2280" t="str">
        <f t="shared" si="35"/>
        <v>2023-03</v>
      </c>
    </row>
    <row r="2281" spans="1:7" x14ac:dyDescent="0.3">
      <c r="A2281">
        <v>4020</v>
      </c>
      <c r="B2281" t="s">
        <v>33</v>
      </c>
      <c r="C2281" s="7">
        <v>194</v>
      </c>
      <c r="D2281" s="1">
        <v>45059</v>
      </c>
      <c r="E2281" s="29">
        <v>2.4</v>
      </c>
      <c r="F2281" t="s">
        <v>4</v>
      </c>
      <c r="G2281" t="str">
        <f t="shared" si="35"/>
        <v>2023-05</v>
      </c>
    </row>
    <row r="2282" spans="1:7" x14ac:dyDescent="0.3">
      <c r="A2282">
        <v>3983</v>
      </c>
      <c r="B2282" t="s">
        <v>32</v>
      </c>
      <c r="C2282" s="7">
        <v>75</v>
      </c>
      <c r="D2282" s="1">
        <v>45127</v>
      </c>
      <c r="E2282" s="29">
        <v>3.1</v>
      </c>
      <c r="F2282" t="s">
        <v>4</v>
      </c>
      <c r="G2282" t="str">
        <f t="shared" si="35"/>
        <v>2023-07</v>
      </c>
    </row>
    <row r="2283" spans="1:7" x14ac:dyDescent="0.3">
      <c r="A2283">
        <v>4040</v>
      </c>
      <c r="B2283" t="s">
        <v>27</v>
      </c>
      <c r="C2283" s="7">
        <v>58</v>
      </c>
      <c r="D2283" s="1">
        <v>45189</v>
      </c>
      <c r="E2283" s="29">
        <v>2.7</v>
      </c>
      <c r="F2283" t="s">
        <v>4</v>
      </c>
      <c r="G2283" t="str">
        <f t="shared" si="35"/>
        <v>2023-09</v>
      </c>
    </row>
    <row r="2284" spans="1:7" x14ac:dyDescent="0.3">
      <c r="A2284">
        <v>4089</v>
      </c>
      <c r="B2284" t="s">
        <v>17</v>
      </c>
      <c r="C2284" s="7">
        <v>119.195652173913</v>
      </c>
      <c r="D2284" s="1">
        <v>45147</v>
      </c>
      <c r="E2284" s="29">
        <v>3.8</v>
      </c>
      <c r="F2284" t="s">
        <v>1</v>
      </c>
      <c r="G2284" t="str">
        <f t="shared" si="35"/>
        <v>2023-08</v>
      </c>
    </row>
    <row r="2285" spans="1:7" x14ac:dyDescent="0.3">
      <c r="A2285">
        <v>4106</v>
      </c>
      <c r="B2285" t="s">
        <v>27</v>
      </c>
      <c r="C2285" s="7">
        <v>65</v>
      </c>
      <c r="D2285" s="1">
        <v>45154</v>
      </c>
      <c r="E2285" s="29">
        <v>4.5999999999999996</v>
      </c>
      <c r="F2285" t="s">
        <v>4</v>
      </c>
      <c r="G2285" t="str">
        <f t="shared" si="35"/>
        <v>2023-08</v>
      </c>
    </row>
    <row r="2286" spans="1:7" x14ac:dyDescent="0.3">
      <c r="A2286">
        <v>4006</v>
      </c>
      <c r="B2286" t="s">
        <v>34</v>
      </c>
      <c r="C2286" s="7">
        <v>58</v>
      </c>
      <c r="D2286" s="1">
        <v>44871</v>
      </c>
      <c r="E2286" s="29">
        <v>4.5</v>
      </c>
      <c r="F2286" t="s">
        <v>1</v>
      </c>
      <c r="G2286" t="str">
        <f t="shared" si="35"/>
        <v>2022-11</v>
      </c>
    </row>
    <row r="2287" spans="1:7" x14ac:dyDescent="0.3">
      <c r="A2287">
        <v>4049</v>
      </c>
      <c r="B2287" t="s">
        <v>51</v>
      </c>
      <c r="C2287" s="7">
        <v>37</v>
      </c>
      <c r="D2287" s="1">
        <v>44939</v>
      </c>
      <c r="E2287" s="29">
        <v>2.6</v>
      </c>
      <c r="F2287" t="s">
        <v>4</v>
      </c>
      <c r="G2287" t="str">
        <f t="shared" si="35"/>
        <v>2023-01</v>
      </c>
    </row>
    <row r="2288" spans="1:7" x14ac:dyDescent="0.3">
      <c r="A2288">
        <v>4073</v>
      </c>
      <c r="B2288" t="s">
        <v>48</v>
      </c>
      <c r="C2288" s="7">
        <v>21</v>
      </c>
      <c r="D2288" s="1">
        <v>45118</v>
      </c>
      <c r="E2288" s="29">
        <v>1.3</v>
      </c>
      <c r="F2288" t="s">
        <v>1</v>
      </c>
      <c r="G2288" t="str">
        <f t="shared" si="35"/>
        <v>2023-07</v>
      </c>
    </row>
    <row r="2289" spans="1:7" x14ac:dyDescent="0.3">
      <c r="A2289">
        <v>3982</v>
      </c>
      <c r="B2289" t="s">
        <v>38</v>
      </c>
      <c r="C2289" s="7">
        <v>182</v>
      </c>
      <c r="D2289" s="1">
        <v>44949</v>
      </c>
      <c r="E2289" s="29">
        <v>4.9000000000000004</v>
      </c>
      <c r="F2289" t="s">
        <v>1</v>
      </c>
      <c r="G2289" t="str">
        <f t="shared" si="35"/>
        <v>2023-01</v>
      </c>
    </row>
    <row r="2290" spans="1:7" x14ac:dyDescent="0.3">
      <c r="A2290">
        <v>3994</v>
      </c>
      <c r="B2290" t="s">
        <v>6</v>
      </c>
      <c r="C2290" s="7">
        <v>125</v>
      </c>
      <c r="D2290" s="1">
        <v>44899</v>
      </c>
      <c r="E2290" s="29">
        <v>1.5</v>
      </c>
      <c r="F2290" t="s">
        <v>4</v>
      </c>
      <c r="G2290" t="str">
        <f t="shared" si="35"/>
        <v>2022-12</v>
      </c>
    </row>
    <row r="2291" spans="1:7" x14ac:dyDescent="0.3">
      <c r="A2291">
        <v>4065</v>
      </c>
      <c r="B2291" t="s">
        <v>48</v>
      </c>
      <c r="C2291" s="7">
        <v>160</v>
      </c>
      <c r="D2291" s="1">
        <v>44851</v>
      </c>
      <c r="E2291" s="29">
        <v>1.9</v>
      </c>
      <c r="F2291" t="s">
        <v>1</v>
      </c>
      <c r="G2291" t="str">
        <f t="shared" si="35"/>
        <v>2022-10</v>
      </c>
    </row>
    <row r="2292" spans="1:7" x14ac:dyDescent="0.3">
      <c r="A2292">
        <v>4062</v>
      </c>
      <c r="B2292" t="s">
        <v>51</v>
      </c>
      <c r="C2292" s="7">
        <v>44</v>
      </c>
      <c r="D2292" s="1">
        <v>44837</v>
      </c>
      <c r="E2292" s="29">
        <v>3.19629629629629</v>
      </c>
      <c r="F2292" t="s">
        <v>4</v>
      </c>
      <c r="G2292" t="str">
        <f t="shared" si="35"/>
        <v>2022-10</v>
      </c>
    </row>
    <row r="2293" spans="1:7" x14ac:dyDescent="0.3">
      <c r="A2293">
        <v>3977</v>
      </c>
      <c r="B2293" t="s">
        <v>32</v>
      </c>
      <c r="C2293" s="7">
        <v>11</v>
      </c>
      <c r="D2293" s="1">
        <v>45037</v>
      </c>
      <c r="E2293" s="29">
        <v>4.7</v>
      </c>
      <c r="F2293" t="s">
        <v>4</v>
      </c>
      <c r="G2293" t="str">
        <f t="shared" si="35"/>
        <v>2023-04</v>
      </c>
    </row>
    <row r="2294" spans="1:7" x14ac:dyDescent="0.3">
      <c r="A2294">
        <v>3980</v>
      </c>
      <c r="B2294" t="s">
        <v>16</v>
      </c>
      <c r="C2294" s="7">
        <v>22</v>
      </c>
      <c r="D2294" s="1">
        <v>44981</v>
      </c>
      <c r="E2294" s="29">
        <v>5</v>
      </c>
      <c r="F2294" t="s">
        <v>4</v>
      </c>
      <c r="G2294" t="str">
        <f t="shared" si="35"/>
        <v>2023-02</v>
      </c>
    </row>
    <row r="2295" spans="1:7" x14ac:dyDescent="0.3">
      <c r="A2295">
        <v>3972</v>
      </c>
      <c r="B2295" t="s">
        <v>46</v>
      </c>
      <c r="C2295" s="7">
        <v>120</v>
      </c>
      <c r="D2295" s="1">
        <v>44961</v>
      </c>
      <c r="E2295" s="29">
        <v>4.5999999999999996</v>
      </c>
      <c r="F2295" t="s">
        <v>4</v>
      </c>
      <c r="G2295" t="str">
        <f t="shared" si="35"/>
        <v>2023-02</v>
      </c>
    </row>
    <row r="2296" spans="1:7" x14ac:dyDescent="0.3">
      <c r="A2296">
        <v>4065</v>
      </c>
      <c r="B2296" t="s">
        <v>26</v>
      </c>
      <c r="C2296" s="7">
        <v>133</v>
      </c>
      <c r="D2296" s="1">
        <v>44945</v>
      </c>
      <c r="E2296" s="29">
        <v>1.4</v>
      </c>
      <c r="F2296" t="s">
        <v>4</v>
      </c>
      <c r="G2296" t="str">
        <f t="shared" si="35"/>
        <v>2023-01</v>
      </c>
    </row>
    <row r="2297" spans="1:7" x14ac:dyDescent="0.3">
      <c r="A2297">
        <v>3990</v>
      </c>
      <c r="B2297" t="s">
        <v>33</v>
      </c>
      <c r="C2297" s="7">
        <v>55</v>
      </c>
      <c r="D2297" s="1">
        <v>45180</v>
      </c>
      <c r="E2297" s="29">
        <v>3.4</v>
      </c>
      <c r="F2297" t="s">
        <v>1</v>
      </c>
      <c r="G2297" t="str">
        <f t="shared" si="35"/>
        <v>2023-09</v>
      </c>
    </row>
    <row r="2298" spans="1:7" x14ac:dyDescent="0.3">
      <c r="A2298">
        <v>4078</v>
      </c>
      <c r="B2298" t="s">
        <v>29</v>
      </c>
      <c r="C2298" s="7">
        <v>54</v>
      </c>
      <c r="D2298" s="1">
        <v>44915</v>
      </c>
      <c r="E2298" s="29">
        <v>2.69137931034482</v>
      </c>
      <c r="F2298" t="s">
        <v>1</v>
      </c>
      <c r="G2298" t="str">
        <f t="shared" si="35"/>
        <v>2022-12</v>
      </c>
    </row>
    <row r="2299" spans="1:7" x14ac:dyDescent="0.3">
      <c r="A2299">
        <v>4011</v>
      </c>
      <c r="B2299" t="s">
        <v>30</v>
      </c>
      <c r="C2299" s="7">
        <v>42</v>
      </c>
      <c r="D2299" s="1">
        <v>44930</v>
      </c>
      <c r="E2299" s="29">
        <v>3.4</v>
      </c>
      <c r="F2299" t="s">
        <v>1</v>
      </c>
      <c r="G2299" t="str">
        <f t="shared" si="35"/>
        <v>2023-01</v>
      </c>
    </row>
    <row r="2300" spans="1:7" x14ac:dyDescent="0.3">
      <c r="A2300">
        <v>4071</v>
      </c>
      <c r="B2300" t="s">
        <v>43</v>
      </c>
      <c r="C2300" s="7">
        <v>117.354166666666</v>
      </c>
      <c r="D2300" s="1">
        <v>45057</v>
      </c>
      <c r="E2300" s="29">
        <v>4.8</v>
      </c>
      <c r="F2300" t="s">
        <v>1</v>
      </c>
      <c r="G2300" t="str">
        <f t="shared" si="35"/>
        <v>2023-05</v>
      </c>
    </row>
    <row r="2301" spans="1:7" x14ac:dyDescent="0.3">
      <c r="A2301">
        <v>3976</v>
      </c>
      <c r="B2301" t="s">
        <v>19</v>
      </c>
      <c r="C2301" s="7">
        <v>165</v>
      </c>
      <c r="D2301" s="1">
        <v>45156</v>
      </c>
      <c r="E2301" s="29">
        <v>2.9</v>
      </c>
      <c r="F2301" t="s">
        <v>1</v>
      </c>
      <c r="G2301" t="str">
        <f t="shared" si="35"/>
        <v>2023-08</v>
      </c>
    </row>
    <row r="2302" spans="1:7" x14ac:dyDescent="0.3">
      <c r="A2302">
        <v>4051</v>
      </c>
      <c r="B2302" t="s">
        <v>44</v>
      </c>
      <c r="C2302" s="7">
        <v>139</v>
      </c>
      <c r="D2302" s="1">
        <v>44913</v>
      </c>
      <c r="E2302" s="29">
        <v>1.7</v>
      </c>
      <c r="F2302" t="s">
        <v>4</v>
      </c>
      <c r="G2302" t="str">
        <f t="shared" si="35"/>
        <v>2022-12</v>
      </c>
    </row>
    <row r="2303" spans="1:7" x14ac:dyDescent="0.3">
      <c r="A2303">
        <v>4091</v>
      </c>
      <c r="B2303" t="s">
        <v>51</v>
      </c>
      <c r="C2303" s="7">
        <v>117</v>
      </c>
      <c r="D2303" s="1">
        <v>44901</v>
      </c>
      <c r="E2303" s="29">
        <v>3.9</v>
      </c>
      <c r="F2303" t="s">
        <v>4</v>
      </c>
      <c r="G2303" t="str">
        <f t="shared" si="35"/>
        <v>2022-12</v>
      </c>
    </row>
    <row r="2304" spans="1:7" x14ac:dyDescent="0.3">
      <c r="A2304">
        <v>4060</v>
      </c>
      <c r="B2304" t="s">
        <v>30</v>
      </c>
      <c r="C2304" s="7">
        <v>187</v>
      </c>
      <c r="D2304" s="1">
        <v>45088</v>
      </c>
      <c r="E2304" s="29">
        <v>3</v>
      </c>
      <c r="F2304" t="s">
        <v>1</v>
      </c>
      <c r="G2304" t="str">
        <f t="shared" si="35"/>
        <v>2023-06</v>
      </c>
    </row>
    <row r="2305" spans="1:7" x14ac:dyDescent="0.3">
      <c r="A2305">
        <v>4107</v>
      </c>
      <c r="B2305" t="s">
        <v>17</v>
      </c>
      <c r="C2305" s="7">
        <v>80</v>
      </c>
      <c r="D2305" s="1">
        <v>45066</v>
      </c>
      <c r="E2305" s="29">
        <v>4.2</v>
      </c>
      <c r="F2305" t="s">
        <v>1</v>
      </c>
      <c r="G2305" t="str">
        <f t="shared" si="35"/>
        <v>2023-05</v>
      </c>
    </row>
    <row r="2306" spans="1:7" x14ac:dyDescent="0.3">
      <c r="A2306">
        <v>4100</v>
      </c>
      <c r="B2306" t="s">
        <v>15</v>
      </c>
      <c r="C2306" s="7">
        <v>97</v>
      </c>
      <c r="D2306" s="1">
        <v>45075</v>
      </c>
      <c r="E2306" s="29">
        <v>1.4</v>
      </c>
      <c r="F2306" t="s">
        <v>1</v>
      </c>
      <c r="G2306" t="str">
        <f t="shared" si="35"/>
        <v>2023-05</v>
      </c>
    </row>
    <row r="2307" spans="1:7" x14ac:dyDescent="0.3">
      <c r="A2307">
        <v>4089</v>
      </c>
      <c r="B2307" t="s">
        <v>29</v>
      </c>
      <c r="C2307" s="7">
        <v>125</v>
      </c>
      <c r="D2307" s="1">
        <v>45075</v>
      </c>
      <c r="E2307" s="29">
        <v>1.9</v>
      </c>
      <c r="F2307" t="s">
        <v>4</v>
      </c>
      <c r="G2307" t="str">
        <f t="shared" ref="G2307:G2370" si="36">TEXT(D2307,"ГГГГ-ММ")</f>
        <v>2023-05</v>
      </c>
    </row>
    <row r="2308" spans="1:7" x14ac:dyDescent="0.3">
      <c r="A2308">
        <v>4058</v>
      </c>
      <c r="B2308" t="s">
        <v>30</v>
      </c>
      <c r="C2308" s="7">
        <v>45</v>
      </c>
      <c r="D2308" s="1">
        <v>44947</v>
      </c>
      <c r="E2308" s="29">
        <v>1</v>
      </c>
      <c r="F2308" t="s">
        <v>1</v>
      </c>
      <c r="G2308" t="str">
        <f t="shared" si="36"/>
        <v>2023-01</v>
      </c>
    </row>
    <row r="2309" spans="1:7" x14ac:dyDescent="0.3">
      <c r="A2309">
        <v>4024</v>
      </c>
      <c r="B2309" t="s">
        <v>27</v>
      </c>
      <c r="C2309" s="7">
        <v>189</v>
      </c>
      <c r="D2309" s="1">
        <v>44940</v>
      </c>
      <c r="E2309" s="29">
        <v>4.7</v>
      </c>
      <c r="F2309" t="s">
        <v>1</v>
      </c>
      <c r="G2309" t="str">
        <f t="shared" si="36"/>
        <v>2023-01</v>
      </c>
    </row>
    <row r="2310" spans="1:7" x14ac:dyDescent="0.3">
      <c r="A2310">
        <v>4106</v>
      </c>
      <c r="B2310" t="s">
        <v>29</v>
      </c>
      <c r="C2310" s="7">
        <v>141</v>
      </c>
      <c r="D2310" s="1">
        <v>44874</v>
      </c>
      <c r="E2310" s="29">
        <v>3.2</v>
      </c>
      <c r="F2310" t="s">
        <v>1</v>
      </c>
      <c r="G2310" t="str">
        <f t="shared" si="36"/>
        <v>2022-11</v>
      </c>
    </row>
    <row r="2311" spans="1:7" x14ac:dyDescent="0.3">
      <c r="A2311">
        <v>4084</v>
      </c>
      <c r="B2311" t="s">
        <v>19</v>
      </c>
      <c r="C2311" s="7">
        <v>189</v>
      </c>
      <c r="D2311" s="1">
        <v>45048</v>
      </c>
      <c r="E2311" s="29">
        <v>4</v>
      </c>
      <c r="F2311" t="s">
        <v>4</v>
      </c>
      <c r="G2311" t="str">
        <f t="shared" si="36"/>
        <v>2023-05</v>
      </c>
    </row>
    <row r="2312" spans="1:7" x14ac:dyDescent="0.3">
      <c r="A2312">
        <v>4119</v>
      </c>
      <c r="B2312" t="s">
        <v>23</v>
      </c>
      <c r="C2312" s="7">
        <v>90</v>
      </c>
      <c r="D2312" s="1">
        <v>45095</v>
      </c>
      <c r="E2312" s="29">
        <v>3.3</v>
      </c>
      <c r="F2312" t="s">
        <v>4</v>
      </c>
      <c r="G2312" t="str">
        <f t="shared" si="36"/>
        <v>2023-06</v>
      </c>
    </row>
    <row r="2313" spans="1:7" x14ac:dyDescent="0.3">
      <c r="A2313">
        <v>4065</v>
      </c>
      <c r="B2313" t="s">
        <v>15</v>
      </c>
      <c r="C2313" s="7">
        <v>151</v>
      </c>
      <c r="D2313" s="1">
        <v>45194</v>
      </c>
      <c r="E2313" s="29">
        <v>1.8</v>
      </c>
      <c r="F2313" t="s">
        <v>4</v>
      </c>
      <c r="G2313" t="str">
        <f t="shared" si="36"/>
        <v>2023-09</v>
      </c>
    </row>
    <row r="2314" spans="1:7" x14ac:dyDescent="0.3">
      <c r="A2314">
        <v>4069</v>
      </c>
      <c r="B2314" t="s">
        <v>25</v>
      </c>
      <c r="C2314" s="7">
        <v>61</v>
      </c>
      <c r="D2314" s="1">
        <v>44853</v>
      </c>
      <c r="E2314" s="29">
        <v>1.9</v>
      </c>
      <c r="F2314" t="s">
        <v>1</v>
      </c>
      <c r="G2314" t="str">
        <f t="shared" si="36"/>
        <v>2022-10</v>
      </c>
    </row>
    <row r="2315" spans="1:7" x14ac:dyDescent="0.3">
      <c r="A2315">
        <v>4082</v>
      </c>
      <c r="B2315" t="s">
        <v>12</v>
      </c>
      <c r="C2315" s="7">
        <v>192</v>
      </c>
      <c r="D2315" s="1">
        <v>45039</v>
      </c>
      <c r="E2315" s="29">
        <v>2.7471698113207501</v>
      </c>
      <c r="F2315" t="s">
        <v>4</v>
      </c>
      <c r="G2315" t="str">
        <f t="shared" si="36"/>
        <v>2023-04</v>
      </c>
    </row>
    <row r="2316" spans="1:7" x14ac:dyDescent="0.3">
      <c r="A2316">
        <v>4063</v>
      </c>
      <c r="B2316" t="s">
        <v>27</v>
      </c>
      <c r="C2316" s="7">
        <v>98</v>
      </c>
      <c r="D2316" s="1">
        <v>45041</v>
      </c>
      <c r="E2316" s="29">
        <v>4.3</v>
      </c>
      <c r="F2316" t="s">
        <v>4</v>
      </c>
      <c r="G2316" t="str">
        <f t="shared" si="36"/>
        <v>2023-04</v>
      </c>
    </row>
    <row r="2317" spans="1:7" x14ac:dyDescent="0.3">
      <c r="A2317">
        <v>3998</v>
      </c>
      <c r="B2317" t="s">
        <v>7</v>
      </c>
      <c r="C2317" s="7">
        <v>43</v>
      </c>
      <c r="D2317" s="1">
        <v>44988</v>
      </c>
      <c r="E2317" s="29">
        <v>2.2000000000000002</v>
      </c>
      <c r="F2317" t="s">
        <v>4</v>
      </c>
      <c r="G2317" t="str">
        <f t="shared" si="36"/>
        <v>2023-03</v>
      </c>
    </row>
    <row r="2318" spans="1:7" x14ac:dyDescent="0.3">
      <c r="A2318">
        <v>3993</v>
      </c>
      <c r="B2318" t="s">
        <v>40</v>
      </c>
      <c r="C2318" s="7">
        <v>176</v>
      </c>
      <c r="D2318" s="1">
        <v>45080</v>
      </c>
      <c r="E2318" s="29">
        <v>3.15</v>
      </c>
      <c r="F2318" t="s">
        <v>4</v>
      </c>
      <c r="G2318" t="str">
        <f t="shared" si="36"/>
        <v>2023-06</v>
      </c>
    </row>
    <row r="2319" spans="1:7" x14ac:dyDescent="0.3">
      <c r="A2319">
        <v>4086</v>
      </c>
      <c r="B2319" t="s">
        <v>26</v>
      </c>
      <c r="C2319" s="7">
        <v>55</v>
      </c>
      <c r="D2319" s="1">
        <v>44850</v>
      </c>
      <c r="E2319" s="29">
        <v>3.5</v>
      </c>
      <c r="F2319" t="s">
        <v>4</v>
      </c>
      <c r="G2319" t="str">
        <f t="shared" si="36"/>
        <v>2022-10</v>
      </c>
    </row>
    <row r="2320" spans="1:7" x14ac:dyDescent="0.3">
      <c r="A2320">
        <v>3989</v>
      </c>
      <c r="B2320" t="s">
        <v>39</v>
      </c>
      <c r="C2320" s="7">
        <v>187</v>
      </c>
      <c r="D2320" s="1">
        <v>45062</v>
      </c>
      <c r="E2320" s="29">
        <v>3.0546875</v>
      </c>
      <c r="F2320" t="s">
        <v>4</v>
      </c>
      <c r="G2320" t="str">
        <f t="shared" si="36"/>
        <v>2023-05</v>
      </c>
    </row>
    <row r="2321" spans="1:7" x14ac:dyDescent="0.3">
      <c r="A2321">
        <v>4081</v>
      </c>
      <c r="B2321" t="s">
        <v>28</v>
      </c>
      <c r="C2321" s="7">
        <v>191</v>
      </c>
      <c r="D2321" s="1">
        <v>44837</v>
      </c>
      <c r="E2321" s="29">
        <v>3.9</v>
      </c>
      <c r="F2321" t="s">
        <v>4</v>
      </c>
      <c r="G2321" t="str">
        <f t="shared" si="36"/>
        <v>2022-10</v>
      </c>
    </row>
    <row r="2322" spans="1:7" x14ac:dyDescent="0.3">
      <c r="A2322">
        <v>4074</v>
      </c>
      <c r="B2322" t="s">
        <v>26</v>
      </c>
      <c r="C2322" s="7">
        <v>103.267857142857</v>
      </c>
      <c r="D2322" s="1">
        <v>44942</v>
      </c>
      <c r="E2322" s="29">
        <v>4</v>
      </c>
      <c r="F2322" t="s">
        <v>1</v>
      </c>
      <c r="G2322" t="str">
        <f t="shared" si="36"/>
        <v>2023-01</v>
      </c>
    </row>
    <row r="2323" spans="1:7" x14ac:dyDescent="0.3">
      <c r="A2323">
        <v>3990</v>
      </c>
      <c r="B2323" t="s">
        <v>22</v>
      </c>
      <c r="C2323" s="7">
        <v>132</v>
      </c>
      <c r="D2323" s="1">
        <v>45121</v>
      </c>
      <c r="E2323" s="29">
        <v>4.3</v>
      </c>
      <c r="F2323" t="s">
        <v>4</v>
      </c>
      <c r="G2323" t="str">
        <f t="shared" si="36"/>
        <v>2023-07</v>
      </c>
    </row>
    <row r="2324" spans="1:7" x14ac:dyDescent="0.3">
      <c r="A2324">
        <v>4088</v>
      </c>
      <c r="B2324" t="s">
        <v>41</v>
      </c>
      <c r="C2324" s="7">
        <v>180</v>
      </c>
      <c r="D2324" s="1">
        <v>45021</v>
      </c>
      <c r="E2324" s="29">
        <v>3.8</v>
      </c>
      <c r="F2324" t="s">
        <v>4</v>
      </c>
      <c r="G2324" t="str">
        <f t="shared" si="36"/>
        <v>2023-04</v>
      </c>
    </row>
    <row r="2325" spans="1:7" x14ac:dyDescent="0.3">
      <c r="A2325">
        <v>4092</v>
      </c>
      <c r="B2325" t="s">
        <v>27</v>
      </c>
      <c r="C2325" s="7">
        <v>182</v>
      </c>
      <c r="D2325" s="1">
        <v>44862</v>
      </c>
      <c r="E2325" s="29">
        <v>1.6</v>
      </c>
      <c r="F2325" t="s">
        <v>4</v>
      </c>
      <c r="G2325" t="str">
        <f t="shared" si="36"/>
        <v>2022-10</v>
      </c>
    </row>
    <row r="2326" spans="1:7" x14ac:dyDescent="0.3">
      <c r="A2326">
        <v>3987</v>
      </c>
      <c r="B2326" t="s">
        <v>6</v>
      </c>
      <c r="C2326" s="7">
        <v>146</v>
      </c>
      <c r="D2326" s="1">
        <v>44957</v>
      </c>
      <c r="E2326" s="29">
        <v>1.7</v>
      </c>
      <c r="F2326" t="s">
        <v>4</v>
      </c>
      <c r="G2326" t="str">
        <f t="shared" si="36"/>
        <v>2023-01</v>
      </c>
    </row>
    <row r="2327" spans="1:7" x14ac:dyDescent="0.3">
      <c r="A2327">
        <v>4011</v>
      </c>
      <c r="B2327" t="s">
        <v>2</v>
      </c>
      <c r="C2327" s="7">
        <v>118</v>
      </c>
      <c r="D2327" s="1">
        <v>45029</v>
      </c>
      <c r="E2327" s="29">
        <v>3.0185185185185102</v>
      </c>
      <c r="F2327" t="s">
        <v>1</v>
      </c>
      <c r="G2327" t="str">
        <f t="shared" si="36"/>
        <v>2023-04</v>
      </c>
    </row>
    <row r="2328" spans="1:7" x14ac:dyDescent="0.3">
      <c r="A2328">
        <v>4073</v>
      </c>
      <c r="B2328" t="s">
        <v>48</v>
      </c>
      <c r="C2328" s="7">
        <v>143</v>
      </c>
      <c r="D2328" s="1">
        <v>44853</v>
      </c>
      <c r="E2328" s="29">
        <v>4.4000000000000004</v>
      </c>
      <c r="F2328" t="s">
        <v>1</v>
      </c>
      <c r="G2328" t="str">
        <f t="shared" si="36"/>
        <v>2022-10</v>
      </c>
    </row>
    <row r="2329" spans="1:7" x14ac:dyDescent="0.3">
      <c r="A2329">
        <v>4078</v>
      </c>
      <c r="B2329" t="s">
        <v>9</v>
      </c>
      <c r="C2329" s="7">
        <v>103.564102564102</v>
      </c>
      <c r="D2329" s="1">
        <v>45007</v>
      </c>
      <c r="E2329" s="29">
        <v>1.3</v>
      </c>
      <c r="F2329" t="s">
        <v>1</v>
      </c>
      <c r="G2329" t="str">
        <f t="shared" si="36"/>
        <v>2023-03</v>
      </c>
    </row>
    <row r="2330" spans="1:7" x14ac:dyDescent="0.3">
      <c r="A2330">
        <v>3965</v>
      </c>
      <c r="B2330" t="s">
        <v>50</v>
      </c>
      <c r="C2330" s="7">
        <v>23</v>
      </c>
      <c r="D2330" s="1">
        <v>45150</v>
      </c>
      <c r="E2330" s="29">
        <v>1.3</v>
      </c>
      <c r="F2330" t="s">
        <v>1</v>
      </c>
      <c r="G2330" t="str">
        <f t="shared" si="36"/>
        <v>2023-08</v>
      </c>
    </row>
    <row r="2331" spans="1:7" x14ac:dyDescent="0.3">
      <c r="A2331">
        <v>3997</v>
      </c>
      <c r="B2331" t="s">
        <v>42</v>
      </c>
      <c r="C2331" s="7">
        <v>61</v>
      </c>
      <c r="D2331" s="1">
        <v>44996</v>
      </c>
      <c r="E2331" s="29">
        <v>2.7</v>
      </c>
      <c r="F2331" t="s">
        <v>1</v>
      </c>
      <c r="G2331" t="str">
        <f t="shared" si="36"/>
        <v>2023-03</v>
      </c>
    </row>
    <row r="2332" spans="1:7" x14ac:dyDescent="0.3">
      <c r="A2332">
        <v>4100</v>
      </c>
      <c r="B2332" t="s">
        <v>45</v>
      </c>
      <c r="C2332" s="7">
        <v>51</v>
      </c>
      <c r="D2332" s="1">
        <v>44922</v>
      </c>
      <c r="E2332" s="29">
        <v>1.7</v>
      </c>
      <c r="F2332" t="s">
        <v>1</v>
      </c>
      <c r="G2332" t="str">
        <f t="shared" si="36"/>
        <v>2022-12</v>
      </c>
    </row>
    <row r="2333" spans="1:7" x14ac:dyDescent="0.3">
      <c r="A2333">
        <v>4051</v>
      </c>
      <c r="B2333" t="s">
        <v>6</v>
      </c>
      <c r="C2333" s="7">
        <v>184</v>
      </c>
      <c r="D2333" s="1">
        <v>45155</v>
      </c>
      <c r="E2333" s="29">
        <v>3.9</v>
      </c>
      <c r="F2333" t="s">
        <v>4</v>
      </c>
      <c r="G2333" t="str">
        <f t="shared" si="36"/>
        <v>2023-08</v>
      </c>
    </row>
    <row r="2334" spans="1:7" x14ac:dyDescent="0.3">
      <c r="A2334">
        <v>3987</v>
      </c>
      <c r="B2334" t="s">
        <v>20</v>
      </c>
      <c r="C2334" s="7">
        <v>25</v>
      </c>
      <c r="D2334" s="1">
        <v>45093</v>
      </c>
      <c r="E2334" s="29">
        <v>3.1</v>
      </c>
      <c r="F2334" t="s">
        <v>4</v>
      </c>
      <c r="G2334" t="str">
        <f t="shared" si="36"/>
        <v>2023-06</v>
      </c>
    </row>
    <row r="2335" spans="1:7" x14ac:dyDescent="0.3">
      <c r="A2335">
        <v>4111</v>
      </c>
      <c r="B2335" t="s">
        <v>28</v>
      </c>
      <c r="C2335" s="7">
        <v>85</v>
      </c>
      <c r="D2335" s="1">
        <v>44991</v>
      </c>
      <c r="E2335" s="29">
        <v>3.4</v>
      </c>
      <c r="F2335" t="s">
        <v>1</v>
      </c>
      <c r="G2335" t="str">
        <f t="shared" si="36"/>
        <v>2023-03</v>
      </c>
    </row>
    <row r="2336" spans="1:7" x14ac:dyDescent="0.3">
      <c r="A2336">
        <v>4061</v>
      </c>
      <c r="B2336" t="s">
        <v>40</v>
      </c>
      <c r="C2336" s="7">
        <v>148</v>
      </c>
      <c r="D2336" s="1">
        <v>44905</v>
      </c>
      <c r="E2336" s="29">
        <v>3.3</v>
      </c>
      <c r="F2336" t="s">
        <v>1</v>
      </c>
      <c r="G2336" t="str">
        <f t="shared" si="36"/>
        <v>2022-12</v>
      </c>
    </row>
    <row r="2337" spans="1:7" x14ac:dyDescent="0.3">
      <c r="A2337">
        <v>3985</v>
      </c>
      <c r="B2337" t="s">
        <v>14</v>
      </c>
      <c r="C2337" s="7">
        <v>102.377358490566</v>
      </c>
      <c r="D2337" s="1">
        <v>45158</v>
      </c>
      <c r="E2337" s="29">
        <v>2.8</v>
      </c>
      <c r="F2337" t="s">
        <v>4</v>
      </c>
      <c r="G2337" t="str">
        <f t="shared" si="36"/>
        <v>2023-08</v>
      </c>
    </row>
    <row r="2338" spans="1:7" x14ac:dyDescent="0.3">
      <c r="A2338">
        <v>3987</v>
      </c>
      <c r="B2338" t="s">
        <v>8</v>
      </c>
      <c r="C2338" s="7">
        <v>36</v>
      </c>
      <c r="D2338" s="1">
        <v>44983</v>
      </c>
      <c r="E2338" s="29">
        <v>3.4</v>
      </c>
      <c r="F2338" t="s">
        <v>1</v>
      </c>
      <c r="G2338" t="str">
        <f t="shared" si="36"/>
        <v>2023-02</v>
      </c>
    </row>
    <row r="2339" spans="1:7" x14ac:dyDescent="0.3">
      <c r="A2339">
        <v>4051</v>
      </c>
      <c r="B2339" t="s">
        <v>46</v>
      </c>
      <c r="C2339" s="7">
        <v>182</v>
      </c>
      <c r="D2339" s="1">
        <v>44879</v>
      </c>
      <c r="E2339" s="29">
        <v>1.9</v>
      </c>
      <c r="F2339" t="s">
        <v>4</v>
      </c>
      <c r="G2339" t="str">
        <f t="shared" si="36"/>
        <v>2022-11</v>
      </c>
    </row>
    <row r="2340" spans="1:7" x14ac:dyDescent="0.3">
      <c r="A2340">
        <v>4103</v>
      </c>
      <c r="B2340" t="s">
        <v>48</v>
      </c>
      <c r="C2340" s="7">
        <v>67</v>
      </c>
      <c r="D2340" s="1">
        <v>44855</v>
      </c>
      <c r="E2340" s="29">
        <v>1.7</v>
      </c>
      <c r="F2340" t="s">
        <v>1</v>
      </c>
      <c r="G2340" t="str">
        <f t="shared" si="36"/>
        <v>2022-10</v>
      </c>
    </row>
    <row r="2341" spans="1:7" x14ac:dyDescent="0.3">
      <c r="A2341">
        <v>4031</v>
      </c>
      <c r="B2341" t="s">
        <v>31</v>
      </c>
      <c r="C2341" s="7">
        <v>153</v>
      </c>
      <c r="D2341" s="1">
        <v>45163</v>
      </c>
      <c r="E2341" s="29">
        <v>2.8</v>
      </c>
      <c r="F2341" t="s">
        <v>4</v>
      </c>
      <c r="G2341" t="str">
        <f t="shared" si="36"/>
        <v>2023-08</v>
      </c>
    </row>
    <row r="2342" spans="1:7" x14ac:dyDescent="0.3">
      <c r="A2342">
        <v>3967</v>
      </c>
      <c r="B2342" t="s">
        <v>6</v>
      </c>
      <c r="C2342" s="7">
        <v>140</v>
      </c>
      <c r="D2342" s="1">
        <v>45078</v>
      </c>
      <c r="E2342" s="29">
        <v>3.4</v>
      </c>
      <c r="F2342" t="s">
        <v>1</v>
      </c>
      <c r="G2342" t="str">
        <f t="shared" si="36"/>
        <v>2023-06</v>
      </c>
    </row>
    <row r="2343" spans="1:7" x14ac:dyDescent="0.3">
      <c r="A2343">
        <v>4090</v>
      </c>
      <c r="B2343" t="s">
        <v>17</v>
      </c>
      <c r="C2343" s="7">
        <v>188</v>
      </c>
      <c r="D2343" s="1">
        <v>45198</v>
      </c>
      <c r="E2343" s="29">
        <v>4.2</v>
      </c>
      <c r="F2343" t="s">
        <v>4</v>
      </c>
      <c r="G2343" t="str">
        <f t="shared" si="36"/>
        <v>2023-09</v>
      </c>
    </row>
    <row r="2344" spans="1:7" x14ac:dyDescent="0.3">
      <c r="A2344">
        <v>3996</v>
      </c>
      <c r="B2344" t="s">
        <v>20</v>
      </c>
      <c r="C2344" s="7">
        <v>180</v>
      </c>
      <c r="D2344" s="1">
        <v>44988</v>
      </c>
      <c r="E2344" s="29">
        <v>1.8</v>
      </c>
      <c r="F2344" t="s">
        <v>4</v>
      </c>
      <c r="G2344" t="str">
        <f t="shared" si="36"/>
        <v>2023-03</v>
      </c>
    </row>
    <row r="2345" spans="1:7" x14ac:dyDescent="0.3">
      <c r="A2345">
        <v>3987</v>
      </c>
      <c r="B2345" t="s">
        <v>17</v>
      </c>
      <c r="C2345" s="7">
        <v>119.195652173913</v>
      </c>
      <c r="D2345" s="1">
        <v>44863</v>
      </c>
      <c r="E2345" s="29">
        <v>4.0999999999999996</v>
      </c>
      <c r="F2345" t="s">
        <v>4</v>
      </c>
      <c r="G2345" t="str">
        <f t="shared" si="36"/>
        <v>2022-10</v>
      </c>
    </row>
    <row r="2346" spans="1:7" x14ac:dyDescent="0.3">
      <c r="A2346">
        <v>4052</v>
      </c>
      <c r="B2346" t="s">
        <v>14</v>
      </c>
      <c r="C2346" s="7">
        <v>116</v>
      </c>
      <c r="D2346" s="1">
        <v>44903</v>
      </c>
      <c r="E2346" s="29">
        <v>1.4</v>
      </c>
      <c r="F2346" t="s">
        <v>4</v>
      </c>
      <c r="G2346" t="str">
        <f t="shared" si="36"/>
        <v>2022-12</v>
      </c>
    </row>
    <row r="2347" spans="1:7" x14ac:dyDescent="0.3">
      <c r="A2347">
        <v>4035</v>
      </c>
      <c r="B2347" t="s">
        <v>36</v>
      </c>
      <c r="C2347" s="7">
        <v>185</v>
      </c>
      <c r="D2347" s="1">
        <v>45089</v>
      </c>
      <c r="E2347" s="29">
        <v>4.2</v>
      </c>
      <c r="F2347" t="s">
        <v>1</v>
      </c>
      <c r="G2347" t="str">
        <f t="shared" si="36"/>
        <v>2023-06</v>
      </c>
    </row>
    <row r="2348" spans="1:7" x14ac:dyDescent="0.3">
      <c r="A2348">
        <v>4052</v>
      </c>
      <c r="B2348" t="s">
        <v>13</v>
      </c>
      <c r="C2348" s="7">
        <v>151</v>
      </c>
      <c r="D2348" s="1">
        <v>44974</v>
      </c>
      <c r="E2348" s="29">
        <v>1.2</v>
      </c>
      <c r="F2348" t="s">
        <v>4</v>
      </c>
      <c r="G2348" t="str">
        <f t="shared" si="36"/>
        <v>2023-02</v>
      </c>
    </row>
    <row r="2349" spans="1:7" x14ac:dyDescent="0.3">
      <c r="A2349">
        <v>4034</v>
      </c>
      <c r="B2349" t="s">
        <v>32</v>
      </c>
      <c r="C2349" s="7">
        <v>84.528571428571396</v>
      </c>
      <c r="D2349" s="1">
        <v>44845</v>
      </c>
      <c r="E2349" s="29">
        <v>3.1</v>
      </c>
      <c r="F2349" t="s">
        <v>1</v>
      </c>
      <c r="G2349" t="str">
        <f t="shared" si="36"/>
        <v>2022-10</v>
      </c>
    </row>
    <row r="2350" spans="1:7" x14ac:dyDescent="0.3">
      <c r="A2350">
        <v>4032</v>
      </c>
      <c r="B2350" t="s">
        <v>19</v>
      </c>
      <c r="C2350" s="7">
        <v>61</v>
      </c>
      <c r="D2350" s="1">
        <v>45181</v>
      </c>
      <c r="E2350" s="29">
        <v>3.2</v>
      </c>
      <c r="F2350" t="s">
        <v>4</v>
      </c>
      <c r="G2350" t="str">
        <f t="shared" si="36"/>
        <v>2023-09</v>
      </c>
    </row>
    <row r="2351" spans="1:7" x14ac:dyDescent="0.3">
      <c r="A2351">
        <v>4081</v>
      </c>
      <c r="B2351" t="s">
        <v>43</v>
      </c>
      <c r="C2351" s="7">
        <v>123</v>
      </c>
      <c r="D2351" s="1">
        <v>45167</v>
      </c>
      <c r="E2351" s="29">
        <v>3.6</v>
      </c>
      <c r="F2351" t="s">
        <v>4</v>
      </c>
      <c r="G2351" t="str">
        <f t="shared" si="36"/>
        <v>2023-08</v>
      </c>
    </row>
    <row r="2352" spans="1:7" x14ac:dyDescent="0.3">
      <c r="A2352">
        <v>3964</v>
      </c>
      <c r="B2352" t="s">
        <v>48</v>
      </c>
      <c r="C2352" s="7">
        <v>172</v>
      </c>
      <c r="D2352" s="1">
        <v>45058</v>
      </c>
      <c r="E2352" s="29">
        <v>4.3</v>
      </c>
      <c r="F2352" t="s">
        <v>1</v>
      </c>
      <c r="G2352" t="str">
        <f t="shared" si="36"/>
        <v>2023-05</v>
      </c>
    </row>
    <row r="2353" spans="1:7" x14ac:dyDescent="0.3">
      <c r="A2353">
        <v>3993</v>
      </c>
      <c r="B2353" t="s">
        <v>19</v>
      </c>
      <c r="C2353" s="7">
        <v>175</v>
      </c>
      <c r="D2353" s="1">
        <v>45078</v>
      </c>
      <c r="E2353" s="29">
        <v>3.2083333333333299</v>
      </c>
      <c r="F2353" t="s">
        <v>4</v>
      </c>
      <c r="G2353" t="str">
        <f t="shared" si="36"/>
        <v>2023-06</v>
      </c>
    </row>
    <row r="2354" spans="1:7" x14ac:dyDescent="0.3">
      <c r="A2354">
        <v>3993</v>
      </c>
      <c r="B2354" t="s">
        <v>17</v>
      </c>
      <c r="C2354" s="7">
        <v>160</v>
      </c>
      <c r="D2354" s="1">
        <v>45023</v>
      </c>
      <c r="E2354" s="29">
        <v>4.5</v>
      </c>
      <c r="F2354" t="s">
        <v>1</v>
      </c>
      <c r="G2354" t="str">
        <f t="shared" si="36"/>
        <v>2023-04</v>
      </c>
    </row>
    <row r="2355" spans="1:7" x14ac:dyDescent="0.3">
      <c r="A2355">
        <v>4107</v>
      </c>
      <c r="B2355" t="s">
        <v>12</v>
      </c>
      <c r="C2355" s="7">
        <v>164</v>
      </c>
      <c r="D2355" s="1">
        <v>45095</v>
      </c>
      <c r="E2355" s="29">
        <v>2</v>
      </c>
      <c r="F2355" t="s">
        <v>1</v>
      </c>
      <c r="G2355" t="str">
        <f t="shared" si="36"/>
        <v>2023-06</v>
      </c>
    </row>
    <row r="2356" spans="1:7" x14ac:dyDescent="0.3">
      <c r="A2356">
        <v>4064</v>
      </c>
      <c r="B2356" t="s">
        <v>10</v>
      </c>
      <c r="C2356" s="7">
        <v>120.375</v>
      </c>
      <c r="D2356" s="1">
        <v>44921</v>
      </c>
      <c r="E2356" s="29">
        <v>2.91904761904761</v>
      </c>
      <c r="F2356" t="s">
        <v>1</v>
      </c>
      <c r="G2356" t="str">
        <f t="shared" si="36"/>
        <v>2022-12</v>
      </c>
    </row>
    <row r="2357" spans="1:7" x14ac:dyDescent="0.3">
      <c r="A2357">
        <v>3969</v>
      </c>
      <c r="B2357" t="s">
        <v>18</v>
      </c>
      <c r="C2357" s="7">
        <v>59</v>
      </c>
      <c r="D2357" s="1">
        <v>45055</v>
      </c>
      <c r="E2357" s="29">
        <v>3.2</v>
      </c>
      <c r="F2357" t="s">
        <v>1</v>
      </c>
      <c r="G2357" t="str">
        <f t="shared" si="36"/>
        <v>2023-05</v>
      </c>
    </row>
    <row r="2358" spans="1:7" x14ac:dyDescent="0.3">
      <c r="A2358">
        <v>4035</v>
      </c>
      <c r="B2358" t="s">
        <v>33</v>
      </c>
      <c r="C2358" s="7">
        <v>55</v>
      </c>
      <c r="D2358" s="1">
        <v>45068</v>
      </c>
      <c r="E2358" s="29">
        <v>2.96470588235294</v>
      </c>
      <c r="F2358" t="s">
        <v>1</v>
      </c>
      <c r="G2358" t="str">
        <f t="shared" si="36"/>
        <v>2023-05</v>
      </c>
    </row>
    <row r="2359" spans="1:7" x14ac:dyDescent="0.3">
      <c r="A2359">
        <v>4029</v>
      </c>
      <c r="B2359" t="s">
        <v>5</v>
      </c>
      <c r="C2359" s="7">
        <v>29</v>
      </c>
      <c r="D2359" s="1">
        <v>45051</v>
      </c>
      <c r="E2359" s="29">
        <v>1.3</v>
      </c>
      <c r="F2359" t="s">
        <v>1</v>
      </c>
      <c r="G2359" t="str">
        <f t="shared" si="36"/>
        <v>2023-05</v>
      </c>
    </row>
    <row r="2360" spans="1:7" x14ac:dyDescent="0.3">
      <c r="A2360">
        <v>4012</v>
      </c>
      <c r="B2360" t="s">
        <v>24</v>
      </c>
      <c r="C2360" s="7">
        <v>95.292307692307602</v>
      </c>
      <c r="D2360" s="1">
        <v>44906</v>
      </c>
      <c r="E2360" s="29">
        <v>1.4</v>
      </c>
      <c r="F2360" t="s">
        <v>4</v>
      </c>
      <c r="G2360" t="str">
        <f t="shared" si="36"/>
        <v>2022-12</v>
      </c>
    </row>
    <row r="2361" spans="1:7" x14ac:dyDescent="0.3">
      <c r="A2361">
        <v>4003</v>
      </c>
      <c r="B2361" t="s">
        <v>10</v>
      </c>
      <c r="C2361" s="7">
        <v>120.375</v>
      </c>
      <c r="D2361" s="1">
        <v>45026</v>
      </c>
      <c r="E2361" s="29">
        <v>3.2</v>
      </c>
      <c r="F2361" t="s">
        <v>4</v>
      </c>
      <c r="G2361" t="str">
        <f t="shared" si="36"/>
        <v>2023-04</v>
      </c>
    </row>
    <row r="2362" spans="1:7" x14ac:dyDescent="0.3">
      <c r="A2362">
        <v>4082</v>
      </c>
      <c r="B2362" t="s">
        <v>11</v>
      </c>
      <c r="C2362" s="7">
        <v>106</v>
      </c>
      <c r="D2362" s="1">
        <v>45127</v>
      </c>
      <c r="E2362" s="29">
        <v>1.2</v>
      </c>
      <c r="F2362" t="s">
        <v>1</v>
      </c>
      <c r="G2362" t="str">
        <f t="shared" si="36"/>
        <v>2023-07</v>
      </c>
    </row>
    <row r="2363" spans="1:7" x14ac:dyDescent="0.3">
      <c r="A2363">
        <v>3957</v>
      </c>
      <c r="B2363" t="s">
        <v>11</v>
      </c>
      <c r="C2363" s="7">
        <v>109.08474576271099</v>
      </c>
      <c r="D2363" s="1">
        <v>44837</v>
      </c>
      <c r="E2363" s="29">
        <v>4.4000000000000004</v>
      </c>
      <c r="F2363" t="s">
        <v>1</v>
      </c>
      <c r="G2363" t="str">
        <f t="shared" si="36"/>
        <v>2022-10</v>
      </c>
    </row>
    <row r="2364" spans="1:7" x14ac:dyDescent="0.3">
      <c r="A2364">
        <v>3988</v>
      </c>
      <c r="B2364" t="s">
        <v>42</v>
      </c>
      <c r="C2364" s="7">
        <v>77</v>
      </c>
      <c r="D2364" s="1">
        <v>45056</v>
      </c>
      <c r="E2364" s="29">
        <v>4.2</v>
      </c>
      <c r="F2364" t="s">
        <v>1</v>
      </c>
      <c r="G2364" t="str">
        <f t="shared" si="36"/>
        <v>2023-05</v>
      </c>
    </row>
    <row r="2365" spans="1:7" x14ac:dyDescent="0.3">
      <c r="A2365">
        <v>4097</v>
      </c>
      <c r="B2365" t="s">
        <v>31</v>
      </c>
      <c r="C2365" s="7">
        <v>88.827586206896498</v>
      </c>
      <c r="D2365" s="1">
        <v>44917</v>
      </c>
      <c r="E2365" s="29">
        <v>1.4</v>
      </c>
      <c r="F2365" t="s">
        <v>4</v>
      </c>
      <c r="G2365" t="str">
        <f t="shared" si="36"/>
        <v>2022-12</v>
      </c>
    </row>
    <row r="2366" spans="1:7" x14ac:dyDescent="0.3">
      <c r="A2366">
        <v>4046</v>
      </c>
      <c r="B2366" t="s">
        <v>33</v>
      </c>
      <c r="C2366" s="7">
        <v>75</v>
      </c>
      <c r="D2366" s="1">
        <v>44843</v>
      </c>
      <c r="E2366" s="29">
        <v>2.8</v>
      </c>
      <c r="F2366" t="s">
        <v>1</v>
      </c>
      <c r="G2366" t="str">
        <f t="shared" si="36"/>
        <v>2022-10</v>
      </c>
    </row>
    <row r="2367" spans="1:7" x14ac:dyDescent="0.3">
      <c r="A2367">
        <v>3974</v>
      </c>
      <c r="B2367" t="s">
        <v>50</v>
      </c>
      <c r="C2367" s="7">
        <v>123.21818181818099</v>
      </c>
      <c r="D2367" s="1">
        <v>44856</v>
      </c>
      <c r="E2367" s="29">
        <v>3.5</v>
      </c>
      <c r="F2367" t="s">
        <v>4</v>
      </c>
      <c r="G2367" t="str">
        <f t="shared" si="36"/>
        <v>2022-10</v>
      </c>
    </row>
    <row r="2368" spans="1:7" x14ac:dyDescent="0.3">
      <c r="A2368">
        <v>3968</v>
      </c>
      <c r="B2368" t="s">
        <v>47</v>
      </c>
      <c r="C2368" s="7">
        <v>49</v>
      </c>
      <c r="D2368" s="1">
        <v>44961</v>
      </c>
      <c r="E2368" s="29">
        <v>3.1235294117647001</v>
      </c>
      <c r="F2368" t="s">
        <v>4</v>
      </c>
      <c r="G2368" t="str">
        <f t="shared" si="36"/>
        <v>2023-02</v>
      </c>
    </row>
    <row r="2369" spans="1:7" x14ac:dyDescent="0.3">
      <c r="A2369">
        <v>4063</v>
      </c>
      <c r="B2369" t="s">
        <v>35</v>
      </c>
      <c r="C2369" s="7">
        <v>97.071428571428498</v>
      </c>
      <c r="D2369" s="1">
        <v>45197</v>
      </c>
      <c r="E2369" s="29">
        <v>2.8</v>
      </c>
      <c r="F2369" t="s">
        <v>1</v>
      </c>
      <c r="G2369" t="str">
        <f t="shared" si="36"/>
        <v>2023-09</v>
      </c>
    </row>
    <row r="2370" spans="1:7" x14ac:dyDescent="0.3">
      <c r="A2370">
        <v>4080</v>
      </c>
      <c r="B2370" t="s">
        <v>0</v>
      </c>
      <c r="C2370" s="7">
        <v>162</v>
      </c>
      <c r="D2370" s="1">
        <v>45043</v>
      </c>
      <c r="E2370" s="29">
        <v>5</v>
      </c>
      <c r="F2370" t="s">
        <v>1</v>
      </c>
      <c r="G2370" t="str">
        <f t="shared" si="36"/>
        <v>2023-04</v>
      </c>
    </row>
    <row r="2371" spans="1:7" x14ac:dyDescent="0.3">
      <c r="A2371">
        <v>4103</v>
      </c>
      <c r="B2371" t="s">
        <v>16</v>
      </c>
      <c r="C2371" s="7">
        <v>110.56666666666599</v>
      </c>
      <c r="D2371" s="1">
        <v>44933</v>
      </c>
      <c r="E2371" s="29">
        <v>1.1000000000000001</v>
      </c>
      <c r="F2371" t="s">
        <v>1</v>
      </c>
      <c r="G2371" t="str">
        <f t="shared" ref="G2371:G2434" si="37">TEXT(D2371,"ГГГГ-ММ")</f>
        <v>2023-01</v>
      </c>
    </row>
    <row r="2372" spans="1:7" x14ac:dyDescent="0.3">
      <c r="A2372">
        <v>4036</v>
      </c>
      <c r="B2372" t="s">
        <v>38</v>
      </c>
      <c r="C2372" s="7">
        <v>167</v>
      </c>
      <c r="D2372" s="1">
        <v>45096</v>
      </c>
      <c r="E2372" s="29">
        <v>3.0230769230769199</v>
      </c>
      <c r="F2372" t="s">
        <v>1</v>
      </c>
      <c r="G2372" t="str">
        <f t="shared" si="37"/>
        <v>2023-06</v>
      </c>
    </row>
    <row r="2373" spans="1:7" x14ac:dyDescent="0.3">
      <c r="A2373">
        <v>4101</v>
      </c>
      <c r="B2373" t="s">
        <v>8</v>
      </c>
      <c r="C2373" s="7">
        <v>87</v>
      </c>
      <c r="D2373" s="1">
        <v>45175</v>
      </c>
      <c r="E2373" s="29">
        <v>2.9230769230769198</v>
      </c>
      <c r="F2373" t="s">
        <v>4</v>
      </c>
      <c r="G2373" t="str">
        <f t="shared" si="37"/>
        <v>2023-09</v>
      </c>
    </row>
    <row r="2374" spans="1:7" x14ac:dyDescent="0.3">
      <c r="A2374">
        <v>4072</v>
      </c>
      <c r="B2374" t="s">
        <v>30</v>
      </c>
      <c r="C2374" s="7">
        <v>156</v>
      </c>
      <c r="D2374" s="1">
        <v>45018</v>
      </c>
      <c r="E2374" s="29">
        <v>1.1000000000000001</v>
      </c>
      <c r="F2374" t="s">
        <v>4</v>
      </c>
      <c r="G2374" t="str">
        <f t="shared" si="37"/>
        <v>2023-04</v>
      </c>
    </row>
    <row r="2375" spans="1:7" x14ac:dyDescent="0.3">
      <c r="A2375">
        <v>4043</v>
      </c>
      <c r="B2375" t="s">
        <v>37</v>
      </c>
      <c r="C2375" s="7">
        <v>28</v>
      </c>
      <c r="D2375" s="1">
        <v>45160</v>
      </c>
      <c r="E2375" s="29">
        <v>1.1000000000000001</v>
      </c>
      <c r="F2375" t="s">
        <v>1</v>
      </c>
      <c r="G2375" t="str">
        <f t="shared" si="37"/>
        <v>2023-08</v>
      </c>
    </row>
    <row r="2376" spans="1:7" x14ac:dyDescent="0.3">
      <c r="A2376">
        <v>4053</v>
      </c>
      <c r="B2376" t="s">
        <v>36</v>
      </c>
      <c r="C2376" s="7">
        <v>91</v>
      </c>
      <c r="D2376" s="1">
        <v>45042</v>
      </c>
      <c r="E2376" s="29">
        <v>4</v>
      </c>
      <c r="F2376" t="s">
        <v>4</v>
      </c>
      <c r="G2376" t="str">
        <f t="shared" si="37"/>
        <v>2023-04</v>
      </c>
    </row>
    <row r="2377" spans="1:7" x14ac:dyDescent="0.3">
      <c r="A2377">
        <v>4078</v>
      </c>
      <c r="B2377" t="s">
        <v>44</v>
      </c>
      <c r="C2377" s="7">
        <v>57</v>
      </c>
      <c r="D2377" s="1">
        <v>44970</v>
      </c>
      <c r="E2377" s="29">
        <v>3.3</v>
      </c>
      <c r="F2377" t="s">
        <v>4</v>
      </c>
      <c r="G2377" t="str">
        <f t="shared" si="37"/>
        <v>2023-02</v>
      </c>
    </row>
    <row r="2378" spans="1:7" x14ac:dyDescent="0.3">
      <c r="A2378">
        <v>4112</v>
      </c>
      <c r="B2378" t="s">
        <v>31</v>
      </c>
      <c r="C2378" s="7">
        <v>139</v>
      </c>
      <c r="D2378" s="1">
        <v>45046</v>
      </c>
      <c r="E2378" s="29">
        <v>2.6590163934426201</v>
      </c>
      <c r="F2378" t="s">
        <v>1</v>
      </c>
      <c r="G2378" t="str">
        <f t="shared" si="37"/>
        <v>2023-04</v>
      </c>
    </row>
    <row r="2379" spans="1:7" x14ac:dyDescent="0.3">
      <c r="A2379">
        <v>3990</v>
      </c>
      <c r="B2379" t="s">
        <v>46</v>
      </c>
      <c r="C2379" s="7">
        <v>118.531914893617</v>
      </c>
      <c r="D2379" s="1">
        <v>44872</v>
      </c>
      <c r="E2379" s="29">
        <v>4.8</v>
      </c>
      <c r="F2379" t="s">
        <v>4</v>
      </c>
      <c r="G2379" t="str">
        <f t="shared" si="37"/>
        <v>2022-11</v>
      </c>
    </row>
    <row r="2380" spans="1:7" x14ac:dyDescent="0.3">
      <c r="A2380">
        <v>3992</v>
      </c>
      <c r="B2380" t="s">
        <v>26</v>
      </c>
      <c r="C2380" s="7">
        <v>113</v>
      </c>
      <c r="D2380" s="1">
        <v>44980</v>
      </c>
      <c r="E2380" s="29">
        <v>2.88305084745762</v>
      </c>
      <c r="F2380" t="s">
        <v>4</v>
      </c>
      <c r="G2380" t="str">
        <f t="shared" si="37"/>
        <v>2023-02</v>
      </c>
    </row>
    <row r="2381" spans="1:7" x14ac:dyDescent="0.3">
      <c r="A2381">
        <v>4086</v>
      </c>
      <c r="B2381" t="s">
        <v>31</v>
      </c>
      <c r="C2381" s="7">
        <v>88.827586206896498</v>
      </c>
      <c r="D2381" s="1">
        <v>45129</v>
      </c>
      <c r="E2381" s="29">
        <v>3.2</v>
      </c>
      <c r="F2381" t="s">
        <v>1</v>
      </c>
      <c r="G2381" t="str">
        <f t="shared" si="37"/>
        <v>2023-07</v>
      </c>
    </row>
    <row r="2382" spans="1:7" x14ac:dyDescent="0.3">
      <c r="A2382">
        <v>4119</v>
      </c>
      <c r="B2382" t="s">
        <v>23</v>
      </c>
      <c r="C2382" s="7">
        <v>64</v>
      </c>
      <c r="D2382" s="1">
        <v>45065</v>
      </c>
      <c r="E2382" s="29">
        <v>4.0999999999999996</v>
      </c>
      <c r="F2382" t="s">
        <v>1</v>
      </c>
      <c r="G2382" t="str">
        <f t="shared" si="37"/>
        <v>2023-05</v>
      </c>
    </row>
    <row r="2383" spans="1:7" x14ac:dyDescent="0.3">
      <c r="A2383">
        <v>4074</v>
      </c>
      <c r="B2383" t="s">
        <v>47</v>
      </c>
      <c r="C2383" s="7">
        <v>94</v>
      </c>
      <c r="D2383" s="1">
        <v>44972</v>
      </c>
      <c r="E2383" s="29">
        <v>3.4</v>
      </c>
      <c r="F2383" t="s">
        <v>4</v>
      </c>
      <c r="G2383" t="str">
        <f t="shared" si="37"/>
        <v>2023-02</v>
      </c>
    </row>
    <row r="2384" spans="1:7" x14ac:dyDescent="0.3">
      <c r="A2384">
        <v>4072</v>
      </c>
      <c r="B2384" t="s">
        <v>11</v>
      </c>
      <c r="C2384" s="7">
        <v>65</v>
      </c>
      <c r="D2384" s="1">
        <v>44997</v>
      </c>
      <c r="E2384" s="29">
        <v>5</v>
      </c>
      <c r="F2384" t="s">
        <v>1</v>
      </c>
      <c r="G2384" t="str">
        <f t="shared" si="37"/>
        <v>2023-03</v>
      </c>
    </row>
    <row r="2385" spans="1:7" x14ac:dyDescent="0.3">
      <c r="A2385">
        <v>4071</v>
      </c>
      <c r="B2385" t="s">
        <v>44</v>
      </c>
      <c r="C2385" s="7">
        <v>168</v>
      </c>
      <c r="D2385" s="1">
        <v>45140</v>
      </c>
      <c r="E2385" s="29">
        <v>3.7</v>
      </c>
      <c r="F2385" t="s">
        <v>4</v>
      </c>
      <c r="G2385" t="str">
        <f t="shared" si="37"/>
        <v>2023-08</v>
      </c>
    </row>
    <row r="2386" spans="1:7" x14ac:dyDescent="0.3">
      <c r="A2386">
        <v>3995</v>
      </c>
      <c r="B2386" t="s">
        <v>51</v>
      </c>
      <c r="C2386" s="7">
        <v>153</v>
      </c>
      <c r="D2386" s="1">
        <v>45084</v>
      </c>
      <c r="E2386" s="29">
        <v>3</v>
      </c>
      <c r="F2386" t="s">
        <v>1</v>
      </c>
      <c r="G2386" t="str">
        <f t="shared" si="37"/>
        <v>2023-06</v>
      </c>
    </row>
    <row r="2387" spans="1:7" x14ac:dyDescent="0.3">
      <c r="A2387">
        <v>4040</v>
      </c>
      <c r="B2387" t="s">
        <v>34</v>
      </c>
      <c r="C2387" s="7">
        <v>176</v>
      </c>
      <c r="D2387" s="1">
        <v>45166</v>
      </c>
      <c r="E2387" s="29">
        <v>2.2000000000000002</v>
      </c>
      <c r="F2387" t="s">
        <v>4</v>
      </c>
      <c r="G2387" t="str">
        <f t="shared" si="37"/>
        <v>2023-08</v>
      </c>
    </row>
    <row r="2388" spans="1:7" x14ac:dyDescent="0.3">
      <c r="A2388">
        <v>3979</v>
      </c>
      <c r="B2388" t="s">
        <v>49</v>
      </c>
      <c r="C2388" s="7">
        <v>114.217391304347</v>
      </c>
      <c r="D2388" s="1">
        <v>45136</v>
      </c>
      <c r="E2388" s="29">
        <v>3.2</v>
      </c>
      <c r="F2388" t="s">
        <v>1</v>
      </c>
      <c r="G2388" t="str">
        <f t="shared" si="37"/>
        <v>2023-07</v>
      </c>
    </row>
    <row r="2389" spans="1:7" x14ac:dyDescent="0.3">
      <c r="A2389">
        <v>4116</v>
      </c>
      <c r="B2389" t="s">
        <v>34</v>
      </c>
      <c r="C2389" s="7">
        <v>124</v>
      </c>
      <c r="D2389" s="1">
        <v>44942</v>
      </c>
      <c r="E2389" s="29">
        <v>3.7</v>
      </c>
      <c r="F2389" t="s">
        <v>4</v>
      </c>
      <c r="G2389" t="str">
        <f t="shared" si="37"/>
        <v>2023-01</v>
      </c>
    </row>
    <row r="2390" spans="1:7" x14ac:dyDescent="0.3">
      <c r="A2390">
        <v>4116</v>
      </c>
      <c r="B2390" t="s">
        <v>39</v>
      </c>
      <c r="C2390" s="7">
        <v>174</v>
      </c>
      <c r="D2390" s="1">
        <v>44889</v>
      </c>
      <c r="E2390" s="29">
        <v>2.1</v>
      </c>
      <c r="F2390" t="s">
        <v>1</v>
      </c>
      <c r="G2390" t="str">
        <f t="shared" si="37"/>
        <v>2022-11</v>
      </c>
    </row>
    <row r="2391" spans="1:7" x14ac:dyDescent="0.3">
      <c r="A2391">
        <v>4061</v>
      </c>
      <c r="B2391" t="s">
        <v>40</v>
      </c>
      <c r="C2391" s="7">
        <v>169</v>
      </c>
      <c r="D2391" s="1">
        <v>45103</v>
      </c>
      <c r="E2391" s="29">
        <v>4.0999999999999996</v>
      </c>
      <c r="F2391" t="s">
        <v>1</v>
      </c>
      <c r="G2391" t="str">
        <f t="shared" si="37"/>
        <v>2023-06</v>
      </c>
    </row>
    <row r="2392" spans="1:7" x14ac:dyDescent="0.3">
      <c r="A2392">
        <v>4056</v>
      </c>
      <c r="B2392" t="s">
        <v>19</v>
      </c>
      <c r="C2392" s="7">
        <v>20</v>
      </c>
      <c r="D2392" s="1">
        <v>44947</v>
      </c>
      <c r="E2392" s="29">
        <v>4.3</v>
      </c>
      <c r="F2392" t="s">
        <v>4</v>
      </c>
      <c r="G2392" t="str">
        <f t="shared" si="37"/>
        <v>2023-01</v>
      </c>
    </row>
    <row r="2393" spans="1:7" x14ac:dyDescent="0.3">
      <c r="A2393">
        <v>4016</v>
      </c>
      <c r="B2393" t="s">
        <v>5</v>
      </c>
      <c r="C2393" s="7">
        <v>92</v>
      </c>
      <c r="D2393" s="1">
        <v>45136</v>
      </c>
      <c r="E2393" s="29">
        <v>3.5</v>
      </c>
      <c r="F2393" t="s">
        <v>1</v>
      </c>
      <c r="G2393" t="str">
        <f t="shared" si="37"/>
        <v>2023-07</v>
      </c>
    </row>
    <row r="2394" spans="1:7" x14ac:dyDescent="0.3">
      <c r="A2394">
        <v>4058</v>
      </c>
      <c r="B2394" t="s">
        <v>30</v>
      </c>
      <c r="C2394" s="7">
        <v>39</v>
      </c>
      <c r="D2394" s="1">
        <v>45193</v>
      </c>
      <c r="E2394" s="29">
        <v>2.9636363636363598</v>
      </c>
      <c r="F2394" t="s">
        <v>1</v>
      </c>
      <c r="G2394" t="str">
        <f t="shared" si="37"/>
        <v>2023-09</v>
      </c>
    </row>
    <row r="2395" spans="1:7" x14ac:dyDescent="0.3">
      <c r="A2395">
        <v>4043</v>
      </c>
      <c r="B2395" t="s">
        <v>37</v>
      </c>
      <c r="C2395" s="7">
        <v>148</v>
      </c>
      <c r="D2395" s="1">
        <v>45128</v>
      </c>
      <c r="E2395" s="29">
        <v>1.2</v>
      </c>
      <c r="F2395" t="s">
        <v>1</v>
      </c>
      <c r="G2395" t="str">
        <f t="shared" si="37"/>
        <v>2023-07</v>
      </c>
    </row>
    <row r="2396" spans="1:7" x14ac:dyDescent="0.3">
      <c r="A2396">
        <v>4095</v>
      </c>
      <c r="B2396" t="s">
        <v>7</v>
      </c>
      <c r="C2396" s="7">
        <v>16</v>
      </c>
      <c r="D2396" s="1">
        <v>45183</v>
      </c>
      <c r="E2396" s="29">
        <v>1.1000000000000001</v>
      </c>
      <c r="F2396" t="s">
        <v>1</v>
      </c>
      <c r="G2396" t="str">
        <f t="shared" si="37"/>
        <v>2023-09</v>
      </c>
    </row>
    <row r="2397" spans="1:7" x14ac:dyDescent="0.3">
      <c r="A2397">
        <v>3968</v>
      </c>
      <c r="B2397" t="s">
        <v>37</v>
      </c>
      <c r="C2397" s="7">
        <v>105</v>
      </c>
      <c r="D2397" s="1">
        <v>45084</v>
      </c>
      <c r="E2397" s="29">
        <v>1</v>
      </c>
      <c r="F2397" t="s">
        <v>1</v>
      </c>
      <c r="G2397" t="str">
        <f t="shared" si="37"/>
        <v>2023-06</v>
      </c>
    </row>
    <row r="2398" spans="1:7" x14ac:dyDescent="0.3">
      <c r="A2398">
        <v>4070</v>
      </c>
      <c r="B2398" t="s">
        <v>6</v>
      </c>
      <c r="C2398" s="7">
        <v>140</v>
      </c>
      <c r="D2398" s="1">
        <v>45130</v>
      </c>
      <c r="E2398" s="29">
        <v>2</v>
      </c>
      <c r="F2398" t="s">
        <v>1</v>
      </c>
      <c r="G2398" t="str">
        <f t="shared" si="37"/>
        <v>2023-07</v>
      </c>
    </row>
    <row r="2399" spans="1:7" x14ac:dyDescent="0.3">
      <c r="A2399">
        <v>4028</v>
      </c>
      <c r="B2399" t="s">
        <v>8</v>
      </c>
      <c r="C2399" s="7">
        <v>21</v>
      </c>
      <c r="D2399" s="1">
        <v>45113</v>
      </c>
      <c r="E2399" s="29">
        <v>2.4</v>
      </c>
      <c r="F2399" t="s">
        <v>1</v>
      </c>
      <c r="G2399" t="str">
        <f t="shared" si="37"/>
        <v>2023-07</v>
      </c>
    </row>
    <row r="2400" spans="1:7" x14ac:dyDescent="0.3">
      <c r="A2400">
        <v>4122</v>
      </c>
      <c r="B2400" t="s">
        <v>11</v>
      </c>
      <c r="C2400" s="7">
        <v>176</v>
      </c>
      <c r="D2400" s="1">
        <v>45198</v>
      </c>
      <c r="E2400" s="29">
        <v>3.1</v>
      </c>
      <c r="F2400" t="s">
        <v>1</v>
      </c>
      <c r="G2400" t="str">
        <f t="shared" si="37"/>
        <v>2023-09</v>
      </c>
    </row>
    <row r="2401" spans="1:7" x14ac:dyDescent="0.3">
      <c r="A2401">
        <v>3979</v>
      </c>
      <c r="B2401" t="s">
        <v>12</v>
      </c>
      <c r="C2401" s="7">
        <v>103.354166666666</v>
      </c>
      <c r="D2401" s="1">
        <v>44978</v>
      </c>
      <c r="E2401" s="29">
        <v>2.6</v>
      </c>
      <c r="F2401" t="s">
        <v>4</v>
      </c>
      <c r="G2401" t="str">
        <f t="shared" si="37"/>
        <v>2023-02</v>
      </c>
    </row>
    <row r="2402" spans="1:7" x14ac:dyDescent="0.3">
      <c r="A2402">
        <v>3999</v>
      </c>
      <c r="B2402" t="s">
        <v>45</v>
      </c>
      <c r="C2402" s="7">
        <v>34</v>
      </c>
      <c r="D2402" s="1">
        <v>45142</v>
      </c>
      <c r="E2402" s="29">
        <v>1.9</v>
      </c>
      <c r="F2402" t="s">
        <v>4</v>
      </c>
      <c r="G2402" t="str">
        <f t="shared" si="37"/>
        <v>2023-08</v>
      </c>
    </row>
    <row r="2403" spans="1:7" x14ac:dyDescent="0.3">
      <c r="A2403">
        <v>3963</v>
      </c>
      <c r="B2403" t="s">
        <v>51</v>
      </c>
      <c r="C2403" s="7">
        <v>105.1</v>
      </c>
      <c r="D2403" s="1">
        <v>44875</v>
      </c>
      <c r="E2403" s="29">
        <v>2.1</v>
      </c>
      <c r="F2403" t="s">
        <v>1</v>
      </c>
      <c r="G2403" t="str">
        <f t="shared" si="37"/>
        <v>2022-11</v>
      </c>
    </row>
    <row r="2404" spans="1:7" x14ac:dyDescent="0.3">
      <c r="A2404">
        <v>4103</v>
      </c>
      <c r="B2404" t="s">
        <v>6</v>
      </c>
      <c r="C2404" s="7">
        <v>147</v>
      </c>
      <c r="D2404" s="1">
        <v>44967</v>
      </c>
      <c r="E2404" s="29">
        <v>2.2999999999999998</v>
      </c>
      <c r="F2404" t="s">
        <v>4</v>
      </c>
      <c r="G2404" t="str">
        <f t="shared" si="37"/>
        <v>2023-02</v>
      </c>
    </row>
    <row r="2405" spans="1:7" x14ac:dyDescent="0.3">
      <c r="A2405">
        <v>4118</v>
      </c>
      <c r="B2405" t="s">
        <v>25</v>
      </c>
      <c r="C2405" s="7">
        <v>170</v>
      </c>
      <c r="D2405" s="1">
        <v>45142</v>
      </c>
      <c r="E2405" s="29">
        <v>2.5</v>
      </c>
      <c r="F2405" t="s">
        <v>4</v>
      </c>
      <c r="G2405" t="str">
        <f t="shared" si="37"/>
        <v>2023-08</v>
      </c>
    </row>
    <row r="2406" spans="1:7" x14ac:dyDescent="0.3">
      <c r="A2406">
        <v>4036</v>
      </c>
      <c r="B2406" t="s">
        <v>37</v>
      </c>
      <c r="C2406" s="7">
        <v>97.720588235294102</v>
      </c>
      <c r="D2406" s="1">
        <v>45197</v>
      </c>
      <c r="E2406" s="29">
        <v>4.0999999999999996</v>
      </c>
      <c r="F2406" t="s">
        <v>1</v>
      </c>
      <c r="G2406" t="str">
        <f t="shared" si="37"/>
        <v>2023-09</v>
      </c>
    </row>
    <row r="2407" spans="1:7" x14ac:dyDescent="0.3">
      <c r="A2407">
        <v>4100</v>
      </c>
      <c r="B2407" t="s">
        <v>31</v>
      </c>
      <c r="C2407" s="7">
        <v>64</v>
      </c>
      <c r="D2407" s="1">
        <v>45095</v>
      </c>
      <c r="E2407" s="29">
        <v>1.2</v>
      </c>
      <c r="F2407" t="s">
        <v>1</v>
      </c>
      <c r="G2407" t="str">
        <f t="shared" si="37"/>
        <v>2023-06</v>
      </c>
    </row>
    <row r="2408" spans="1:7" x14ac:dyDescent="0.3">
      <c r="A2408">
        <v>4122</v>
      </c>
      <c r="B2408" t="s">
        <v>41</v>
      </c>
      <c r="C2408" s="7">
        <v>118</v>
      </c>
      <c r="D2408" s="1">
        <v>45054</v>
      </c>
      <c r="E2408" s="29">
        <v>3.5</v>
      </c>
      <c r="F2408" t="s">
        <v>4</v>
      </c>
      <c r="G2408" t="str">
        <f t="shared" si="37"/>
        <v>2023-05</v>
      </c>
    </row>
    <row r="2409" spans="1:7" x14ac:dyDescent="0.3">
      <c r="A2409">
        <v>3988</v>
      </c>
      <c r="B2409" t="s">
        <v>50</v>
      </c>
      <c r="C2409" s="7">
        <v>62</v>
      </c>
      <c r="D2409" s="1">
        <v>44853</v>
      </c>
      <c r="E2409" s="29">
        <v>3</v>
      </c>
      <c r="F2409" t="s">
        <v>1</v>
      </c>
      <c r="G2409" t="str">
        <f t="shared" si="37"/>
        <v>2022-10</v>
      </c>
    </row>
    <row r="2410" spans="1:7" x14ac:dyDescent="0.3">
      <c r="A2410">
        <v>4121</v>
      </c>
      <c r="B2410" t="s">
        <v>43</v>
      </c>
      <c r="C2410" s="7">
        <v>189</v>
      </c>
      <c r="D2410" s="1">
        <v>45137</v>
      </c>
      <c r="E2410" s="29">
        <v>2.6</v>
      </c>
      <c r="F2410" t="s">
        <v>1</v>
      </c>
      <c r="G2410" t="str">
        <f t="shared" si="37"/>
        <v>2023-07</v>
      </c>
    </row>
    <row r="2411" spans="1:7" x14ac:dyDescent="0.3">
      <c r="A2411">
        <v>4100</v>
      </c>
      <c r="B2411" t="s">
        <v>27</v>
      </c>
      <c r="C2411" s="7">
        <v>199</v>
      </c>
      <c r="D2411" s="1">
        <v>45153</v>
      </c>
      <c r="E2411" s="29">
        <v>3.2</v>
      </c>
      <c r="F2411" t="s">
        <v>4</v>
      </c>
      <c r="G2411" t="str">
        <f t="shared" si="37"/>
        <v>2023-08</v>
      </c>
    </row>
    <row r="2412" spans="1:7" x14ac:dyDescent="0.3">
      <c r="A2412">
        <v>3978</v>
      </c>
      <c r="B2412" t="s">
        <v>29</v>
      </c>
      <c r="C2412" s="7">
        <v>175</v>
      </c>
      <c r="D2412" s="1">
        <v>44997</v>
      </c>
      <c r="E2412" s="29">
        <v>4.0999999999999996</v>
      </c>
      <c r="F2412" t="s">
        <v>1</v>
      </c>
      <c r="G2412" t="str">
        <f t="shared" si="37"/>
        <v>2023-03</v>
      </c>
    </row>
    <row r="2413" spans="1:7" x14ac:dyDescent="0.3">
      <c r="A2413">
        <v>4006</v>
      </c>
      <c r="B2413" t="s">
        <v>7</v>
      </c>
      <c r="C2413" s="7">
        <v>28</v>
      </c>
      <c r="D2413" s="1">
        <v>44996</v>
      </c>
      <c r="E2413" s="29">
        <v>2.8953488372092999</v>
      </c>
      <c r="F2413" t="s">
        <v>1</v>
      </c>
      <c r="G2413" t="str">
        <f t="shared" si="37"/>
        <v>2023-03</v>
      </c>
    </row>
    <row r="2414" spans="1:7" x14ac:dyDescent="0.3">
      <c r="A2414">
        <v>4115</v>
      </c>
      <c r="B2414" t="s">
        <v>40</v>
      </c>
      <c r="C2414" s="7">
        <v>49</v>
      </c>
      <c r="D2414" s="1">
        <v>44843</v>
      </c>
      <c r="E2414" s="29">
        <v>3.5</v>
      </c>
      <c r="F2414" t="s">
        <v>1</v>
      </c>
      <c r="G2414" t="str">
        <f t="shared" si="37"/>
        <v>2022-10</v>
      </c>
    </row>
    <row r="2415" spans="1:7" x14ac:dyDescent="0.3">
      <c r="A2415">
        <v>4095</v>
      </c>
      <c r="B2415" t="s">
        <v>2</v>
      </c>
      <c r="C2415" s="7">
        <v>93.340909090909093</v>
      </c>
      <c r="D2415" s="1">
        <v>44980</v>
      </c>
      <c r="E2415" s="29">
        <v>4.7</v>
      </c>
      <c r="F2415" t="s">
        <v>4</v>
      </c>
      <c r="G2415" t="str">
        <f t="shared" si="37"/>
        <v>2023-02</v>
      </c>
    </row>
    <row r="2416" spans="1:7" x14ac:dyDescent="0.3">
      <c r="A2416">
        <v>4104</v>
      </c>
      <c r="B2416" t="s">
        <v>36</v>
      </c>
      <c r="C2416" s="7">
        <v>19</v>
      </c>
      <c r="D2416" s="1">
        <v>45141</v>
      </c>
      <c r="E2416" s="29">
        <v>1.3</v>
      </c>
      <c r="F2416" t="s">
        <v>4</v>
      </c>
      <c r="G2416" t="str">
        <f t="shared" si="37"/>
        <v>2023-08</v>
      </c>
    </row>
    <row r="2417" spans="1:7" x14ac:dyDescent="0.3">
      <c r="A2417">
        <v>3970</v>
      </c>
      <c r="B2417" t="s">
        <v>46</v>
      </c>
      <c r="C2417" s="7">
        <v>118.531914893617</v>
      </c>
      <c r="D2417" s="1">
        <v>45195</v>
      </c>
      <c r="E2417" s="29">
        <v>1.2</v>
      </c>
      <c r="F2417" t="s">
        <v>1</v>
      </c>
      <c r="G2417" t="str">
        <f t="shared" si="37"/>
        <v>2023-09</v>
      </c>
    </row>
    <row r="2418" spans="1:7" x14ac:dyDescent="0.3">
      <c r="A2418">
        <v>4102</v>
      </c>
      <c r="B2418" t="s">
        <v>34</v>
      </c>
      <c r="C2418" s="7">
        <v>110.431818181818</v>
      </c>
      <c r="D2418" s="1">
        <v>45174</v>
      </c>
      <c r="E2418" s="29">
        <v>2.6</v>
      </c>
      <c r="F2418" t="s">
        <v>1</v>
      </c>
      <c r="G2418" t="str">
        <f t="shared" si="37"/>
        <v>2023-09</v>
      </c>
    </row>
    <row r="2419" spans="1:7" x14ac:dyDescent="0.3">
      <c r="A2419">
        <v>4090</v>
      </c>
      <c r="B2419" t="s">
        <v>15</v>
      </c>
      <c r="C2419" s="7">
        <v>152</v>
      </c>
      <c r="D2419" s="1">
        <v>44942</v>
      </c>
      <c r="E2419" s="29">
        <v>1.5</v>
      </c>
      <c r="F2419" t="s">
        <v>4</v>
      </c>
      <c r="G2419" t="str">
        <f t="shared" si="37"/>
        <v>2023-01</v>
      </c>
    </row>
    <row r="2420" spans="1:7" x14ac:dyDescent="0.3">
      <c r="A2420">
        <v>4005</v>
      </c>
      <c r="B2420" t="s">
        <v>16</v>
      </c>
      <c r="C2420" s="7">
        <v>110.56666666666599</v>
      </c>
      <c r="D2420" s="1">
        <v>44909</v>
      </c>
      <c r="E2420" s="29">
        <v>3.1</v>
      </c>
      <c r="F2420" t="s">
        <v>1</v>
      </c>
      <c r="G2420" t="str">
        <f t="shared" si="37"/>
        <v>2022-12</v>
      </c>
    </row>
    <row r="2421" spans="1:7" x14ac:dyDescent="0.3">
      <c r="A2421">
        <v>4078</v>
      </c>
      <c r="B2421" t="s">
        <v>6</v>
      </c>
      <c r="C2421" s="7">
        <v>76</v>
      </c>
      <c r="D2421" s="1">
        <v>45049</v>
      </c>
      <c r="E2421" s="29">
        <v>2.8333333333333299</v>
      </c>
      <c r="F2421" t="s">
        <v>4</v>
      </c>
      <c r="G2421" t="str">
        <f t="shared" si="37"/>
        <v>2023-05</v>
      </c>
    </row>
    <row r="2422" spans="1:7" x14ac:dyDescent="0.3">
      <c r="A2422">
        <v>4085</v>
      </c>
      <c r="B2422" t="s">
        <v>0</v>
      </c>
      <c r="C2422" s="7">
        <v>125</v>
      </c>
      <c r="D2422" s="1">
        <v>45059</v>
      </c>
      <c r="E2422" s="29">
        <v>2</v>
      </c>
      <c r="F2422" t="s">
        <v>1</v>
      </c>
      <c r="G2422" t="str">
        <f t="shared" si="37"/>
        <v>2023-05</v>
      </c>
    </row>
    <row r="2423" spans="1:7" x14ac:dyDescent="0.3">
      <c r="A2423">
        <v>3961</v>
      </c>
      <c r="B2423" t="s">
        <v>14</v>
      </c>
      <c r="C2423" s="7">
        <v>120</v>
      </c>
      <c r="D2423" s="1">
        <v>44987</v>
      </c>
      <c r="E2423" s="29">
        <v>1.7</v>
      </c>
      <c r="F2423" t="s">
        <v>4</v>
      </c>
      <c r="G2423" t="str">
        <f t="shared" si="37"/>
        <v>2023-03</v>
      </c>
    </row>
    <row r="2424" spans="1:7" x14ac:dyDescent="0.3">
      <c r="A2424">
        <v>3987</v>
      </c>
      <c r="B2424" t="s">
        <v>50</v>
      </c>
      <c r="C2424" s="7">
        <v>109</v>
      </c>
      <c r="D2424" s="1">
        <v>44946</v>
      </c>
      <c r="E2424" s="29">
        <v>3</v>
      </c>
      <c r="F2424" t="s">
        <v>1</v>
      </c>
      <c r="G2424" t="str">
        <f t="shared" si="37"/>
        <v>2023-01</v>
      </c>
    </row>
    <row r="2425" spans="1:7" x14ac:dyDescent="0.3">
      <c r="A2425">
        <v>4093</v>
      </c>
      <c r="B2425" t="s">
        <v>44</v>
      </c>
      <c r="C2425" s="7">
        <v>146</v>
      </c>
      <c r="D2425" s="1">
        <v>44901</v>
      </c>
      <c r="E2425" s="29">
        <v>3.1</v>
      </c>
      <c r="F2425" t="s">
        <v>4</v>
      </c>
      <c r="G2425" t="str">
        <f t="shared" si="37"/>
        <v>2022-12</v>
      </c>
    </row>
    <row r="2426" spans="1:7" x14ac:dyDescent="0.3">
      <c r="A2426">
        <v>4003</v>
      </c>
      <c r="B2426" t="s">
        <v>17</v>
      </c>
      <c r="C2426" s="7">
        <v>119.195652173913</v>
      </c>
      <c r="D2426" s="1">
        <v>44903</v>
      </c>
      <c r="E2426" s="29">
        <v>4.0999999999999996</v>
      </c>
      <c r="F2426" t="s">
        <v>4</v>
      </c>
      <c r="G2426" t="str">
        <f t="shared" si="37"/>
        <v>2022-12</v>
      </c>
    </row>
    <row r="2427" spans="1:7" x14ac:dyDescent="0.3">
      <c r="A2427">
        <v>3961</v>
      </c>
      <c r="B2427" t="s">
        <v>48</v>
      </c>
      <c r="C2427" s="7">
        <v>26</v>
      </c>
      <c r="D2427" s="1">
        <v>44949</v>
      </c>
      <c r="E2427" s="29">
        <v>1.3</v>
      </c>
      <c r="F2427" t="s">
        <v>1</v>
      </c>
      <c r="G2427" t="str">
        <f t="shared" si="37"/>
        <v>2023-01</v>
      </c>
    </row>
    <row r="2428" spans="1:7" x14ac:dyDescent="0.3">
      <c r="A2428">
        <v>4027</v>
      </c>
      <c r="B2428" t="s">
        <v>26</v>
      </c>
      <c r="C2428" s="7">
        <v>159</v>
      </c>
      <c r="D2428" s="1">
        <v>45138</v>
      </c>
      <c r="E2428" s="29">
        <v>1.6</v>
      </c>
      <c r="F2428" t="s">
        <v>4</v>
      </c>
      <c r="G2428" t="str">
        <f t="shared" si="37"/>
        <v>2023-07</v>
      </c>
    </row>
    <row r="2429" spans="1:7" x14ac:dyDescent="0.3">
      <c r="A2429">
        <v>4009</v>
      </c>
      <c r="B2429" t="s">
        <v>12</v>
      </c>
      <c r="C2429" s="7">
        <v>103.354166666666</v>
      </c>
      <c r="D2429" s="1">
        <v>44967</v>
      </c>
      <c r="E2429" s="29">
        <v>2.7471698113207501</v>
      </c>
      <c r="F2429" t="s">
        <v>4</v>
      </c>
      <c r="G2429" t="str">
        <f t="shared" si="37"/>
        <v>2023-02</v>
      </c>
    </row>
    <row r="2430" spans="1:7" x14ac:dyDescent="0.3">
      <c r="A2430">
        <v>4019</v>
      </c>
      <c r="B2430" t="s">
        <v>37</v>
      </c>
      <c r="C2430" s="7">
        <v>101</v>
      </c>
      <c r="D2430" s="1">
        <v>45031</v>
      </c>
      <c r="E2430" s="29">
        <v>3.5</v>
      </c>
      <c r="F2430" t="s">
        <v>1</v>
      </c>
      <c r="G2430" t="str">
        <f t="shared" si="37"/>
        <v>2023-04</v>
      </c>
    </row>
    <row r="2431" spans="1:7" x14ac:dyDescent="0.3">
      <c r="A2431">
        <v>4105</v>
      </c>
      <c r="B2431" t="s">
        <v>26</v>
      </c>
      <c r="C2431" s="7">
        <v>37</v>
      </c>
      <c r="D2431" s="1">
        <v>44887</v>
      </c>
      <c r="E2431" s="29">
        <v>1.7</v>
      </c>
      <c r="F2431" t="s">
        <v>4</v>
      </c>
      <c r="G2431" t="str">
        <f t="shared" si="37"/>
        <v>2022-11</v>
      </c>
    </row>
    <row r="2432" spans="1:7" x14ac:dyDescent="0.3">
      <c r="A2432">
        <v>4070</v>
      </c>
      <c r="B2432" t="s">
        <v>50</v>
      </c>
      <c r="C2432" s="7">
        <v>185</v>
      </c>
      <c r="D2432" s="1">
        <v>44902</v>
      </c>
      <c r="E2432" s="29">
        <v>3.7</v>
      </c>
      <c r="F2432" t="s">
        <v>1</v>
      </c>
      <c r="G2432" t="str">
        <f t="shared" si="37"/>
        <v>2022-12</v>
      </c>
    </row>
    <row r="2433" spans="1:7" x14ac:dyDescent="0.3">
      <c r="A2433">
        <v>3978</v>
      </c>
      <c r="B2433" t="s">
        <v>3</v>
      </c>
      <c r="C2433" s="7">
        <v>32</v>
      </c>
      <c r="D2433" s="1">
        <v>44887</v>
      </c>
      <c r="E2433" s="29">
        <v>2.6</v>
      </c>
      <c r="F2433" t="s">
        <v>1</v>
      </c>
      <c r="G2433" t="str">
        <f t="shared" si="37"/>
        <v>2022-11</v>
      </c>
    </row>
    <row r="2434" spans="1:7" x14ac:dyDescent="0.3">
      <c r="A2434">
        <v>4093</v>
      </c>
      <c r="B2434" t="s">
        <v>29</v>
      </c>
      <c r="C2434" s="7">
        <v>122</v>
      </c>
      <c r="D2434" s="1">
        <v>44916</v>
      </c>
      <c r="E2434" s="29">
        <v>2</v>
      </c>
      <c r="F2434" t="s">
        <v>4</v>
      </c>
      <c r="G2434" t="str">
        <f t="shared" si="37"/>
        <v>2022-12</v>
      </c>
    </row>
    <row r="2435" spans="1:7" x14ac:dyDescent="0.3">
      <c r="A2435">
        <v>4112</v>
      </c>
      <c r="B2435" t="s">
        <v>19</v>
      </c>
      <c r="C2435" s="7">
        <v>179</v>
      </c>
      <c r="D2435" s="1">
        <v>45116</v>
      </c>
      <c r="E2435" s="29">
        <v>3.9</v>
      </c>
      <c r="F2435" t="s">
        <v>4</v>
      </c>
      <c r="G2435" t="str">
        <f t="shared" ref="G2435:G2498" si="38">TEXT(D2435,"ГГГГ-ММ")</f>
        <v>2023-07</v>
      </c>
    </row>
    <row r="2436" spans="1:7" x14ac:dyDescent="0.3">
      <c r="A2436">
        <v>4039</v>
      </c>
      <c r="B2436" t="s">
        <v>22</v>
      </c>
      <c r="C2436" s="7">
        <v>107.949152542372</v>
      </c>
      <c r="D2436" s="1">
        <v>45135</v>
      </c>
      <c r="E2436" s="29">
        <v>3.9</v>
      </c>
      <c r="F2436" t="s">
        <v>1</v>
      </c>
      <c r="G2436" t="str">
        <f t="shared" si="38"/>
        <v>2023-07</v>
      </c>
    </row>
    <row r="2437" spans="1:7" x14ac:dyDescent="0.3">
      <c r="A2437">
        <v>4059</v>
      </c>
      <c r="B2437" t="s">
        <v>43</v>
      </c>
      <c r="C2437" s="7">
        <v>117.354166666666</v>
      </c>
      <c r="D2437" s="1">
        <v>45196</v>
      </c>
      <c r="E2437" s="29">
        <v>1.9</v>
      </c>
      <c r="F2437" t="s">
        <v>1</v>
      </c>
      <c r="G2437" t="str">
        <f t="shared" si="38"/>
        <v>2023-09</v>
      </c>
    </row>
    <row r="2438" spans="1:7" x14ac:dyDescent="0.3">
      <c r="A2438">
        <v>4107</v>
      </c>
      <c r="B2438" t="s">
        <v>43</v>
      </c>
      <c r="C2438" s="7">
        <v>110</v>
      </c>
      <c r="D2438" s="1">
        <v>45109</v>
      </c>
      <c r="E2438" s="29">
        <v>4.0999999999999996</v>
      </c>
      <c r="F2438" t="s">
        <v>4</v>
      </c>
      <c r="G2438" t="str">
        <f t="shared" si="38"/>
        <v>2023-07</v>
      </c>
    </row>
    <row r="2439" spans="1:7" x14ac:dyDescent="0.3">
      <c r="A2439">
        <v>3968</v>
      </c>
      <c r="B2439" t="s">
        <v>32</v>
      </c>
      <c r="C2439" s="7">
        <v>149</v>
      </c>
      <c r="D2439" s="1">
        <v>45169</v>
      </c>
      <c r="E2439" s="29">
        <v>3.0542857142857098</v>
      </c>
      <c r="F2439" t="s">
        <v>1</v>
      </c>
      <c r="G2439" t="str">
        <f t="shared" si="38"/>
        <v>2023-08</v>
      </c>
    </row>
    <row r="2440" spans="1:7" x14ac:dyDescent="0.3">
      <c r="A2440">
        <v>4082</v>
      </c>
      <c r="B2440" t="s">
        <v>49</v>
      </c>
      <c r="C2440" s="7">
        <v>172</v>
      </c>
      <c r="D2440" s="1">
        <v>44874</v>
      </c>
      <c r="E2440" s="29">
        <v>4.3</v>
      </c>
      <c r="F2440" t="s">
        <v>1</v>
      </c>
      <c r="G2440" t="str">
        <f t="shared" si="38"/>
        <v>2022-11</v>
      </c>
    </row>
    <row r="2441" spans="1:7" x14ac:dyDescent="0.3">
      <c r="A2441">
        <v>3962</v>
      </c>
      <c r="B2441" t="s">
        <v>12</v>
      </c>
      <c r="C2441" s="7">
        <v>103.354166666666</v>
      </c>
      <c r="D2441" s="1">
        <v>45174</v>
      </c>
      <c r="E2441" s="29">
        <v>4.9000000000000004</v>
      </c>
      <c r="F2441" t="s">
        <v>1</v>
      </c>
      <c r="G2441" t="str">
        <f t="shared" si="38"/>
        <v>2023-09</v>
      </c>
    </row>
    <row r="2442" spans="1:7" x14ac:dyDescent="0.3">
      <c r="A2442">
        <v>4044</v>
      </c>
      <c r="B2442" t="s">
        <v>48</v>
      </c>
      <c r="C2442" s="7">
        <v>196</v>
      </c>
      <c r="D2442" s="1">
        <v>44889</v>
      </c>
      <c r="E2442" s="29">
        <v>2.4</v>
      </c>
      <c r="F2442" t="s">
        <v>4</v>
      </c>
      <c r="G2442" t="str">
        <f t="shared" si="38"/>
        <v>2022-11</v>
      </c>
    </row>
    <row r="2443" spans="1:7" x14ac:dyDescent="0.3">
      <c r="A2443">
        <v>4068</v>
      </c>
      <c r="B2443" t="s">
        <v>28</v>
      </c>
      <c r="C2443" s="7">
        <v>12</v>
      </c>
      <c r="D2443" s="1">
        <v>45004</v>
      </c>
      <c r="E2443" s="29">
        <v>4</v>
      </c>
      <c r="F2443" t="s">
        <v>4</v>
      </c>
      <c r="G2443" t="str">
        <f t="shared" si="38"/>
        <v>2023-03</v>
      </c>
    </row>
    <row r="2444" spans="1:7" x14ac:dyDescent="0.3">
      <c r="A2444">
        <v>4003</v>
      </c>
      <c r="B2444" t="s">
        <v>12</v>
      </c>
      <c r="C2444" s="7">
        <v>152</v>
      </c>
      <c r="D2444" s="1">
        <v>45151</v>
      </c>
      <c r="E2444" s="29">
        <v>1.2</v>
      </c>
      <c r="F2444" t="s">
        <v>4</v>
      </c>
      <c r="G2444" t="str">
        <f t="shared" si="38"/>
        <v>2023-08</v>
      </c>
    </row>
    <row r="2445" spans="1:7" x14ac:dyDescent="0.3">
      <c r="A2445">
        <v>4063</v>
      </c>
      <c r="B2445" t="s">
        <v>24</v>
      </c>
      <c r="C2445" s="7">
        <v>95.292307692307602</v>
      </c>
      <c r="D2445" s="1">
        <v>44983</v>
      </c>
      <c r="E2445" s="29">
        <v>1.9</v>
      </c>
      <c r="F2445" t="s">
        <v>1</v>
      </c>
      <c r="G2445" t="str">
        <f t="shared" si="38"/>
        <v>2023-02</v>
      </c>
    </row>
    <row r="2446" spans="1:7" x14ac:dyDescent="0.3">
      <c r="A2446">
        <v>3963</v>
      </c>
      <c r="B2446" t="s">
        <v>28</v>
      </c>
      <c r="C2446" s="7">
        <v>111.854838709677</v>
      </c>
      <c r="D2446" s="1">
        <v>45123</v>
      </c>
      <c r="E2446" s="29">
        <v>2.4</v>
      </c>
      <c r="F2446" t="s">
        <v>4</v>
      </c>
      <c r="G2446" t="str">
        <f t="shared" si="38"/>
        <v>2023-07</v>
      </c>
    </row>
    <row r="2447" spans="1:7" x14ac:dyDescent="0.3">
      <c r="A2447">
        <v>4092</v>
      </c>
      <c r="B2447" t="s">
        <v>47</v>
      </c>
      <c r="C2447" s="7">
        <v>110</v>
      </c>
      <c r="D2447" s="1">
        <v>45009</v>
      </c>
      <c r="E2447" s="29">
        <v>2.2000000000000002</v>
      </c>
      <c r="F2447" t="s">
        <v>4</v>
      </c>
      <c r="G2447" t="str">
        <f t="shared" si="38"/>
        <v>2023-03</v>
      </c>
    </row>
    <row r="2448" spans="1:7" x14ac:dyDescent="0.3">
      <c r="A2448">
        <v>4038</v>
      </c>
      <c r="B2448" t="s">
        <v>9</v>
      </c>
      <c r="C2448" s="7">
        <v>31</v>
      </c>
      <c r="D2448" s="1">
        <v>44952</v>
      </c>
      <c r="E2448" s="29">
        <v>4.5999999999999996</v>
      </c>
      <c r="F2448" t="s">
        <v>4</v>
      </c>
      <c r="G2448" t="str">
        <f t="shared" si="38"/>
        <v>2023-01</v>
      </c>
    </row>
    <row r="2449" spans="1:7" x14ac:dyDescent="0.3">
      <c r="A2449">
        <v>4054</v>
      </c>
      <c r="B2449" t="s">
        <v>19</v>
      </c>
      <c r="C2449" s="7">
        <v>199</v>
      </c>
      <c r="D2449" s="1">
        <v>44964</v>
      </c>
      <c r="E2449" s="29">
        <v>3.2083333333333299</v>
      </c>
      <c r="F2449" t="s">
        <v>1</v>
      </c>
      <c r="G2449" t="str">
        <f t="shared" si="38"/>
        <v>2023-02</v>
      </c>
    </row>
    <row r="2450" spans="1:7" x14ac:dyDescent="0.3">
      <c r="A2450">
        <v>4022</v>
      </c>
      <c r="B2450" t="s">
        <v>38</v>
      </c>
      <c r="C2450" s="7">
        <v>98</v>
      </c>
      <c r="D2450" s="1">
        <v>44844</v>
      </c>
      <c r="E2450" s="29">
        <v>3.0230769230769199</v>
      </c>
      <c r="F2450" t="s">
        <v>1</v>
      </c>
      <c r="G2450" t="str">
        <f t="shared" si="38"/>
        <v>2022-10</v>
      </c>
    </row>
    <row r="2451" spans="1:7" x14ac:dyDescent="0.3">
      <c r="A2451">
        <v>3980</v>
      </c>
      <c r="B2451" t="s">
        <v>41</v>
      </c>
      <c r="C2451" s="7">
        <v>175</v>
      </c>
      <c r="D2451" s="1">
        <v>44838</v>
      </c>
      <c r="E2451" s="29">
        <v>2.6</v>
      </c>
      <c r="F2451" t="s">
        <v>4</v>
      </c>
      <c r="G2451" t="str">
        <f t="shared" si="38"/>
        <v>2022-10</v>
      </c>
    </row>
    <row r="2452" spans="1:7" x14ac:dyDescent="0.3">
      <c r="A2452">
        <v>3986</v>
      </c>
      <c r="B2452" t="s">
        <v>12</v>
      </c>
      <c r="C2452" s="7">
        <v>46</v>
      </c>
      <c r="D2452" s="1">
        <v>45194</v>
      </c>
      <c r="E2452" s="29">
        <v>2.2000000000000002</v>
      </c>
      <c r="F2452" t="s">
        <v>4</v>
      </c>
      <c r="G2452" t="str">
        <f t="shared" si="38"/>
        <v>2023-09</v>
      </c>
    </row>
    <row r="2453" spans="1:7" x14ac:dyDescent="0.3">
      <c r="A2453">
        <v>3982</v>
      </c>
      <c r="B2453" t="s">
        <v>18</v>
      </c>
      <c r="C2453" s="7">
        <v>102.74</v>
      </c>
      <c r="D2453" s="1">
        <v>44873</v>
      </c>
      <c r="E2453" s="29">
        <v>4.3</v>
      </c>
      <c r="F2453" t="s">
        <v>4</v>
      </c>
      <c r="G2453" t="str">
        <f t="shared" si="38"/>
        <v>2022-11</v>
      </c>
    </row>
    <row r="2454" spans="1:7" x14ac:dyDescent="0.3">
      <c r="A2454">
        <v>4095</v>
      </c>
      <c r="B2454" t="s">
        <v>35</v>
      </c>
      <c r="C2454" s="7">
        <v>74</v>
      </c>
      <c r="D2454" s="1">
        <v>44929</v>
      </c>
      <c r="E2454" s="29">
        <v>4.7</v>
      </c>
      <c r="F2454" t="s">
        <v>1</v>
      </c>
      <c r="G2454" t="str">
        <f t="shared" si="38"/>
        <v>2023-01</v>
      </c>
    </row>
    <row r="2455" spans="1:7" x14ac:dyDescent="0.3">
      <c r="A2455">
        <v>4000</v>
      </c>
      <c r="B2455" t="s">
        <v>29</v>
      </c>
      <c r="C2455" s="7">
        <v>108.734693877551</v>
      </c>
      <c r="D2455" s="1">
        <v>45186</v>
      </c>
      <c r="E2455" s="29">
        <v>3.9</v>
      </c>
      <c r="F2455" t="s">
        <v>4</v>
      </c>
      <c r="G2455" t="str">
        <f t="shared" si="38"/>
        <v>2023-09</v>
      </c>
    </row>
    <row r="2456" spans="1:7" x14ac:dyDescent="0.3">
      <c r="A2456">
        <v>4030</v>
      </c>
      <c r="B2456" t="s">
        <v>25</v>
      </c>
      <c r="C2456" s="7">
        <v>112.745762711864</v>
      </c>
      <c r="D2456" s="1">
        <v>45066</v>
      </c>
      <c r="E2456" s="29">
        <v>3.2</v>
      </c>
      <c r="F2456" t="s">
        <v>1</v>
      </c>
      <c r="G2456" t="str">
        <f t="shared" si="38"/>
        <v>2023-05</v>
      </c>
    </row>
    <row r="2457" spans="1:7" x14ac:dyDescent="0.3">
      <c r="A2457">
        <v>3993</v>
      </c>
      <c r="B2457" t="s">
        <v>16</v>
      </c>
      <c r="C2457" s="7">
        <v>23</v>
      </c>
      <c r="D2457" s="1">
        <v>45059</v>
      </c>
      <c r="E2457" s="29">
        <v>1.7</v>
      </c>
      <c r="F2457" t="s">
        <v>4</v>
      </c>
      <c r="G2457" t="str">
        <f t="shared" si="38"/>
        <v>2023-05</v>
      </c>
    </row>
    <row r="2458" spans="1:7" x14ac:dyDescent="0.3">
      <c r="A2458">
        <v>4003</v>
      </c>
      <c r="B2458" t="s">
        <v>6</v>
      </c>
      <c r="C2458" s="7">
        <v>150</v>
      </c>
      <c r="D2458" s="1">
        <v>45193</v>
      </c>
      <c r="E2458" s="29">
        <v>2.2999999999999998</v>
      </c>
      <c r="F2458" t="s">
        <v>4</v>
      </c>
      <c r="G2458" t="str">
        <f t="shared" si="38"/>
        <v>2023-09</v>
      </c>
    </row>
    <row r="2459" spans="1:7" x14ac:dyDescent="0.3">
      <c r="A2459">
        <v>4022</v>
      </c>
      <c r="B2459" t="s">
        <v>19</v>
      </c>
      <c r="C2459" s="7">
        <v>150</v>
      </c>
      <c r="D2459" s="1">
        <v>44919</v>
      </c>
      <c r="E2459" s="29">
        <v>2.9</v>
      </c>
      <c r="F2459" t="s">
        <v>1</v>
      </c>
      <c r="G2459" t="str">
        <f t="shared" si="38"/>
        <v>2022-12</v>
      </c>
    </row>
    <row r="2460" spans="1:7" x14ac:dyDescent="0.3">
      <c r="A2460">
        <v>3979</v>
      </c>
      <c r="B2460" t="s">
        <v>14</v>
      </c>
      <c r="C2460" s="7">
        <v>102.377358490566</v>
      </c>
      <c r="D2460" s="1">
        <v>44906</v>
      </c>
      <c r="E2460" s="29">
        <v>1.2</v>
      </c>
      <c r="F2460" t="s">
        <v>1</v>
      </c>
      <c r="G2460" t="str">
        <f t="shared" si="38"/>
        <v>2022-12</v>
      </c>
    </row>
    <row r="2461" spans="1:7" x14ac:dyDescent="0.3">
      <c r="A2461">
        <v>3996</v>
      </c>
      <c r="B2461" t="s">
        <v>19</v>
      </c>
      <c r="C2461" s="7">
        <v>74</v>
      </c>
      <c r="D2461" s="1">
        <v>44934</v>
      </c>
      <c r="E2461" s="29">
        <v>1.2</v>
      </c>
      <c r="F2461" t="s">
        <v>4</v>
      </c>
      <c r="G2461" t="str">
        <f t="shared" si="38"/>
        <v>2023-01</v>
      </c>
    </row>
    <row r="2462" spans="1:7" x14ac:dyDescent="0.3">
      <c r="A2462">
        <v>4035</v>
      </c>
      <c r="B2462" t="s">
        <v>51</v>
      </c>
      <c r="C2462" s="7">
        <v>105.1</v>
      </c>
      <c r="D2462" s="1">
        <v>45138</v>
      </c>
      <c r="E2462" s="29">
        <v>1.2</v>
      </c>
      <c r="F2462" t="s">
        <v>4</v>
      </c>
      <c r="G2462" t="str">
        <f t="shared" si="38"/>
        <v>2023-07</v>
      </c>
    </row>
    <row r="2463" spans="1:7" x14ac:dyDescent="0.3">
      <c r="A2463">
        <v>4061</v>
      </c>
      <c r="B2463" t="s">
        <v>35</v>
      </c>
      <c r="C2463" s="7">
        <v>134</v>
      </c>
      <c r="D2463" s="1">
        <v>45107</v>
      </c>
      <c r="E2463" s="29">
        <v>2</v>
      </c>
      <c r="F2463" t="s">
        <v>1</v>
      </c>
      <c r="G2463" t="str">
        <f t="shared" si="38"/>
        <v>2023-06</v>
      </c>
    </row>
    <row r="2464" spans="1:7" x14ac:dyDescent="0.3">
      <c r="A2464">
        <v>4000</v>
      </c>
      <c r="B2464" t="s">
        <v>11</v>
      </c>
      <c r="C2464" s="7">
        <v>101</v>
      </c>
      <c r="D2464" s="1">
        <v>45196</v>
      </c>
      <c r="E2464" s="29">
        <v>1.8</v>
      </c>
      <c r="F2464" t="s">
        <v>4</v>
      </c>
      <c r="G2464" t="str">
        <f t="shared" si="38"/>
        <v>2023-09</v>
      </c>
    </row>
    <row r="2465" spans="1:7" x14ac:dyDescent="0.3">
      <c r="A2465">
        <v>3972</v>
      </c>
      <c r="B2465" t="s">
        <v>47</v>
      </c>
      <c r="C2465" s="7">
        <v>106.297872340425</v>
      </c>
      <c r="D2465" s="1">
        <v>44991</v>
      </c>
      <c r="E2465" s="29">
        <v>2.4</v>
      </c>
      <c r="F2465" t="s">
        <v>1</v>
      </c>
      <c r="G2465" t="str">
        <f t="shared" si="38"/>
        <v>2023-03</v>
      </c>
    </row>
    <row r="2466" spans="1:7" x14ac:dyDescent="0.3">
      <c r="A2466">
        <v>4114</v>
      </c>
      <c r="B2466" t="s">
        <v>6</v>
      </c>
      <c r="C2466" s="7">
        <v>35</v>
      </c>
      <c r="D2466" s="1">
        <v>45090</v>
      </c>
      <c r="E2466" s="29">
        <v>2</v>
      </c>
      <c r="F2466" t="s">
        <v>1</v>
      </c>
      <c r="G2466" t="str">
        <f t="shared" si="38"/>
        <v>2023-06</v>
      </c>
    </row>
    <row r="2467" spans="1:7" x14ac:dyDescent="0.3">
      <c r="A2467">
        <v>4040</v>
      </c>
      <c r="B2467" t="s">
        <v>22</v>
      </c>
      <c r="C2467" s="7">
        <v>27</v>
      </c>
      <c r="D2467" s="1">
        <v>44989</v>
      </c>
      <c r="E2467" s="29">
        <v>3.8</v>
      </c>
      <c r="F2467" t="s">
        <v>1</v>
      </c>
      <c r="G2467" t="str">
        <f t="shared" si="38"/>
        <v>2023-03</v>
      </c>
    </row>
    <row r="2468" spans="1:7" x14ac:dyDescent="0.3">
      <c r="A2468">
        <v>4003</v>
      </c>
      <c r="B2468" t="s">
        <v>29</v>
      </c>
      <c r="C2468" s="7">
        <v>91</v>
      </c>
      <c r="D2468" s="1">
        <v>44924</v>
      </c>
      <c r="E2468" s="29">
        <v>1.9</v>
      </c>
      <c r="F2468" t="s">
        <v>4</v>
      </c>
      <c r="G2468" t="str">
        <f t="shared" si="38"/>
        <v>2022-12</v>
      </c>
    </row>
    <row r="2469" spans="1:7" x14ac:dyDescent="0.3">
      <c r="A2469">
        <v>3963</v>
      </c>
      <c r="B2469" t="s">
        <v>41</v>
      </c>
      <c r="C2469" s="7">
        <v>94</v>
      </c>
      <c r="D2469" s="1">
        <v>45162</v>
      </c>
      <c r="E2469" s="29">
        <v>1.4</v>
      </c>
      <c r="F2469" t="s">
        <v>4</v>
      </c>
      <c r="G2469" t="str">
        <f t="shared" si="38"/>
        <v>2023-08</v>
      </c>
    </row>
    <row r="2470" spans="1:7" x14ac:dyDescent="0.3">
      <c r="A2470">
        <v>3971</v>
      </c>
      <c r="B2470" t="s">
        <v>0</v>
      </c>
      <c r="C2470" s="7">
        <v>88</v>
      </c>
      <c r="D2470" s="1">
        <v>44918</v>
      </c>
      <c r="E2470" s="29">
        <v>3.0636363636363599</v>
      </c>
      <c r="F2470" t="s">
        <v>1</v>
      </c>
      <c r="G2470" t="str">
        <f t="shared" si="38"/>
        <v>2022-12</v>
      </c>
    </row>
    <row r="2471" spans="1:7" x14ac:dyDescent="0.3">
      <c r="A2471">
        <v>4033</v>
      </c>
      <c r="B2471" t="s">
        <v>15</v>
      </c>
      <c r="C2471" s="7">
        <v>49</v>
      </c>
      <c r="D2471" s="1">
        <v>45010</v>
      </c>
      <c r="E2471" s="29">
        <v>3.1</v>
      </c>
      <c r="F2471" t="s">
        <v>4</v>
      </c>
      <c r="G2471" t="str">
        <f t="shared" si="38"/>
        <v>2023-03</v>
      </c>
    </row>
    <row r="2472" spans="1:7" x14ac:dyDescent="0.3">
      <c r="A2472">
        <v>4056</v>
      </c>
      <c r="B2472" t="s">
        <v>23</v>
      </c>
      <c r="C2472" s="7">
        <v>103</v>
      </c>
      <c r="D2472" s="1">
        <v>45039</v>
      </c>
      <c r="E2472" s="29">
        <v>4.0999999999999996</v>
      </c>
      <c r="F2472" t="s">
        <v>1</v>
      </c>
      <c r="G2472" t="str">
        <f t="shared" si="38"/>
        <v>2023-04</v>
      </c>
    </row>
    <row r="2473" spans="1:7" x14ac:dyDescent="0.3">
      <c r="A2473">
        <v>3982</v>
      </c>
      <c r="B2473" t="s">
        <v>13</v>
      </c>
      <c r="C2473" s="7">
        <v>119</v>
      </c>
      <c r="D2473" s="1">
        <v>45072</v>
      </c>
      <c r="E2473" s="29">
        <v>3.4</v>
      </c>
      <c r="F2473" t="s">
        <v>1</v>
      </c>
      <c r="G2473" t="str">
        <f t="shared" si="38"/>
        <v>2023-05</v>
      </c>
    </row>
    <row r="2474" spans="1:7" x14ac:dyDescent="0.3">
      <c r="A2474">
        <v>4038</v>
      </c>
      <c r="B2474" t="s">
        <v>37</v>
      </c>
      <c r="C2474" s="7">
        <v>97.720588235294102</v>
      </c>
      <c r="D2474" s="1">
        <v>45094</v>
      </c>
      <c r="E2474" s="29">
        <v>3.4</v>
      </c>
      <c r="F2474" t="s">
        <v>4</v>
      </c>
      <c r="G2474" t="str">
        <f t="shared" si="38"/>
        <v>2023-06</v>
      </c>
    </row>
    <row r="2475" spans="1:7" x14ac:dyDescent="0.3">
      <c r="A2475">
        <v>3993</v>
      </c>
      <c r="B2475" t="s">
        <v>12</v>
      </c>
      <c r="C2475" s="7">
        <v>66</v>
      </c>
      <c r="D2475" s="1">
        <v>45192</v>
      </c>
      <c r="E2475" s="29">
        <v>1.8</v>
      </c>
      <c r="F2475" t="s">
        <v>4</v>
      </c>
      <c r="G2475" t="str">
        <f t="shared" si="38"/>
        <v>2023-09</v>
      </c>
    </row>
    <row r="2476" spans="1:7" x14ac:dyDescent="0.3">
      <c r="A2476">
        <v>4062</v>
      </c>
      <c r="B2476" t="s">
        <v>12</v>
      </c>
      <c r="C2476" s="7">
        <v>174</v>
      </c>
      <c r="D2476" s="1">
        <v>45087</v>
      </c>
      <c r="E2476" s="29">
        <v>2.6</v>
      </c>
      <c r="F2476" t="s">
        <v>4</v>
      </c>
      <c r="G2476" t="str">
        <f t="shared" si="38"/>
        <v>2023-06</v>
      </c>
    </row>
    <row r="2477" spans="1:7" x14ac:dyDescent="0.3">
      <c r="A2477">
        <v>4039</v>
      </c>
      <c r="B2477" t="s">
        <v>31</v>
      </c>
      <c r="C2477" s="7">
        <v>102</v>
      </c>
      <c r="D2477" s="1">
        <v>44868</v>
      </c>
      <c r="E2477" s="29">
        <v>1.9</v>
      </c>
      <c r="F2477" t="s">
        <v>1</v>
      </c>
      <c r="G2477" t="str">
        <f t="shared" si="38"/>
        <v>2022-11</v>
      </c>
    </row>
    <row r="2478" spans="1:7" x14ac:dyDescent="0.3">
      <c r="A2478">
        <v>4023</v>
      </c>
      <c r="B2478" t="s">
        <v>31</v>
      </c>
      <c r="C2478" s="7">
        <v>88.827586206896498</v>
      </c>
      <c r="D2478" s="1">
        <v>45098</v>
      </c>
      <c r="E2478" s="29">
        <v>4.4000000000000004</v>
      </c>
      <c r="F2478" t="s">
        <v>4</v>
      </c>
      <c r="G2478" t="str">
        <f t="shared" si="38"/>
        <v>2023-06</v>
      </c>
    </row>
    <row r="2479" spans="1:7" x14ac:dyDescent="0.3">
      <c r="A2479">
        <v>4053</v>
      </c>
      <c r="B2479" t="s">
        <v>21</v>
      </c>
      <c r="C2479" s="7">
        <v>132</v>
      </c>
      <c r="D2479" s="1">
        <v>45092</v>
      </c>
      <c r="E2479" s="29">
        <v>4.8</v>
      </c>
      <c r="F2479" t="s">
        <v>1</v>
      </c>
      <c r="G2479" t="str">
        <f t="shared" si="38"/>
        <v>2023-06</v>
      </c>
    </row>
    <row r="2480" spans="1:7" x14ac:dyDescent="0.3">
      <c r="A2480">
        <v>3987</v>
      </c>
      <c r="B2480" t="s">
        <v>30</v>
      </c>
      <c r="C2480" s="7">
        <v>101</v>
      </c>
      <c r="D2480" s="1">
        <v>45105</v>
      </c>
      <c r="E2480" s="29">
        <v>3.4</v>
      </c>
      <c r="F2480" t="s">
        <v>4</v>
      </c>
      <c r="G2480" t="str">
        <f t="shared" si="38"/>
        <v>2023-06</v>
      </c>
    </row>
    <row r="2481" spans="1:7" x14ac:dyDescent="0.3">
      <c r="A2481">
        <v>3970</v>
      </c>
      <c r="B2481" t="s">
        <v>30</v>
      </c>
      <c r="C2481" s="7">
        <v>134</v>
      </c>
      <c r="D2481" s="1">
        <v>44908</v>
      </c>
      <c r="E2481" s="29">
        <v>4</v>
      </c>
      <c r="F2481" t="s">
        <v>1</v>
      </c>
      <c r="G2481" t="str">
        <f t="shared" si="38"/>
        <v>2022-12</v>
      </c>
    </row>
    <row r="2482" spans="1:7" x14ac:dyDescent="0.3">
      <c r="A2482">
        <v>4008</v>
      </c>
      <c r="B2482" t="s">
        <v>2</v>
      </c>
      <c r="C2482" s="7">
        <v>54</v>
      </c>
      <c r="D2482" s="1">
        <v>44901</v>
      </c>
      <c r="E2482" s="29">
        <v>2.6</v>
      </c>
      <c r="F2482" t="s">
        <v>1</v>
      </c>
      <c r="G2482" t="str">
        <f t="shared" si="38"/>
        <v>2022-12</v>
      </c>
    </row>
    <row r="2483" spans="1:7" x14ac:dyDescent="0.3">
      <c r="A2483">
        <v>4018</v>
      </c>
      <c r="B2483" t="s">
        <v>11</v>
      </c>
      <c r="C2483" s="7">
        <v>30</v>
      </c>
      <c r="D2483" s="1">
        <v>44940</v>
      </c>
      <c r="E2483" s="29">
        <v>3</v>
      </c>
      <c r="F2483" t="s">
        <v>4</v>
      </c>
      <c r="G2483" t="str">
        <f t="shared" si="38"/>
        <v>2023-01</v>
      </c>
    </row>
    <row r="2484" spans="1:7" x14ac:dyDescent="0.3">
      <c r="A2484">
        <v>4109</v>
      </c>
      <c r="B2484" t="s">
        <v>15</v>
      </c>
      <c r="C2484" s="7">
        <v>45</v>
      </c>
      <c r="D2484" s="1">
        <v>45066</v>
      </c>
      <c r="E2484" s="29">
        <v>3.2</v>
      </c>
      <c r="F2484" t="s">
        <v>4</v>
      </c>
      <c r="G2484" t="str">
        <f t="shared" si="38"/>
        <v>2023-05</v>
      </c>
    </row>
    <row r="2485" spans="1:7" x14ac:dyDescent="0.3">
      <c r="A2485">
        <v>4107</v>
      </c>
      <c r="B2485" t="s">
        <v>48</v>
      </c>
      <c r="C2485" s="7">
        <v>60</v>
      </c>
      <c r="D2485" s="1">
        <v>45105</v>
      </c>
      <c r="E2485" s="29">
        <v>4.5999999999999996</v>
      </c>
      <c r="F2485" t="s">
        <v>4</v>
      </c>
      <c r="G2485" t="str">
        <f t="shared" si="38"/>
        <v>2023-06</v>
      </c>
    </row>
    <row r="2486" spans="1:7" x14ac:dyDescent="0.3">
      <c r="A2486">
        <v>4017</v>
      </c>
      <c r="B2486" t="s">
        <v>48</v>
      </c>
      <c r="C2486" s="7">
        <v>170</v>
      </c>
      <c r="D2486" s="1">
        <v>45165</v>
      </c>
      <c r="E2486" s="29">
        <v>2.9</v>
      </c>
      <c r="F2486" t="s">
        <v>1</v>
      </c>
      <c r="G2486" t="str">
        <f t="shared" si="38"/>
        <v>2023-08</v>
      </c>
    </row>
    <row r="2487" spans="1:7" x14ac:dyDescent="0.3">
      <c r="A2487">
        <v>4083</v>
      </c>
      <c r="B2487" t="s">
        <v>7</v>
      </c>
      <c r="C2487" s="7">
        <v>99.697674418604606</v>
      </c>
      <c r="D2487" s="1">
        <v>45115</v>
      </c>
      <c r="E2487" s="29">
        <v>4.3</v>
      </c>
      <c r="F2487" t="s">
        <v>4</v>
      </c>
      <c r="G2487" t="str">
        <f t="shared" si="38"/>
        <v>2023-07</v>
      </c>
    </row>
    <row r="2488" spans="1:7" x14ac:dyDescent="0.3">
      <c r="A2488">
        <v>4087</v>
      </c>
      <c r="B2488" t="s">
        <v>40</v>
      </c>
      <c r="C2488" s="7">
        <v>106.80769230769199</v>
      </c>
      <c r="D2488" s="1">
        <v>45168</v>
      </c>
      <c r="E2488" s="29">
        <v>1.1000000000000001</v>
      </c>
      <c r="F2488" t="s">
        <v>1</v>
      </c>
      <c r="G2488" t="str">
        <f t="shared" si="38"/>
        <v>2023-08</v>
      </c>
    </row>
    <row r="2489" spans="1:7" x14ac:dyDescent="0.3">
      <c r="A2489">
        <v>4086</v>
      </c>
      <c r="B2489" t="s">
        <v>6</v>
      </c>
      <c r="C2489" s="7">
        <v>114.77966101694901</v>
      </c>
      <c r="D2489" s="1">
        <v>45083</v>
      </c>
      <c r="E2489" s="29">
        <v>4.0999999999999996</v>
      </c>
      <c r="F2489" t="s">
        <v>1</v>
      </c>
      <c r="G2489" t="str">
        <f t="shared" si="38"/>
        <v>2023-06</v>
      </c>
    </row>
    <row r="2490" spans="1:7" x14ac:dyDescent="0.3">
      <c r="A2490">
        <v>4055</v>
      </c>
      <c r="B2490" t="s">
        <v>12</v>
      </c>
      <c r="C2490" s="7">
        <v>17</v>
      </c>
      <c r="D2490" s="1">
        <v>44865</v>
      </c>
      <c r="E2490" s="29">
        <v>1.5</v>
      </c>
      <c r="F2490" t="s">
        <v>1</v>
      </c>
      <c r="G2490" t="str">
        <f t="shared" si="38"/>
        <v>2022-10</v>
      </c>
    </row>
    <row r="2491" spans="1:7" x14ac:dyDescent="0.3">
      <c r="A2491">
        <v>3986</v>
      </c>
      <c r="B2491" t="s">
        <v>34</v>
      </c>
      <c r="C2491" s="7">
        <v>158</v>
      </c>
      <c r="D2491" s="1">
        <v>45004</v>
      </c>
      <c r="E2491" s="29">
        <v>4.7</v>
      </c>
      <c r="F2491" t="s">
        <v>4</v>
      </c>
      <c r="G2491" t="str">
        <f t="shared" si="38"/>
        <v>2023-03</v>
      </c>
    </row>
    <row r="2492" spans="1:7" x14ac:dyDescent="0.3">
      <c r="A2492">
        <v>4025</v>
      </c>
      <c r="B2492" t="s">
        <v>25</v>
      </c>
      <c r="C2492" s="7">
        <v>161</v>
      </c>
      <c r="D2492" s="1">
        <v>45172</v>
      </c>
      <c r="E2492" s="29">
        <v>2.5</v>
      </c>
      <c r="F2492" t="s">
        <v>4</v>
      </c>
      <c r="G2492" t="str">
        <f t="shared" si="38"/>
        <v>2023-09</v>
      </c>
    </row>
    <row r="2493" spans="1:7" x14ac:dyDescent="0.3">
      <c r="A2493">
        <v>3972</v>
      </c>
      <c r="B2493" t="s">
        <v>3</v>
      </c>
      <c r="C2493" s="7">
        <v>19</v>
      </c>
      <c r="D2493" s="1">
        <v>45115</v>
      </c>
      <c r="E2493" s="29">
        <v>3.8</v>
      </c>
      <c r="F2493" t="s">
        <v>1</v>
      </c>
      <c r="G2493" t="str">
        <f t="shared" si="38"/>
        <v>2023-07</v>
      </c>
    </row>
    <row r="2494" spans="1:7" x14ac:dyDescent="0.3">
      <c r="A2494">
        <v>4038</v>
      </c>
      <c r="B2494" t="s">
        <v>41</v>
      </c>
      <c r="C2494" s="7">
        <v>149</v>
      </c>
      <c r="D2494" s="1">
        <v>44984</v>
      </c>
      <c r="E2494" s="29">
        <v>2.1</v>
      </c>
      <c r="F2494" t="s">
        <v>4</v>
      </c>
      <c r="G2494" t="str">
        <f t="shared" si="38"/>
        <v>2023-02</v>
      </c>
    </row>
    <row r="2495" spans="1:7" x14ac:dyDescent="0.3">
      <c r="A2495">
        <v>4075</v>
      </c>
      <c r="B2495" t="s">
        <v>17</v>
      </c>
      <c r="C2495" s="7">
        <v>148</v>
      </c>
      <c r="D2495" s="1">
        <v>44870</v>
      </c>
      <c r="E2495" s="29">
        <v>1.5</v>
      </c>
      <c r="F2495" t="s">
        <v>4</v>
      </c>
      <c r="G2495" t="str">
        <f t="shared" si="38"/>
        <v>2022-11</v>
      </c>
    </row>
    <row r="2496" spans="1:7" x14ac:dyDescent="0.3">
      <c r="A2496">
        <v>4098</v>
      </c>
      <c r="B2496" t="s">
        <v>16</v>
      </c>
      <c r="C2496" s="7">
        <v>48</v>
      </c>
      <c r="D2496" s="1">
        <v>45034</v>
      </c>
      <c r="E2496" s="29">
        <v>2.7</v>
      </c>
      <c r="F2496" t="s">
        <v>4</v>
      </c>
      <c r="G2496" t="str">
        <f t="shared" si="38"/>
        <v>2023-04</v>
      </c>
    </row>
    <row r="2497" spans="1:7" x14ac:dyDescent="0.3">
      <c r="A2497">
        <v>4061</v>
      </c>
      <c r="B2497" t="s">
        <v>17</v>
      </c>
      <c r="C2497" s="7">
        <v>67</v>
      </c>
      <c r="D2497" s="1">
        <v>45103</v>
      </c>
      <c r="E2497" s="29">
        <v>3.2240000000000002</v>
      </c>
      <c r="F2497" t="s">
        <v>4</v>
      </c>
      <c r="G2497" t="str">
        <f t="shared" si="38"/>
        <v>2023-06</v>
      </c>
    </row>
    <row r="2498" spans="1:7" x14ac:dyDescent="0.3">
      <c r="A2498">
        <v>3973</v>
      </c>
      <c r="B2498" t="s">
        <v>0</v>
      </c>
      <c r="C2498" s="7">
        <v>160</v>
      </c>
      <c r="D2498" s="1">
        <v>44861</v>
      </c>
      <c r="E2498" s="29">
        <v>1.9</v>
      </c>
      <c r="F2498" t="s">
        <v>1</v>
      </c>
      <c r="G2498" t="str">
        <f t="shared" si="38"/>
        <v>2022-10</v>
      </c>
    </row>
    <row r="2499" spans="1:7" x14ac:dyDescent="0.3">
      <c r="A2499">
        <v>4080</v>
      </c>
      <c r="B2499" t="s">
        <v>41</v>
      </c>
      <c r="C2499" s="7">
        <v>84</v>
      </c>
      <c r="D2499" s="1">
        <v>45032</v>
      </c>
      <c r="E2499" s="29">
        <v>4.2</v>
      </c>
      <c r="F2499" t="s">
        <v>4</v>
      </c>
      <c r="G2499" t="str">
        <f t="shared" ref="G2499:G2562" si="39">TEXT(D2499,"ГГГГ-ММ")</f>
        <v>2023-04</v>
      </c>
    </row>
    <row r="2500" spans="1:7" x14ac:dyDescent="0.3">
      <c r="A2500">
        <v>3964</v>
      </c>
      <c r="B2500" t="s">
        <v>28</v>
      </c>
      <c r="C2500" s="7">
        <v>111.854838709677</v>
      </c>
      <c r="D2500" s="1">
        <v>45193</v>
      </c>
      <c r="E2500" s="29">
        <v>1.2</v>
      </c>
      <c r="F2500" t="s">
        <v>1</v>
      </c>
      <c r="G2500" t="str">
        <f t="shared" si="39"/>
        <v>2023-09</v>
      </c>
    </row>
    <row r="2501" spans="1:7" x14ac:dyDescent="0.3">
      <c r="A2501">
        <v>4061</v>
      </c>
      <c r="B2501" t="s">
        <v>38</v>
      </c>
      <c r="C2501" s="7">
        <v>33</v>
      </c>
      <c r="D2501" s="1">
        <v>44875</v>
      </c>
      <c r="E2501" s="29">
        <v>1.3</v>
      </c>
      <c r="F2501" t="s">
        <v>1</v>
      </c>
      <c r="G2501" t="str">
        <f t="shared" si="39"/>
        <v>2022-11</v>
      </c>
    </row>
    <row r="2502" spans="1:7" x14ac:dyDescent="0.3">
      <c r="A2502">
        <v>4119</v>
      </c>
      <c r="B2502" t="s">
        <v>16</v>
      </c>
      <c r="C2502" s="7">
        <v>138</v>
      </c>
      <c r="D2502" s="1">
        <v>44938</v>
      </c>
      <c r="E2502" s="29">
        <v>3.1</v>
      </c>
      <c r="F2502" t="s">
        <v>1</v>
      </c>
      <c r="G2502" t="str">
        <f t="shared" si="39"/>
        <v>2023-01</v>
      </c>
    </row>
    <row r="2503" spans="1:7" x14ac:dyDescent="0.3">
      <c r="A2503">
        <v>4016</v>
      </c>
      <c r="B2503" t="s">
        <v>10</v>
      </c>
      <c r="C2503" s="7">
        <v>120.375</v>
      </c>
      <c r="D2503" s="1">
        <v>45193</v>
      </c>
      <c r="E2503" s="29">
        <v>2.1</v>
      </c>
      <c r="F2503" t="s">
        <v>1</v>
      </c>
      <c r="G2503" t="str">
        <f t="shared" si="39"/>
        <v>2023-09</v>
      </c>
    </row>
    <row r="2504" spans="1:7" x14ac:dyDescent="0.3">
      <c r="A2504">
        <v>3961</v>
      </c>
      <c r="B2504" t="s">
        <v>44</v>
      </c>
      <c r="C2504" s="7">
        <v>167</v>
      </c>
      <c r="D2504" s="1">
        <v>44966</v>
      </c>
      <c r="E2504" s="29">
        <v>1.9</v>
      </c>
      <c r="F2504" t="s">
        <v>1</v>
      </c>
      <c r="G2504" t="str">
        <f t="shared" si="39"/>
        <v>2023-02</v>
      </c>
    </row>
    <row r="2505" spans="1:7" x14ac:dyDescent="0.3">
      <c r="A2505">
        <v>4025</v>
      </c>
      <c r="B2505" t="s">
        <v>2</v>
      </c>
      <c r="C2505" s="7">
        <v>141</v>
      </c>
      <c r="D2505" s="1">
        <v>45130</v>
      </c>
      <c r="E2505" s="29">
        <v>2.9</v>
      </c>
      <c r="F2505" t="s">
        <v>4</v>
      </c>
      <c r="G2505" t="str">
        <f t="shared" si="39"/>
        <v>2023-07</v>
      </c>
    </row>
    <row r="2506" spans="1:7" x14ac:dyDescent="0.3">
      <c r="A2506">
        <v>4098</v>
      </c>
      <c r="B2506" t="s">
        <v>20</v>
      </c>
      <c r="C2506" s="7">
        <v>105.95348837209301</v>
      </c>
      <c r="D2506" s="1">
        <v>45164</v>
      </c>
      <c r="E2506" s="29">
        <v>3.3</v>
      </c>
      <c r="F2506" t="s">
        <v>1</v>
      </c>
      <c r="G2506" t="str">
        <f t="shared" si="39"/>
        <v>2023-08</v>
      </c>
    </row>
    <row r="2507" spans="1:7" x14ac:dyDescent="0.3">
      <c r="A2507">
        <v>4107</v>
      </c>
      <c r="B2507" t="s">
        <v>14</v>
      </c>
      <c r="C2507" s="7">
        <v>102.377358490566</v>
      </c>
      <c r="D2507" s="1">
        <v>45025</v>
      </c>
      <c r="E2507" s="29">
        <v>2.6</v>
      </c>
      <c r="F2507" t="s">
        <v>1</v>
      </c>
      <c r="G2507" t="str">
        <f t="shared" si="39"/>
        <v>2023-04</v>
      </c>
    </row>
    <row r="2508" spans="1:7" x14ac:dyDescent="0.3">
      <c r="A2508">
        <v>3982</v>
      </c>
      <c r="B2508" t="s">
        <v>2</v>
      </c>
      <c r="C2508" s="7">
        <v>154</v>
      </c>
      <c r="D2508" s="1">
        <v>45041</v>
      </c>
      <c r="E2508" s="29">
        <v>3.9</v>
      </c>
      <c r="F2508" t="s">
        <v>4</v>
      </c>
      <c r="G2508" t="str">
        <f t="shared" si="39"/>
        <v>2023-04</v>
      </c>
    </row>
    <row r="2509" spans="1:7" x14ac:dyDescent="0.3">
      <c r="A2509">
        <v>4020</v>
      </c>
      <c r="B2509" t="s">
        <v>9</v>
      </c>
      <c r="C2509" s="7">
        <v>47</v>
      </c>
      <c r="D2509" s="1">
        <v>44992</v>
      </c>
      <c r="E2509" s="29">
        <v>3.4</v>
      </c>
      <c r="F2509" t="s">
        <v>1</v>
      </c>
      <c r="G2509" t="str">
        <f t="shared" si="39"/>
        <v>2023-03</v>
      </c>
    </row>
    <row r="2510" spans="1:7" x14ac:dyDescent="0.3">
      <c r="A2510">
        <v>4099</v>
      </c>
      <c r="B2510" t="s">
        <v>0</v>
      </c>
      <c r="C2510" s="7">
        <v>133</v>
      </c>
      <c r="D2510" s="1">
        <v>45075</v>
      </c>
      <c r="E2510" s="29">
        <v>1.3</v>
      </c>
      <c r="F2510" t="s">
        <v>4</v>
      </c>
      <c r="G2510" t="str">
        <f t="shared" si="39"/>
        <v>2023-05</v>
      </c>
    </row>
    <row r="2511" spans="1:7" x14ac:dyDescent="0.3">
      <c r="A2511">
        <v>3989</v>
      </c>
      <c r="B2511" t="s">
        <v>17</v>
      </c>
      <c r="C2511" s="7">
        <v>20</v>
      </c>
      <c r="D2511" s="1">
        <v>45130</v>
      </c>
      <c r="E2511" s="29">
        <v>2.2999999999999998</v>
      </c>
      <c r="F2511" t="s">
        <v>4</v>
      </c>
      <c r="G2511" t="str">
        <f t="shared" si="39"/>
        <v>2023-07</v>
      </c>
    </row>
    <row r="2512" spans="1:7" x14ac:dyDescent="0.3">
      <c r="A2512">
        <v>4034</v>
      </c>
      <c r="B2512" t="s">
        <v>29</v>
      </c>
      <c r="C2512" s="7">
        <v>134</v>
      </c>
      <c r="D2512" s="1">
        <v>45142</v>
      </c>
      <c r="E2512" s="29">
        <v>1.4</v>
      </c>
      <c r="F2512" t="s">
        <v>1</v>
      </c>
      <c r="G2512" t="str">
        <f t="shared" si="39"/>
        <v>2023-08</v>
      </c>
    </row>
    <row r="2513" spans="1:7" x14ac:dyDescent="0.3">
      <c r="A2513">
        <v>4102</v>
      </c>
      <c r="B2513" t="s">
        <v>42</v>
      </c>
      <c r="C2513" s="7">
        <v>77</v>
      </c>
      <c r="D2513" s="1">
        <v>45110</v>
      </c>
      <c r="E2513" s="29">
        <v>3.8</v>
      </c>
      <c r="F2513" t="s">
        <v>4</v>
      </c>
      <c r="G2513" t="str">
        <f t="shared" si="39"/>
        <v>2023-07</v>
      </c>
    </row>
    <row r="2514" spans="1:7" x14ac:dyDescent="0.3">
      <c r="A2514">
        <v>4061</v>
      </c>
      <c r="B2514" t="s">
        <v>51</v>
      </c>
      <c r="C2514" s="7">
        <v>20</v>
      </c>
      <c r="D2514" s="1">
        <v>44974</v>
      </c>
      <c r="E2514" s="29">
        <v>2.2000000000000002</v>
      </c>
      <c r="F2514" t="s">
        <v>1</v>
      </c>
      <c r="G2514" t="str">
        <f t="shared" si="39"/>
        <v>2023-02</v>
      </c>
    </row>
    <row r="2515" spans="1:7" x14ac:dyDescent="0.3">
      <c r="A2515">
        <v>4071</v>
      </c>
      <c r="B2515" t="s">
        <v>15</v>
      </c>
      <c r="C2515" s="7">
        <v>142</v>
      </c>
      <c r="D2515" s="1">
        <v>45036</v>
      </c>
      <c r="E2515" s="29">
        <v>2.6</v>
      </c>
      <c r="F2515" t="s">
        <v>1</v>
      </c>
      <c r="G2515" t="str">
        <f t="shared" si="39"/>
        <v>2023-04</v>
      </c>
    </row>
    <row r="2516" spans="1:7" x14ac:dyDescent="0.3">
      <c r="A2516">
        <v>3978</v>
      </c>
      <c r="B2516" t="s">
        <v>5</v>
      </c>
      <c r="C2516" s="7">
        <v>102</v>
      </c>
      <c r="D2516" s="1">
        <v>44848</v>
      </c>
      <c r="E2516" s="29">
        <v>4.3</v>
      </c>
      <c r="F2516" t="s">
        <v>4</v>
      </c>
      <c r="G2516" t="str">
        <f t="shared" si="39"/>
        <v>2022-10</v>
      </c>
    </row>
    <row r="2517" spans="1:7" x14ac:dyDescent="0.3">
      <c r="A2517">
        <v>4119</v>
      </c>
      <c r="B2517" t="s">
        <v>39</v>
      </c>
      <c r="C2517" s="7">
        <v>126</v>
      </c>
      <c r="D2517" s="1">
        <v>45183</v>
      </c>
      <c r="E2517" s="29">
        <v>4.0999999999999996</v>
      </c>
      <c r="F2517" t="s">
        <v>4</v>
      </c>
      <c r="G2517" t="str">
        <f t="shared" si="39"/>
        <v>2023-09</v>
      </c>
    </row>
    <row r="2518" spans="1:7" x14ac:dyDescent="0.3">
      <c r="A2518">
        <v>4085</v>
      </c>
      <c r="B2518" t="s">
        <v>11</v>
      </c>
      <c r="C2518" s="7">
        <v>20</v>
      </c>
      <c r="D2518" s="1">
        <v>45002</v>
      </c>
      <c r="E2518" s="29">
        <v>3</v>
      </c>
      <c r="F2518" t="s">
        <v>4</v>
      </c>
      <c r="G2518" t="str">
        <f t="shared" si="39"/>
        <v>2023-03</v>
      </c>
    </row>
    <row r="2519" spans="1:7" x14ac:dyDescent="0.3">
      <c r="A2519">
        <v>4009</v>
      </c>
      <c r="B2519" t="s">
        <v>12</v>
      </c>
      <c r="C2519" s="7">
        <v>92</v>
      </c>
      <c r="D2519" s="1">
        <v>45099</v>
      </c>
      <c r="E2519" s="29">
        <v>2.7</v>
      </c>
      <c r="F2519" t="s">
        <v>4</v>
      </c>
      <c r="G2519" t="str">
        <f t="shared" si="39"/>
        <v>2023-06</v>
      </c>
    </row>
    <row r="2520" spans="1:7" x14ac:dyDescent="0.3">
      <c r="A2520">
        <v>3993</v>
      </c>
      <c r="B2520" t="s">
        <v>13</v>
      </c>
      <c r="C2520" s="7">
        <v>112.64705882352899</v>
      </c>
      <c r="D2520" s="1">
        <v>45055</v>
      </c>
      <c r="E2520" s="29">
        <v>1.2</v>
      </c>
      <c r="F2520" t="s">
        <v>1</v>
      </c>
      <c r="G2520" t="str">
        <f t="shared" si="39"/>
        <v>2023-05</v>
      </c>
    </row>
    <row r="2521" spans="1:7" x14ac:dyDescent="0.3">
      <c r="A2521">
        <v>4052</v>
      </c>
      <c r="B2521" t="s">
        <v>50</v>
      </c>
      <c r="C2521" s="7">
        <v>172</v>
      </c>
      <c r="D2521" s="1">
        <v>45187</v>
      </c>
      <c r="E2521" s="29">
        <v>1.5</v>
      </c>
      <c r="F2521" t="s">
        <v>1</v>
      </c>
      <c r="G2521" t="str">
        <f t="shared" si="39"/>
        <v>2023-09</v>
      </c>
    </row>
    <row r="2522" spans="1:7" x14ac:dyDescent="0.3">
      <c r="A2522">
        <v>4095</v>
      </c>
      <c r="B2522" t="s">
        <v>44</v>
      </c>
      <c r="C2522" s="7">
        <v>199</v>
      </c>
      <c r="D2522" s="1">
        <v>45063</v>
      </c>
      <c r="E2522" s="29">
        <v>4.0999999999999996</v>
      </c>
      <c r="F2522" t="s">
        <v>4</v>
      </c>
      <c r="G2522" t="str">
        <f t="shared" si="39"/>
        <v>2023-05</v>
      </c>
    </row>
    <row r="2523" spans="1:7" x14ac:dyDescent="0.3">
      <c r="A2523">
        <v>4000</v>
      </c>
      <c r="B2523" t="s">
        <v>33</v>
      </c>
      <c r="C2523" s="7">
        <v>149</v>
      </c>
      <c r="D2523" s="1">
        <v>45155</v>
      </c>
      <c r="E2523" s="29">
        <v>2.96470588235294</v>
      </c>
      <c r="F2523" t="s">
        <v>1</v>
      </c>
      <c r="G2523" t="str">
        <f t="shared" si="39"/>
        <v>2023-08</v>
      </c>
    </row>
    <row r="2524" spans="1:7" x14ac:dyDescent="0.3">
      <c r="A2524">
        <v>4019</v>
      </c>
      <c r="B2524" t="s">
        <v>35</v>
      </c>
      <c r="C2524" s="7">
        <v>106</v>
      </c>
      <c r="D2524" s="1">
        <v>44973</v>
      </c>
      <c r="E2524" s="29">
        <v>3.4933333333333301</v>
      </c>
      <c r="F2524" t="s">
        <v>1</v>
      </c>
      <c r="G2524" t="str">
        <f t="shared" si="39"/>
        <v>2023-02</v>
      </c>
    </row>
    <row r="2525" spans="1:7" x14ac:dyDescent="0.3">
      <c r="A2525">
        <v>4094</v>
      </c>
      <c r="B2525" t="s">
        <v>49</v>
      </c>
      <c r="C2525" s="7">
        <v>103</v>
      </c>
      <c r="D2525" s="1">
        <v>45126</v>
      </c>
      <c r="E2525" s="29">
        <v>5</v>
      </c>
      <c r="F2525" t="s">
        <v>4</v>
      </c>
      <c r="G2525" t="str">
        <f t="shared" si="39"/>
        <v>2023-07</v>
      </c>
    </row>
    <row r="2526" spans="1:7" x14ac:dyDescent="0.3">
      <c r="A2526">
        <v>4065</v>
      </c>
      <c r="B2526" t="s">
        <v>12</v>
      </c>
      <c r="C2526" s="7">
        <v>29</v>
      </c>
      <c r="D2526" s="1">
        <v>45034</v>
      </c>
      <c r="E2526" s="29">
        <v>1.8</v>
      </c>
      <c r="F2526" t="s">
        <v>1</v>
      </c>
      <c r="G2526" t="str">
        <f t="shared" si="39"/>
        <v>2023-04</v>
      </c>
    </row>
    <row r="2527" spans="1:7" x14ac:dyDescent="0.3">
      <c r="A2527">
        <v>4099</v>
      </c>
      <c r="B2527" t="s">
        <v>30</v>
      </c>
      <c r="C2527" s="7">
        <v>106</v>
      </c>
      <c r="D2527" s="1">
        <v>44934</v>
      </c>
      <c r="E2527" s="29">
        <v>4.5</v>
      </c>
      <c r="F2527" t="s">
        <v>4</v>
      </c>
      <c r="G2527" t="str">
        <f t="shared" si="39"/>
        <v>2023-01</v>
      </c>
    </row>
    <row r="2528" spans="1:7" x14ac:dyDescent="0.3">
      <c r="A2528">
        <v>4072</v>
      </c>
      <c r="B2528" t="s">
        <v>45</v>
      </c>
      <c r="C2528" s="7">
        <v>67</v>
      </c>
      <c r="D2528" s="1">
        <v>45183</v>
      </c>
      <c r="E2528" s="29">
        <v>3.27111111111111</v>
      </c>
      <c r="F2528" t="s">
        <v>4</v>
      </c>
      <c r="G2528" t="str">
        <f t="shared" si="39"/>
        <v>2023-09</v>
      </c>
    </row>
    <row r="2529" spans="1:7" x14ac:dyDescent="0.3">
      <c r="A2529">
        <v>3967</v>
      </c>
      <c r="B2529" t="s">
        <v>21</v>
      </c>
      <c r="C2529" s="7">
        <v>100</v>
      </c>
      <c r="D2529" s="1">
        <v>45113</v>
      </c>
      <c r="E2529" s="29">
        <v>1.1000000000000001</v>
      </c>
      <c r="F2529" t="s">
        <v>4</v>
      </c>
      <c r="G2529" t="str">
        <f t="shared" si="39"/>
        <v>2023-07</v>
      </c>
    </row>
    <row r="2530" spans="1:7" x14ac:dyDescent="0.3">
      <c r="A2530">
        <v>3957</v>
      </c>
      <c r="B2530" t="s">
        <v>44</v>
      </c>
      <c r="C2530" s="7">
        <v>98</v>
      </c>
      <c r="D2530" s="1">
        <v>44959</v>
      </c>
      <c r="E2530" s="29">
        <v>2.8</v>
      </c>
      <c r="F2530" t="s">
        <v>4</v>
      </c>
      <c r="G2530" t="str">
        <f t="shared" si="39"/>
        <v>2023-02</v>
      </c>
    </row>
    <row r="2531" spans="1:7" x14ac:dyDescent="0.3">
      <c r="A2531">
        <v>4075</v>
      </c>
      <c r="B2531" t="s">
        <v>39</v>
      </c>
      <c r="C2531" s="7">
        <v>133</v>
      </c>
      <c r="D2531" s="1">
        <v>44837</v>
      </c>
      <c r="E2531" s="29">
        <v>4</v>
      </c>
      <c r="F2531" t="s">
        <v>1</v>
      </c>
      <c r="G2531" t="str">
        <f t="shared" si="39"/>
        <v>2022-10</v>
      </c>
    </row>
    <row r="2532" spans="1:7" x14ac:dyDescent="0.3">
      <c r="A2532">
        <v>4115</v>
      </c>
      <c r="B2532" t="s">
        <v>24</v>
      </c>
      <c r="C2532" s="7">
        <v>11</v>
      </c>
      <c r="D2532" s="1">
        <v>45153</v>
      </c>
      <c r="E2532" s="29">
        <v>3.1712328767123199</v>
      </c>
      <c r="F2532" t="s">
        <v>1</v>
      </c>
      <c r="G2532" t="str">
        <f t="shared" si="39"/>
        <v>2023-08</v>
      </c>
    </row>
    <row r="2533" spans="1:7" x14ac:dyDescent="0.3">
      <c r="A2533">
        <v>4031</v>
      </c>
      <c r="B2533" t="s">
        <v>38</v>
      </c>
      <c r="C2533" s="7">
        <v>45</v>
      </c>
      <c r="D2533" s="1">
        <v>45063</v>
      </c>
      <c r="E2533" s="29">
        <v>1.9</v>
      </c>
      <c r="F2533" t="s">
        <v>1</v>
      </c>
      <c r="G2533" t="str">
        <f t="shared" si="39"/>
        <v>2023-05</v>
      </c>
    </row>
    <row r="2534" spans="1:7" x14ac:dyDescent="0.3">
      <c r="A2534">
        <v>3999</v>
      </c>
      <c r="B2534" t="s">
        <v>30</v>
      </c>
      <c r="C2534" s="7">
        <v>68</v>
      </c>
      <c r="D2534" s="1">
        <v>44914</v>
      </c>
      <c r="E2534" s="29">
        <v>2.4</v>
      </c>
      <c r="F2534" t="s">
        <v>4</v>
      </c>
      <c r="G2534" t="str">
        <f t="shared" si="39"/>
        <v>2022-12</v>
      </c>
    </row>
    <row r="2535" spans="1:7" x14ac:dyDescent="0.3">
      <c r="A2535">
        <v>3957</v>
      </c>
      <c r="B2535" t="s">
        <v>0</v>
      </c>
      <c r="C2535" s="7">
        <v>112.145454545454</v>
      </c>
      <c r="D2535" s="1">
        <v>44939</v>
      </c>
      <c r="E2535" s="29">
        <v>3</v>
      </c>
      <c r="F2535" t="s">
        <v>4</v>
      </c>
      <c r="G2535" t="str">
        <f t="shared" si="39"/>
        <v>2023-01</v>
      </c>
    </row>
    <row r="2536" spans="1:7" x14ac:dyDescent="0.3">
      <c r="A2536">
        <v>3972</v>
      </c>
      <c r="B2536" t="s">
        <v>48</v>
      </c>
      <c r="C2536" s="7">
        <v>64</v>
      </c>
      <c r="D2536" s="1">
        <v>45038</v>
      </c>
      <c r="E2536" s="29">
        <v>3.3</v>
      </c>
      <c r="F2536" t="s">
        <v>4</v>
      </c>
      <c r="G2536" t="str">
        <f t="shared" si="39"/>
        <v>2023-04</v>
      </c>
    </row>
    <row r="2537" spans="1:7" x14ac:dyDescent="0.3">
      <c r="A2537">
        <v>4080</v>
      </c>
      <c r="B2537" t="s">
        <v>43</v>
      </c>
      <c r="C2537" s="7">
        <v>117.354166666666</v>
      </c>
      <c r="D2537" s="1">
        <v>44897</v>
      </c>
      <c r="E2537" s="29">
        <v>4.4000000000000004</v>
      </c>
      <c r="F2537" t="s">
        <v>4</v>
      </c>
      <c r="G2537" t="str">
        <f t="shared" si="39"/>
        <v>2022-12</v>
      </c>
    </row>
    <row r="2538" spans="1:7" x14ac:dyDescent="0.3">
      <c r="A2538">
        <v>4026</v>
      </c>
      <c r="B2538" t="s">
        <v>45</v>
      </c>
      <c r="C2538" s="7">
        <v>111.564102564102</v>
      </c>
      <c r="D2538" s="1">
        <v>44861</v>
      </c>
      <c r="E2538" s="29">
        <v>3.2</v>
      </c>
      <c r="F2538" t="s">
        <v>4</v>
      </c>
      <c r="G2538" t="str">
        <f t="shared" si="39"/>
        <v>2022-10</v>
      </c>
    </row>
    <row r="2539" spans="1:7" x14ac:dyDescent="0.3">
      <c r="A2539">
        <v>4110</v>
      </c>
      <c r="B2539" t="s">
        <v>51</v>
      </c>
      <c r="C2539" s="7">
        <v>40</v>
      </c>
      <c r="D2539" s="1">
        <v>45114</v>
      </c>
      <c r="E2539" s="29">
        <v>3.5</v>
      </c>
      <c r="F2539" t="s">
        <v>1</v>
      </c>
      <c r="G2539" t="str">
        <f t="shared" si="39"/>
        <v>2023-07</v>
      </c>
    </row>
    <row r="2540" spans="1:7" x14ac:dyDescent="0.3">
      <c r="A2540">
        <v>4021</v>
      </c>
      <c r="B2540" t="s">
        <v>17</v>
      </c>
      <c r="C2540" s="7">
        <v>116</v>
      </c>
      <c r="D2540" s="1">
        <v>44866</v>
      </c>
      <c r="E2540" s="29">
        <v>4.3</v>
      </c>
      <c r="F2540" t="s">
        <v>1</v>
      </c>
      <c r="G2540" t="str">
        <f t="shared" si="39"/>
        <v>2022-11</v>
      </c>
    </row>
    <row r="2541" spans="1:7" x14ac:dyDescent="0.3">
      <c r="A2541">
        <v>4054</v>
      </c>
      <c r="B2541" t="s">
        <v>18</v>
      </c>
      <c r="C2541" s="7">
        <v>194</v>
      </c>
      <c r="D2541" s="1">
        <v>45129</v>
      </c>
      <c r="E2541" s="29">
        <v>4.9000000000000004</v>
      </c>
      <c r="F2541" t="s">
        <v>4</v>
      </c>
      <c r="G2541" t="str">
        <f t="shared" si="39"/>
        <v>2023-07</v>
      </c>
    </row>
    <row r="2542" spans="1:7" x14ac:dyDescent="0.3">
      <c r="A2542">
        <v>4046</v>
      </c>
      <c r="B2542" t="s">
        <v>21</v>
      </c>
      <c r="C2542" s="7">
        <v>120.22</v>
      </c>
      <c r="D2542" s="1">
        <v>44908</v>
      </c>
      <c r="E2542" s="29">
        <v>2.2000000000000002</v>
      </c>
      <c r="F2542" t="s">
        <v>4</v>
      </c>
      <c r="G2542" t="str">
        <f t="shared" si="39"/>
        <v>2022-12</v>
      </c>
    </row>
    <row r="2543" spans="1:7" x14ac:dyDescent="0.3">
      <c r="A2543">
        <v>4118</v>
      </c>
      <c r="B2543" t="s">
        <v>28</v>
      </c>
      <c r="C2543" s="7">
        <v>132</v>
      </c>
      <c r="D2543" s="1">
        <v>45049</v>
      </c>
      <c r="E2543" s="29">
        <v>4.2</v>
      </c>
      <c r="F2543" t="s">
        <v>1</v>
      </c>
      <c r="G2543" t="str">
        <f t="shared" si="39"/>
        <v>2023-05</v>
      </c>
    </row>
    <row r="2544" spans="1:7" x14ac:dyDescent="0.3">
      <c r="A2544">
        <v>4011</v>
      </c>
      <c r="B2544" t="s">
        <v>10</v>
      </c>
      <c r="C2544" s="7">
        <v>51</v>
      </c>
      <c r="D2544" s="1">
        <v>44878</v>
      </c>
      <c r="E2544" s="29">
        <v>4.0999999999999996</v>
      </c>
      <c r="F2544" t="s">
        <v>4</v>
      </c>
      <c r="G2544" t="str">
        <f t="shared" si="39"/>
        <v>2022-11</v>
      </c>
    </row>
    <row r="2545" spans="1:7" x14ac:dyDescent="0.3">
      <c r="A2545">
        <v>4106</v>
      </c>
      <c r="B2545" t="s">
        <v>51</v>
      </c>
      <c r="C2545" s="7">
        <v>115</v>
      </c>
      <c r="D2545" s="1">
        <v>45032</v>
      </c>
      <c r="E2545" s="29">
        <v>1.9</v>
      </c>
      <c r="F2545" t="s">
        <v>1</v>
      </c>
      <c r="G2545" t="str">
        <f t="shared" si="39"/>
        <v>2023-04</v>
      </c>
    </row>
    <row r="2546" spans="1:7" x14ac:dyDescent="0.3">
      <c r="A2546">
        <v>4087</v>
      </c>
      <c r="B2546" t="s">
        <v>12</v>
      </c>
      <c r="C2546" s="7">
        <v>103.354166666666</v>
      </c>
      <c r="D2546" s="1">
        <v>45041</v>
      </c>
      <c r="E2546" s="29">
        <v>4.7</v>
      </c>
      <c r="F2546" t="s">
        <v>4</v>
      </c>
      <c r="G2546" t="str">
        <f t="shared" si="39"/>
        <v>2023-04</v>
      </c>
    </row>
    <row r="2547" spans="1:7" x14ac:dyDescent="0.3">
      <c r="A2547">
        <v>4029</v>
      </c>
      <c r="B2547" t="s">
        <v>24</v>
      </c>
      <c r="C2547" s="7">
        <v>95.292307692307602</v>
      </c>
      <c r="D2547" s="1">
        <v>44903</v>
      </c>
      <c r="E2547" s="29">
        <v>3.1</v>
      </c>
      <c r="F2547" t="s">
        <v>4</v>
      </c>
      <c r="G2547" t="str">
        <f t="shared" si="39"/>
        <v>2022-12</v>
      </c>
    </row>
    <row r="2548" spans="1:7" x14ac:dyDescent="0.3">
      <c r="A2548">
        <v>3968</v>
      </c>
      <c r="B2548" t="s">
        <v>5</v>
      </c>
      <c r="C2548" s="7">
        <v>51</v>
      </c>
      <c r="D2548" s="1">
        <v>44839</v>
      </c>
      <c r="E2548" s="29">
        <v>1.8</v>
      </c>
      <c r="F2548" t="s">
        <v>1</v>
      </c>
      <c r="G2548" t="str">
        <f t="shared" si="39"/>
        <v>2022-10</v>
      </c>
    </row>
    <row r="2549" spans="1:7" x14ac:dyDescent="0.3">
      <c r="A2549">
        <v>3998</v>
      </c>
      <c r="B2549" t="s">
        <v>37</v>
      </c>
      <c r="C2549" s="7">
        <v>97.720588235294102</v>
      </c>
      <c r="D2549" s="1">
        <v>44886</v>
      </c>
      <c r="E2549" s="29">
        <v>3.5</v>
      </c>
      <c r="F2549" t="s">
        <v>1</v>
      </c>
      <c r="G2549" t="str">
        <f t="shared" si="39"/>
        <v>2022-11</v>
      </c>
    </row>
    <row r="2550" spans="1:7" x14ac:dyDescent="0.3">
      <c r="A2550">
        <v>4093</v>
      </c>
      <c r="B2550" t="s">
        <v>18</v>
      </c>
      <c r="C2550" s="7">
        <v>156</v>
      </c>
      <c r="D2550" s="1">
        <v>45050</v>
      </c>
      <c r="E2550" s="29">
        <v>1.4</v>
      </c>
      <c r="F2550" t="s">
        <v>4</v>
      </c>
      <c r="G2550" t="str">
        <f t="shared" si="39"/>
        <v>2023-05</v>
      </c>
    </row>
    <row r="2551" spans="1:7" x14ac:dyDescent="0.3">
      <c r="A2551">
        <v>4101</v>
      </c>
      <c r="B2551" t="s">
        <v>40</v>
      </c>
      <c r="C2551" s="7">
        <v>106.80769230769199</v>
      </c>
      <c r="D2551" s="1">
        <v>45001</v>
      </c>
      <c r="E2551" s="29">
        <v>3.8</v>
      </c>
      <c r="F2551" t="s">
        <v>1</v>
      </c>
      <c r="G2551" t="str">
        <f t="shared" si="39"/>
        <v>2023-03</v>
      </c>
    </row>
    <row r="2552" spans="1:7" x14ac:dyDescent="0.3">
      <c r="A2552">
        <v>3974</v>
      </c>
      <c r="B2552" t="s">
        <v>33</v>
      </c>
      <c r="C2552" s="7">
        <v>113.54098360655701</v>
      </c>
      <c r="D2552" s="1">
        <v>45018</v>
      </c>
      <c r="E2552" s="29">
        <v>2.96470588235294</v>
      </c>
      <c r="F2552" t="s">
        <v>1</v>
      </c>
      <c r="G2552" t="str">
        <f t="shared" si="39"/>
        <v>2023-04</v>
      </c>
    </row>
    <row r="2553" spans="1:7" x14ac:dyDescent="0.3">
      <c r="A2553">
        <v>4033</v>
      </c>
      <c r="B2553" t="s">
        <v>31</v>
      </c>
      <c r="C2553" s="7">
        <v>142</v>
      </c>
      <c r="D2553" s="1">
        <v>44999</v>
      </c>
      <c r="E2553" s="29">
        <v>3</v>
      </c>
      <c r="F2553" t="s">
        <v>4</v>
      </c>
      <c r="G2553" t="str">
        <f t="shared" si="39"/>
        <v>2023-03</v>
      </c>
    </row>
    <row r="2554" spans="1:7" x14ac:dyDescent="0.3">
      <c r="A2554">
        <v>3979</v>
      </c>
      <c r="B2554" t="s">
        <v>5</v>
      </c>
      <c r="C2554" s="7">
        <v>163</v>
      </c>
      <c r="D2554" s="1">
        <v>45066</v>
      </c>
      <c r="E2554" s="29">
        <v>3.3</v>
      </c>
      <c r="F2554" t="s">
        <v>4</v>
      </c>
      <c r="G2554" t="str">
        <f t="shared" si="39"/>
        <v>2023-05</v>
      </c>
    </row>
    <row r="2555" spans="1:7" x14ac:dyDescent="0.3">
      <c r="A2555">
        <v>4058</v>
      </c>
      <c r="B2555" t="s">
        <v>43</v>
      </c>
      <c r="C2555" s="7">
        <v>173</v>
      </c>
      <c r="D2555" s="1">
        <v>45186</v>
      </c>
      <c r="E2555" s="29">
        <v>3.07213114754098</v>
      </c>
      <c r="F2555" t="s">
        <v>1</v>
      </c>
      <c r="G2555" t="str">
        <f t="shared" si="39"/>
        <v>2023-09</v>
      </c>
    </row>
    <row r="2556" spans="1:7" x14ac:dyDescent="0.3">
      <c r="A2556">
        <v>3988</v>
      </c>
      <c r="B2556" t="s">
        <v>20</v>
      </c>
      <c r="C2556" s="7">
        <v>105.95348837209301</v>
      </c>
      <c r="D2556" s="1">
        <v>45095</v>
      </c>
      <c r="E2556" s="29">
        <v>3.3</v>
      </c>
      <c r="F2556" t="s">
        <v>1</v>
      </c>
      <c r="G2556" t="str">
        <f t="shared" si="39"/>
        <v>2023-06</v>
      </c>
    </row>
    <row r="2557" spans="1:7" x14ac:dyDescent="0.3">
      <c r="A2557">
        <v>3992</v>
      </c>
      <c r="B2557" t="s">
        <v>28</v>
      </c>
      <c r="C2557" s="7">
        <v>179</v>
      </c>
      <c r="D2557" s="1">
        <v>45044</v>
      </c>
      <c r="E2557" s="29">
        <v>3.9</v>
      </c>
      <c r="F2557" t="s">
        <v>4</v>
      </c>
      <c r="G2557" t="str">
        <f t="shared" si="39"/>
        <v>2023-04</v>
      </c>
    </row>
    <row r="2558" spans="1:7" x14ac:dyDescent="0.3">
      <c r="A2558">
        <v>4099</v>
      </c>
      <c r="B2558" t="s">
        <v>24</v>
      </c>
      <c r="C2558" s="7">
        <v>31</v>
      </c>
      <c r="D2558" s="1">
        <v>44978</v>
      </c>
      <c r="E2558" s="29">
        <v>2</v>
      </c>
      <c r="F2558" t="s">
        <v>1</v>
      </c>
      <c r="G2558" t="str">
        <f t="shared" si="39"/>
        <v>2023-02</v>
      </c>
    </row>
    <row r="2559" spans="1:7" x14ac:dyDescent="0.3">
      <c r="A2559">
        <v>4028</v>
      </c>
      <c r="B2559" t="s">
        <v>21</v>
      </c>
      <c r="C2559" s="7">
        <v>165</v>
      </c>
      <c r="D2559" s="1">
        <v>45005</v>
      </c>
      <c r="E2559" s="29">
        <v>2.6</v>
      </c>
      <c r="F2559" t="s">
        <v>1</v>
      </c>
      <c r="G2559" t="str">
        <f t="shared" si="39"/>
        <v>2023-03</v>
      </c>
    </row>
    <row r="2560" spans="1:7" x14ac:dyDescent="0.3">
      <c r="A2560">
        <v>4067</v>
      </c>
      <c r="B2560" t="s">
        <v>46</v>
      </c>
      <c r="C2560" s="7">
        <v>133</v>
      </c>
      <c r="D2560" s="1">
        <v>45091</v>
      </c>
      <c r="E2560" s="29">
        <v>3.3</v>
      </c>
      <c r="F2560" t="s">
        <v>4</v>
      </c>
      <c r="G2560" t="str">
        <f t="shared" si="39"/>
        <v>2023-06</v>
      </c>
    </row>
    <row r="2561" spans="1:7" x14ac:dyDescent="0.3">
      <c r="A2561">
        <v>4010</v>
      </c>
      <c r="B2561" t="s">
        <v>2</v>
      </c>
      <c r="C2561" s="7">
        <v>93.340909090909093</v>
      </c>
      <c r="D2561" s="1">
        <v>45176</v>
      </c>
      <c r="E2561" s="29">
        <v>2.7</v>
      </c>
      <c r="F2561" t="s">
        <v>1</v>
      </c>
      <c r="G2561" t="str">
        <f t="shared" si="39"/>
        <v>2023-09</v>
      </c>
    </row>
    <row r="2562" spans="1:7" x14ac:dyDescent="0.3">
      <c r="A2562">
        <v>4113</v>
      </c>
      <c r="B2562" t="s">
        <v>48</v>
      </c>
      <c r="C2562" s="7">
        <v>163</v>
      </c>
      <c r="D2562" s="1">
        <v>45103</v>
      </c>
      <c r="E2562" s="29">
        <v>4.2</v>
      </c>
      <c r="F2562" t="s">
        <v>4</v>
      </c>
      <c r="G2562" t="str">
        <f t="shared" si="39"/>
        <v>2023-06</v>
      </c>
    </row>
    <row r="2563" spans="1:7" x14ac:dyDescent="0.3">
      <c r="A2563">
        <v>4086</v>
      </c>
      <c r="B2563" t="s">
        <v>21</v>
      </c>
      <c r="C2563" s="7">
        <v>120.22</v>
      </c>
      <c r="D2563" s="1">
        <v>45040</v>
      </c>
      <c r="E2563" s="29">
        <v>3.6</v>
      </c>
      <c r="F2563" t="s">
        <v>4</v>
      </c>
      <c r="G2563" t="str">
        <f t="shared" ref="G2563:G2626" si="40">TEXT(D2563,"ГГГГ-ММ")</f>
        <v>2023-04</v>
      </c>
    </row>
    <row r="2564" spans="1:7" x14ac:dyDescent="0.3">
      <c r="A2564">
        <v>4038</v>
      </c>
      <c r="B2564" t="s">
        <v>39</v>
      </c>
      <c r="C2564" s="7">
        <v>56</v>
      </c>
      <c r="D2564" s="1">
        <v>45001</v>
      </c>
      <c r="E2564" s="29">
        <v>3.6</v>
      </c>
      <c r="F2564" t="s">
        <v>4</v>
      </c>
      <c r="G2564" t="str">
        <f t="shared" si="40"/>
        <v>2023-03</v>
      </c>
    </row>
    <row r="2565" spans="1:7" x14ac:dyDescent="0.3">
      <c r="A2565">
        <v>4044</v>
      </c>
      <c r="B2565" t="s">
        <v>29</v>
      </c>
      <c r="C2565" s="7">
        <v>140</v>
      </c>
      <c r="D2565" s="1">
        <v>45003</v>
      </c>
      <c r="E2565" s="29">
        <v>4</v>
      </c>
      <c r="F2565" t="s">
        <v>1</v>
      </c>
      <c r="G2565" t="str">
        <f t="shared" si="40"/>
        <v>2023-03</v>
      </c>
    </row>
    <row r="2566" spans="1:7" x14ac:dyDescent="0.3">
      <c r="A2566">
        <v>4119</v>
      </c>
      <c r="B2566" t="s">
        <v>46</v>
      </c>
      <c r="C2566" s="7">
        <v>195</v>
      </c>
      <c r="D2566" s="1">
        <v>45019</v>
      </c>
      <c r="E2566" s="29">
        <v>4</v>
      </c>
      <c r="F2566" t="s">
        <v>1</v>
      </c>
      <c r="G2566" t="str">
        <f t="shared" si="40"/>
        <v>2023-04</v>
      </c>
    </row>
    <row r="2567" spans="1:7" x14ac:dyDescent="0.3">
      <c r="A2567">
        <v>4023</v>
      </c>
      <c r="B2567" t="s">
        <v>9</v>
      </c>
      <c r="C2567" s="7">
        <v>126</v>
      </c>
      <c r="D2567" s="1">
        <v>45088</v>
      </c>
      <c r="E2567" s="29">
        <v>1.4</v>
      </c>
      <c r="F2567" t="s">
        <v>1</v>
      </c>
      <c r="G2567" t="str">
        <f t="shared" si="40"/>
        <v>2023-06</v>
      </c>
    </row>
    <row r="2568" spans="1:7" x14ac:dyDescent="0.3">
      <c r="A2568">
        <v>4072</v>
      </c>
      <c r="B2568" t="s">
        <v>24</v>
      </c>
      <c r="C2568" s="7">
        <v>27</v>
      </c>
      <c r="D2568" s="1">
        <v>45016</v>
      </c>
      <c r="E2568" s="29">
        <v>1.6</v>
      </c>
      <c r="F2568" t="s">
        <v>4</v>
      </c>
      <c r="G2568" t="str">
        <f t="shared" si="40"/>
        <v>2023-03</v>
      </c>
    </row>
    <row r="2569" spans="1:7" x14ac:dyDescent="0.3">
      <c r="A2569">
        <v>4026</v>
      </c>
      <c r="B2569" t="s">
        <v>45</v>
      </c>
      <c r="C2569" s="7">
        <v>108</v>
      </c>
      <c r="D2569" s="1">
        <v>44887</v>
      </c>
      <c r="E2569" s="29">
        <v>3.3</v>
      </c>
      <c r="F2569" t="s">
        <v>4</v>
      </c>
      <c r="G2569" t="str">
        <f t="shared" si="40"/>
        <v>2022-11</v>
      </c>
    </row>
    <row r="2570" spans="1:7" x14ac:dyDescent="0.3">
      <c r="A2570">
        <v>4019</v>
      </c>
      <c r="B2570" t="s">
        <v>25</v>
      </c>
      <c r="C2570" s="7">
        <v>112.745762711864</v>
      </c>
      <c r="D2570" s="1">
        <v>44924</v>
      </c>
      <c r="E2570" s="29">
        <v>3.3</v>
      </c>
      <c r="F2570" t="s">
        <v>4</v>
      </c>
      <c r="G2570" t="str">
        <f t="shared" si="40"/>
        <v>2022-12</v>
      </c>
    </row>
    <row r="2571" spans="1:7" x14ac:dyDescent="0.3">
      <c r="A2571">
        <v>4039</v>
      </c>
      <c r="B2571" t="s">
        <v>11</v>
      </c>
      <c r="C2571" s="7">
        <v>109.08474576271099</v>
      </c>
      <c r="D2571" s="1">
        <v>44966</v>
      </c>
      <c r="E2571" s="29">
        <v>3.3</v>
      </c>
      <c r="F2571" t="s">
        <v>4</v>
      </c>
      <c r="G2571" t="str">
        <f t="shared" si="40"/>
        <v>2023-02</v>
      </c>
    </row>
    <row r="2572" spans="1:7" x14ac:dyDescent="0.3">
      <c r="A2572">
        <v>4044</v>
      </c>
      <c r="B2572" t="s">
        <v>24</v>
      </c>
      <c r="C2572" s="7">
        <v>139</v>
      </c>
      <c r="D2572" s="1">
        <v>45076</v>
      </c>
      <c r="E2572" s="29">
        <v>4.0999999999999996</v>
      </c>
      <c r="F2572" t="s">
        <v>1</v>
      </c>
      <c r="G2572" t="str">
        <f t="shared" si="40"/>
        <v>2023-05</v>
      </c>
    </row>
    <row r="2573" spans="1:7" x14ac:dyDescent="0.3">
      <c r="A2573">
        <v>4010</v>
      </c>
      <c r="B2573" t="s">
        <v>40</v>
      </c>
      <c r="C2573" s="7">
        <v>48</v>
      </c>
      <c r="D2573" s="1">
        <v>45056</v>
      </c>
      <c r="E2573" s="29">
        <v>3.3</v>
      </c>
      <c r="F2573" t="s">
        <v>4</v>
      </c>
      <c r="G2573" t="str">
        <f t="shared" si="40"/>
        <v>2023-05</v>
      </c>
    </row>
    <row r="2574" spans="1:7" x14ac:dyDescent="0.3">
      <c r="A2574">
        <v>4074</v>
      </c>
      <c r="B2574" t="s">
        <v>10</v>
      </c>
      <c r="C2574" s="7">
        <v>55</v>
      </c>
      <c r="D2574" s="1">
        <v>44976</v>
      </c>
      <c r="E2574" s="29">
        <v>4.4000000000000004</v>
      </c>
      <c r="F2574" t="s">
        <v>1</v>
      </c>
      <c r="G2574" t="str">
        <f t="shared" si="40"/>
        <v>2023-02</v>
      </c>
    </row>
    <row r="2575" spans="1:7" x14ac:dyDescent="0.3">
      <c r="A2575">
        <v>4110</v>
      </c>
      <c r="B2575" t="s">
        <v>34</v>
      </c>
      <c r="C2575" s="7">
        <v>167</v>
      </c>
      <c r="D2575" s="1">
        <v>44838</v>
      </c>
      <c r="E2575" s="29">
        <v>4.5999999999999996</v>
      </c>
      <c r="F2575" t="s">
        <v>1</v>
      </c>
      <c r="G2575" t="str">
        <f t="shared" si="40"/>
        <v>2022-10</v>
      </c>
    </row>
    <row r="2576" spans="1:7" x14ac:dyDescent="0.3">
      <c r="A2576">
        <v>4041</v>
      </c>
      <c r="B2576" t="s">
        <v>38</v>
      </c>
      <c r="C2576" s="7">
        <v>146</v>
      </c>
      <c r="D2576" s="1">
        <v>44839</v>
      </c>
      <c r="E2576" s="29">
        <v>4.4000000000000004</v>
      </c>
      <c r="F2576" t="s">
        <v>1</v>
      </c>
      <c r="G2576" t="str">
        <f t="shared" si="40"/>
        <v>2022-10</v>
      </c>
    </row>
    <row r="2577" spans="1:7" x14ac:dyDescent="0.3">
      <c r="A2577">
        <v>3961</v>
      </c>
      <c r="B2577" t="s">
        <v>48</v>
      </c>
      <c r="C2577" s="7">
        <v>40</v>
      </c>
      <c r="D2577" s="1">
        <v>44862</v>
      </c>
      <c r="E2577" s="29">
        <v>1.9</v>
      </c>
      <c r="F2577" t="s">
        <v>1</v>
      </c>
      <c r="G2577" t="str">
        <f t="shared" si="40"/>
        <v>2022-10</v>
      </c>
    </row>
    <row r="2578" spans="1:7" x14ac:dyDescent="0.3">
      <c r="A2578">
        <v>3991</v>
      </c>
      <c r="B2578" t="s">
        <v>10</v>
      </c>
      <c r="C2578" s="7">
        <v>120.375</v>
      </c>
      <c r="D2578" s="1">
        <v>45033</v>
      </c>
      <c r="E2578" s="29">
        <v>4.0999999999999996</v>
      </c>
      <c r="F2578" t="s">
        <v>1</v>
      </c>
      <c r="G2578" t="str">
        <f t="shared" si="40"/>
        <v>2023-04</v>
      </c>
    </row>
    <row r="2579" spans="1:7" x14ac:dyDescent="0.3">
      <c r="A2579">
        <v>4122</v>
      </c>
      <c r="B2579" t="s">
        <v>12</v>
      </c>
      <c r="C2579" s="7">
        <v>164</v>
      </c>
      <c r="D2579" s="1">
        <v>45104</v>
      </c>
      <c r="E2579" s="29">
        <v>3.3</v>
      </c>
      <c r="F2579" t="s">
        <v>4</v>
      </c>
      <c r="G2579" t="str">
        <f t="shared" si="40"/>
        <v>2023-06</v>
      </c>
    </row>
    <row r="2580" spans="1:7" x14ac:dyDescent="0.3">
      <c r="A2580">
        <v>3957</v>
      </c>
      <c r="B2580" t="s">
        <v>32</v>
      </c>
      <c r="C2580" s="7">
        <v>10</v>
      </c>
      <c r="D2580" s="1">
        <v>45064</v>
      </c>
      <c r="E2580" s="29">
        <v>1.2</v>
      </c>
      <c r="F2580" t="s">
        <v>1</v>
      </c>
      <c r="G2580" t="str">
        <f t="shared" si="40"/>
        <v>2023-05</v>
      </c>
    </row>
    <row r="2581" spans="1:7" x14ac:dyDescent="0.3">
      <c r="A2581">
        <v>4112</v>
      </c>
      <c r="B2581" t="s">
        <v>13</v>
      </c>
      <c r="C2581" s="7">
        <v>183</v>
      </c>
      <c r="D2581" s="1">
        <v>45008</v>
      </c>
      <c r="E2581" s="29">
        <v>1.1000000000000001</v>
      </c>
      <c r="F2581" t="s">
        <v>4</v>
      </c>
      <c r="G2581" t="str">
        <f t="shared" si="40"/>
        <v>2023-03</v>
      </c>
    </row>
    <row r="2582" spans="1:7" x14ac:dyDescent="0.3">
      <c r="A2582">
        <v>4078</v>
      </c>
      <c r="B2582" t="s">
        <v>34</v>
      </c>
      <c r="C2582" s="7">
        <v>143</v>
      </c>
      <c r="D2582" s="1">
        <v>45102</v>
      </c>
      <c r="E2582" s="29">
        <v>1.6</v>
      </c>
      <c r="F2582" t="s">
        <v>1</v>
      </c>
      <c r="G2582" t="str">
        <f t="shared" si="40"/>
        <v>2023-06</v>
      </c>
    </row>
    <row r="2583" spans="1:7" x14ac:dyDescent="0.3">
      <c r="A2583">
        <v>3958</v>
      </c>
      <c r="B2583" t="s">
        <v>15</v>
      </c>
      <c r="C2583" s="7">
        <v>21</v>
      </c>
      <c r="D2583" s="1">
        <v>45048</v>
      </c>
      <c r="E2583" s="29">
        <v>2.8</v>
      </c>
      <c r="F2583" t="s">
        <v>1</v>
      </c>
      <c r="G2583" t="str">
        <f t="shared" si="40"/>
        <v>2023-05</v>
      </c>
    </row>
    <row r="2584" spans="1:7" x14ac:dyDescent="0.3">
      <c r="A2584">
        <v>3959</v>
      </c>
      <c r="B2584" t="s">
        <v>27</v>
      </c>
      <c r="C2584" s="7">
        <v>119</v>
      </c>
      <c r="D2584" s="1">
        <v>45107</v>
      </c>
      <c r="E2584" s="29">
        <v>4.5999999999999996</v>
      </c>
      <c r="F2584" t="s">
        <v>1</v>
      </c>
      <c r="G2584" t="str">
        <f t="shared" si="40"/>
        <v>2023-06</v>
      </c>
    </row>
    <row r="2585" spans="1:7" x14ac:dyDescent="0.3">
      <c r="A2585">
        <v>4001</v>
      </c>
      <c r="B2585" t="s">
        <v>7</v>
      </c>
      <c r="C2585" s="7">
        <v>133</v>
      </c>
      <c r="D2585" s="1">
        <v>44903</v>
      </c>
      <c r="E2585" s="29">
        <v>1.7</v>
      </c>
      <c r="F2585" t="s">
        <v>4</v>
      </c>
      <c r="G2585" t="str">
        <f t="shared" si="40"/>
        <v>2022-12</v>
      </c>
    </row>
    <row r="2586" spans="1:7" x14ac:dyDescent="0.3">
      <c r="A2586">
        <v>4062</v>
      </c>
      <c r="B2586" t="s">
        <v>22</v>
      </c>
      <c r="C2586" s="7">
        <v>107</v>
      </c>
      <c r="D2586" s="1">
        <v>44985</v>
      </c>
      <c r="E2586" s="29">
        <v>3.2</v>
      </c>
      <c r="F2586" t="s">
        <v>1</v>
      </c>
      <c r="G2586" t="str">
        <f t="shared" si="40"/>
        <v>2023-02</v>
      </c>
    </row>
    <row r="2587" spans="1:7" x14ac:dyDescent="0.3">
      <c r="A2587">
        <v>4099</v>
      </c>
      <c r="B2587" t="s">
        <v>48</v>
      </c>
      <c r="C2587" s="7">
        <v>199</v>
      </c>
      <c r="D2587" s="1">
        <v>45185</v>
      </c>
      <c r="E2587" s="29">
        <v>1.9</v>
      </c>
      <c r="F2587" t="s">
        <v>4</v>
      </c>
      <c r="G2587" t="str">
        <f t="shared" si="40"/>
        <v>2023-09</v>
      </c>
    </row>
    <row r="2588" spans="1:7" x14ac:dyDescent="0.3">
      <c r="A2588">
        <v>4082</v>
      </c>
      <c r="B2588" t="s">
        <v>14</v>
      </c>
      <c r="C2588" s="7">
        <v>188</v>
      </c>
      <c r="D2588" s="1">
        <v>44865</v>
      </c>
      <c r="E2588" s="29">
        <v>2.2999999999999998</v>
      </c>
      <c r="F2588" t="s">
        <v>4</v>
      </c>
      <c r="G2588" t="str">
        <f t="shared" si="40"/>
        <v>2022-10</v>
      </c>
    </row>
    <row r="2589" spans="1:7" x14ac:dyDescent="0.3">
      <c r="A2589">
        <v>4057</v>
      </c>
      <c r="B2589" t="s">
        <v>14</v>
      </c>
      <c r="C2589" s="7">
        <v>118</v>
      </c>
      <c r="D2589" s="1">
        <v>45018</v>
      </c>
      <c r="E2589" s="29">
        <v>4.5999999999999996</v>
      </c>
      <c r="F2589" t="s">
        <v>1</v>
      </c>
      <c r="G2589" t="str">
        <f t="shared" si="40"/>
        <v>2023-04</v>
      </c>
    </row>
    <row r="2590" spans="1:7" x14ac:dyDescent="0.3">
      <c r="A2590">
        <v>4094</v>
      </c>
      <c r="B2590" t="s">
        <v>3</v>
      </c>
      <c r="C2590" s="7">
        <v>100.68</v>
      </c>
      <c r="D2590" s="1">
        <v>44872</v>
      </c>
      <c r="E2590" s="29">
        <v>4.5999999999999996</v>
      </c>
      <c r="F2590" t="s">
        <v>1</v>
      </c>
      <c r="G2590" t="str">
        <f t="shared" si="40"/>
        <v>2022-11</v>
      </c>
    </row>
    <row r="2591" spans="1:7" x14ac:dyDescent="0.3">
      <c r="A2591">
        <v>3977</v>
      </c>
      <c r="B2591" t="s">
        <v>41</v>
      </c>
      <c r="C2591" s="7">
        <v>69</v>
      </c>
      <c r="D2591" s="1">
        <v>45048</v>
      </c>
      <c r="E2591" s="29">
        <v>3.6</v>
      </c>
      <c r="F2591" t="s">
        <v>4</v>
      </c>
      <c r="G2591" t="str">
        <f t="shared" si="40"/>
        <v>2023-05</v>
      </c>
    </row>
    <row r="2592" spans="1:7" x14ac:dyDescent="0.3">
      <c r="A2592">
        <v>3976</v>
      </c>
      <c r="B2592" t="s">
        <v>42</v>
      </c>
      <c r="C2592" s="7">
        <v>31</v>
      </c>
      <c r="D2592" s="1">
        <v>45031</v>
      </c>
      <c r="E2592" s="29">
        <v>1.1000000000000001</v>
      </c>
      <c r="F2592" t="s">
        <v>1</v>
      </c>
      <c r="G2592" t="str">
        <f t="shared" si="40"/>
        <v>2023-04</v>
      </c>
    </row>
    <row r="2593" spans="1:7" x14ac:dyDescent="0.3">
      <c r="A2593">
        <v>4094</v>
      </c>
      <c r="B2593" t="s">
        <v>22</v>
      </c>
      <c r="C2593" s="7">
        <v>149</v>
      </c>
      <c r="D2593" s="1">
        <v>45016</v>
      </c>
      <c r="E2593" s="29">
        <v>2.1</v>
      </c>
      <c r="F2593" t="s">
        <v>1</v>
      </c>
      <c r="G2593" t="str">
        <f t="shared" si="40"/>
        <v>2023-03</v>
      </c>
    </row>
    <row r="2594" spans="1:7" x14ac:dyDescent="0.3">
      <c r="A2594">
        <v>3964</v>
      </c>
      <c r="B2594" t="s">
        <v>30</v>
      </c>
      <c r="C2594" s="7">
        <v>58</v>
      </c>
      <c r="D2594" s="1">
        <v>44966</v>
      </c>
      <c r="E2594" s="29">
        <v>2.9636363636363598</v>
      </c>
      <c r="F2594" t="s">
        <v>1</v>
      </c>
      <c r="G2594" t="str">
        <f t="shared" si="40"/>
        <v>2023-02</v>
      </c>
    </row>
    <row r="2595" spans="1:7" x14ac:dyDescent="0.3">
      <c r="A2595">
        <v>4070</v>
      </c>
      <c r="B2595" t="s">
        <v>11</v>
      </c>
      <c r="C2595" s="7">
        <v>109.08474576271099</v>
      </c>
      <c r="D2595" s="1">
        <v>45002</v>
      </c>
      <c r="E2595" s="29">
        <v>2.6</v>
      </c>
      <c r="F2595" t="s">
        <v>1</v>
      </c>
      <c r="G2595" t="str">
        <f t="shared" si="40"/>
        <v>2023-03</v>
      </c>
    </row>
    <row r="2596" spans="1:7" x14ac:dyDescent="0.3">
      <c r="A2596">
        <v>3988</v>
      </c>
      <c r="B2596" t="s">
        <v>12</v>
      </c>
      <c r="C2596" s="7">
        <v>11</v>
      </c>
      <c r="D2596" s="1">
        <v>44890</v>
      </c>
      <c r="E2596" s="29">
        <v>4.9000000000000004</v>
      </c>
      <c r="F2596" t="s">
        <v>1</v>
      </c>
      <c r="G2596" t="str">
        <f t="shared" si="40"/>
        <v>2022-11</v>
      </c>
    </row>
    <row r="2597" spans="1:7" x14ac:dyDescent="0.3">
      <c r="A2597">
        <v>4047</v>
      </c>
      <c r="B2597" t="s">
        <v>49</v>
      </c>
      <c r="C2597" s="7">
        <v>40</v>
      </c>
      <c r="D2597" s="1">
        <v>44914</v>
      </c>
      <c r="E2597" s="29">
        <v>3.3</v>
      </c>
      <c r="F2597" t="s">
        <v>4</v>
      </c>
      <c r="G2597" t="str">
        <f t="shared" si="40"/>
        <v>2022-12</v>
      </c>
    </row>
    <row r="2598" spans="1:7" x14ac:dyDescent="0.3">
      <c r="A2598">
        <v>4053</v>
      </c>
      <c r="B2598" t="s">
        <v>5</v>
      </c>
      <c r="C2598" s="7">
        <v>106</v>
      </c>
      <c r="D2598" s="1">
        <v>44925</v>
      </c>
      <c r="E2598" s="29">
        <v>1.1000000000000001</v>
      </c>
      <c r="F2598" t="s">
        <v>4</v>
      </c>
      <c r="G2598" t="str">
        <f t="shared" si="40"/>
        <v>2022-12</v>
      </c>
    </row>
    <row r="2599" spans="1:7" x14ac:dyDescent="0.3">
      <c r="A2599">
        <v>4110</v>
      </c>
      <c r="B2599" t="s">
        <v>42</v>
      </c>
      <c r="C2599" s="7">
        <v>186</v>
      </c>
      <c r="D2599" s="1">
        <v>44967</v>
      </c>
      <c r="E2599" s="29">
        <v>4.0999999999999996</v>
      </c>
      <c r="F2599" t="s">
        <v>4</v>
      </c>
      <c r="G2599" t="str">
        <f t="shared" si="40"/>
        <v>2023-02</v>
      </c>
    </row>
    <row r="2600" spans="1:7" x14ac:dyDescent="0.3">
      <c r="A2600">
        <v>4048</v>
      </c>
      <c r="B2600" t="s">
        <v>18</v>
      </c>
      <c r="C2600" s="7">
        <v>114</v>
      </c>
      <c r="D2600" s="1">
        <v>44990</v>
      </c>
      <c r="E2600" s="29">
        <v>4.0999999999999996</v>
      </c>
      <c r="F2600" t="s">
        <v>1</v>
      </c>
      <c r="G2600" t="str">
        <f t="shared" si="40"/>
        <v>2023-03</v>
      </c>
    </row>
    <row r="2601" spans="1:7" x14ac:dyDescent="0.3">
      <c r="A2601">
        <v>4056</v>
      </c>
      <c r="B2601" t="s">
        <v>33</v>
      </c>
      <c r="C2601" s="7">
        <v>49</v>
      </c>
      <c r="D2601" s="1">
        <v>44969</v>
      </c>
      <c r="E2601" s="29">
        <v>1.6</v>
      </c>
      <c r="F2601" t="s">
        <v>1</v>
      </c>
      <c r="G2601" t="str">
        <f t="shared" si="40"/>
        <v>2023-02</v>
      </c>
    </row>
    <row r="2602" spans="1:7" x14ac:dyDescent="0.3">
      <c r="A2602">
        <v>4002</v>
      </c>
      <c r="B2602" t="s">
        <v>46</v>
      </c>
      <c r="C2602" s="7">
        <v>159</v>
      </c>
      <c r="D2602" s="1">
        <v>44871</v>
      </c>
      <c r="E2602" s="29">
        <v>1.4</v>
      </c>
      <c r="F2602" t="s">
        <v>4</v>
      </c>
      <c r="G2602" t="str">
        <f t="shared" si="40"/>
        <v>2022-11</v>
      </c>
    </row>
    <row r="2603" spans="1:7" x14ac:dyDescent="0.3">
      <c r="A2603">
        <v>3959</v>
      </c>
      <c r="B2603" t="s">
        <v>49</v>
      </c>
      <c r="C2603" s="7">
        <v>147</v>
      </c>
      <c r="D2603" s="1">
        <v>45098</v>
      </c>
      <c r="E2603" s="29">
        <v>3.3</v>
      </c>
      <c r="F2603" t="s">
        <v>4</v>
      </c>
      <c r="G2603" t="str">
        <f t="shared" si="40"/>
        <v>2023-06</v>
      </c>
    </row>
    <row r="2604" spans="1:7" x14ac:dyDescent="0.3">
      <c r="A2604">
        <v>3988</v>
      </c>
      <c r="B2604" t="s">
        <v>16</v>
      </c>
      <c r="C2604" s="7">
        <v>103</v>
      </c>
      <c r="D2604" s="1">
        <v>45137</v>
      </c>
      <c r="E2604" s="29">
        <v>3.5</v>
      </c>
      <c r="F2604" t="s">
        <v>1</v>
      </c>
      <c r="G2604" t="str">
        <f t="shared" si="40"/>
        <v>2023-07</v>
      </c>
    </row>
    <row r="2605" spans="1:7" x14ac:dyDescent="0.3">
      <c r="A2605">
        <v>4075</v>
      </c>
      <c r="B2605" t="s">
        <v>47</v>
      </c>
      <c r="C2605" s="7">
        <v>184</v>
      </c>
      <c r="D2605" s="1">
        <v>45149</v>
      </c>
      <c r="E2605" s="29">
        <v>1.9</v>
      </c>
      <c r="F2605" t="s">
        <v>1</v>
      </c>
      <c r="G2605" t="str">
        <f t="shared" si="40"/>
        <v>2023-08</v>
      </c>
    </row>
    <row r="2606" spans="1:7" x14ac:dyDescent="0.3">
      <c r="A2606">
        <v>4051</v>
      </c>
      <c r="B2606" t="s">
        <v>33</v>
      </c>
      <c r="C2606" s="7">
        <v>62</v>
      </c>
      <c r="D2606" s="1">
        <v>45077</v>
      </c>
      <c r="E2606" s="29">
        <v>4.2</v>
      </c>
      <c r="F2606" t="s">
        <v>1</v>
      </c>
      <c r="G2606" t="str">
        <f t="shared" si="40"/>
        <v>2023-05</v>
      </c>
    </row>
    <row r="2607" spans="1:7" x14ac:dyDescent="0.3">
      <c r="A2607">
        <v>4006</v>
      </c>
      <c r="B2607" t="s">
        <v>50</v>
      </c>
      <c r="C2607" s="7">
        <v>152</v>
      </c>
      <c r="D2607" s="1">
        <v>44987</v>
      </c>
      <c r="E2607" s="29">
        <v>3</v>
      </c>
      <c r="F2607" t="s">
        <v>4</v>
      </c>
      <c r="G2607" t="str">
        <f t="shared" si="40"/>
        <v>2023-03</v>
      </c>
    </row>
    <row r="2608" spans="1:7" x14ac:dyDescent="0.3">
      <c r="A2608">
        <v>4070</v>
      </c>
      <c r="B2608" t="s">
        <v>35</v>
      </c>
      <c r="C2608" s="7">
        <v>104</v>
      </c>
      <c r="D2608" s="1">
        <v>44838</v>
      </c>
      <c r="E2608" s="29">
        <v>4.5</v>
      </c>
      <c r="F2608" t="s">
        <v>4</v>
      </c>
      <c r="G2608" t="str">
        <f t="shared" si="40"/>
        <v>2022-10</v>
      </c>
    </row>
    <row r="2609" spans="1:7" x14ac:dyDescent="0.3">
      <c r="A2609">
        <v>3959</v>
      </c>
      <c r="B2609" t="s">
        <v>3</v>
      </c>
      <c r="C2609" s="7">
        <v>133</v>
      </c>
      <c r="D2609" s="1">
        <v>44909</v>
      </c>
      <c r="E2609" s="29">
        <v>4.2</v>
      </c>
      <c r="F2609" t="s">
        <v>1</v>
      </c>
      <c r="G2609" t="str">
        <f t="shared" si="40"/>
        <v>2022-12</v>
      </c>
    </row>
    <row r="2610" spans="1:7" x14ac:dyDescent="0.3">
      <c r="A2610">
        <v>4013</v>
      </c>
      <c r="B2610" t="s">
        <v>22</v>
      </c>
      <c r="C2610" s="7">
        <v>88</v>
      </c>
      <c r="D2610" s="1">
        <v>44939</v>
      </c>
      <c r="E2610" s="29">
        <v>2.2999999999999998</v>
      </c>
      <c r="F2610" t="s">
        <v>1</v>
      </c>
      <c r="G2610" t="str">
        <f t="shared" si="40"/>
        <v>2023-01</v>
      </c>
    </row>
    <row r="2611" spans="1:7" x14ac:dyDescent="0.3">
      <c r="A2611">
        <v>3962</v>
      </c>
      <c r="B2611" t="s">
        <v>0</v>
      </c>
      <c r="C2611" s="7">
        <v>190</v>
      </c>
      <c r="D2611" s="1">
        <v>44939</v>
      </c>
      <c r="E2611" s="29">
        <v>1.5</v>
      </c>
      <c r="F2611" t="s">
        <v>1</v>
      </c>
      <c r="G2611" t="str">
        <f t="shared" si="40"/>
        <v>2023-01</v>
      </c>
    </row>
    <row r="2612" spans="1:7" x14ac:dyDescent="0.3">
      <c r="A2612">
        <v>4028</v>
      </c>
      <c r="B2612" t="s">
        <v>8</v>
      </c>
      <c r="C2612" s="7">
        <v>45</v>
      </c>
      <c r="D2612" s="1">
        <v>45106</v>
      </c>
      <c r="E2612" s="29">
        <v>4.0999999999999996</v>
      </c>
      <c r="F2612" t="s">
        <v>4</v>
      </c>
      <c r="G2612" t="str">
        <f t="shared" si="40"/>
        <v>2023-06</v>
      </c>
    </row>
    <row r="2613" spans="1:7" x14ac:dyDescent="0.3">
      <c r="A2613">
        <v>4048</v>
      </c>
      <c r="B2613" t="s">
        <v>19</v>
      </c>
      <c r="C2613" s="7">
        <v>178</v>
      </c>
      <c r="D2613" s="1">
        <v>45044</v>
      </c>
      <c r="E2613" s="29">
        <v>1.6</v>
      </c>
      <c r="F2613" t="s">
        <v>4</v>
      </c>
      <c r="G2613" t="str">
        <f t="shared" si="40"/>
        <v>2023-04</v>
      </c>
    </row>
    <row r="2614" spans="1:7" x14ac:dyDescent="0.3">
      <c r="A2614">
        <v>4006</v>
      </c>
      <c r="B2614" t="s">
        <v>24</v>
      </c>
      <c r="C2614" s="7">
        <v>95.292307692307602</v>
      </c>
      <c r="D2614" s="1">
        <v>45109</v>
      </c>
      <c r="E2614" s="29">
        <v>4.0999999999999996</v>
      </c>
      <c r="F2614" t="s">
        <v>1</v>
      </c>
      <c r="G2614" t="str">
        <f t="shared" si="40"/>
        <v>2023-07</v>
      </c>
    </row>
    <row r="2615" spans="1:7" x14ac:dyDescent="0.3">
      <c r="A2615">
        <v>3980</v>
      </c>
      <c r="B2615" t="s">
        <v>29</v>
      </c>
      <c r="C2615" s="7">
        <v>189</v>
      </c>
      <c r="D2615" s="1">
        <v>45054</v>
      </c>
      <c r="E2615" s="29">
        <v>2.1</v>
      </c>
      <c r="F2615" t="s">
        <v>1</v>
      </c>
      <c r="G2615" t="str">
        <f t="shared" si="40"/>
        <v>2023-05</v>
      </c>
    </row>
    <row r="2616" spans="1:7" x14ac:dyDescent="0.3">
      <c r="A2616">
        <v>4114</v>
      </c>
      <c r="B2616" t="s">
        <v>29</v>
      </c>
      <c r="C2616" s="7">
        <v>35</v>
      </c>
      <c r="D2616" s="1">
        <v>44844</v>
      </c>
      <c r="E2616" s="29">
        <v>4.4000000000000004</v>
      </c>
      <c r="F2616" t="s">
        <v>1</v>
      </c>
      <c r="G2616" t="str">
        <f t="shared" si="40"/>
        <v>2022-10</v>
      </c>
    </row>
    <row r="2617" spans="1:7" x14ac:dyDescent="0.3">
      <c r="A2617">
        <v>4117</v>
      </c>
      <c r="B2617" t="s">
        <v>30</v>
      </c>
      <c r="C2617" s="7">
        <v>112</v>
      </c>
      <c r="D2617" s="1">
        <v>45098</v>
      </c>
      <c r="E2617" s="29">
        <v>1.7</v>
      </c>
      <c r="F2617" t="s">
        <v>4</v>
      </c>
      <c r="G2617" t="str">
        <f t="shared" si="40"/>
        <v>2023-06</v>
      </c>
    </row>
    <row r="2618" spans="1:7" x14ac:dyDescent="0.3">
      <c r="A2618">
        <v>4034</v>
      </c>
      <c r="B2618" t="s">
        <v>21</v>
      </c>
      <c r="C2618" s="7">
        <v>150</v>
      </c>
      <c r="D2618" s="1">
        <v>44955</v>
      </c>
      <c r="E2618" s="29">
        <v>1</v>
      </c>
      <c r="F2618" t="s">
        <v>4</v>
      </c>
      <c r="G2618" t="str">
        <f t="shared" si="40"/>
        <v>2023-01</v>
      </c>
    </row>
    <row r="2619" spans="1:7" x14ac:dyDescent="0.3">
      <c r="A2619">
        <v>4013</v>
      </c>
      <c r="B2619" t="s">
        <v>19</v>
      </c>
      <c r="C2619" s="7">
        <v>185</v>
      </c>
      <c r="D2619" s="1">
        <v>44998</v>
      </c>
      <c r="E2619" s="29">
        <v>3.1</v>
      </c>
      <c r="F2619" t="s">
        <v>1</v>
      </c>
      <c r="G2619" t="str">
        <f t="shared" si="40"/>
        <v>2023-03</v>
      </c>
    </row>
    <row r="2620" spans="1:7" x14ac:dyDescent="0.3">
      <c r="A2620">
        <v>4016</v>
      </c>
      <c r="B2620" t="s">
        <v>28</v>
      </c>
      <c r="C2620" s="7">
        <v>51</v>
      </c>
      <c r="D2620" s="1">
        <v>45076</v>
      </c>
      <c r="E2620" s="29">
        <v>4.5999999999999996</v>
      </c>
      <c r="F2620" t="s">
        <v>1</v>
      </c>
      <c r="G2620" t="str">
        <f t="shared" si="40"/>
        <v>2023-05</v>
      </c>
    </row>
    <row r="2621" spans="1:7" x14ac:dyDescent="0.3">
      <c r="A2621">
        <v>4083</v>
      </c>
      <c r="B2621" t="s">
        <v>22</v>
      </c>
      <c r="C2621" s="7">
        <v>172</v>
      </c>
      <c r="D2621" s="1">
        <v>44857</v>
      </c>
      <c r="E2621" s="29">
        <v>5</v>
      </c>
      <c r="F2621" t="s">
        <v>1</v>
      </c>
      <c r="G2621" t="str">
        <f t="shared" si="40"/>
        <v>2022-10</v>
      </c>
    </row>
    <row r="2622" spans="1:7" x14ac:dyDescent="0.3">
      <c r="A2622">
        <v>4049</v>
      </c>
      <c r="B2622" t="s">
        <v>19</v>
      </c>
      <c r="C2622" s="7">
        <v>117.172413793103</v>
      </c>
      <c r="D2622" s="1">
        <v>44868</v>
      </c>
      <c r="E2622" s="29">
        <v>4.9000000000000004</v>
      </c>
      <c r="F2622" t="s">
        <v>4</v>
      </c>
      <c r="G2622" t="str">
        <f t="shared" si="40"/>
        <v>2022-11</v>
      </c>
    </row>
    <row r="2623" spans="1:7" x14ac:dyDescent="0.3">
      <c r="A2623">
        <v>3966</v>
      </c>
      <c r="B2623" t="s">
        <v>38</v>
      </c>
      <c r="C2623" s="7">
        <v>103.222222222222</v>
      </c>
      <c r="D2623" s="1">
        <v>45067</v>
      </c>
      <c r="E2623" s="29">
        <v>1.8</v>
      </c>
      <c r="F2623" t="s">
        <v>4</v>
      </c>
      <c r="G2623" t="str">
        <f t="shared" si="40"/>
        <v>2023-05</v>
      </c>
    </row>
    <row r="2624" spans="1:7" x14ac:dyDescent="0.3">
      <c r="A2624">
        <v>4028</v>
      </c>
      <c r="B2624" t="s">
        <v>25</v>
      </c>
      <c r="C2624" s="7">
        <v>112.745762711864</v>
      </c>
      <c r="D2624" s="1">
        <v>44846</v>
      </c>
      <c r="E2624" s="29">
        <v>2.8291666666666599</v>
      </c>
      <c r="F2624" t="s">
        <v>1</v>
      </c>
      <c r="G2624" t="str">
        <f t="shared" si="40"/>
        <v>2022-10</v>
      </c>
    </row>
    <row r="2625" spans="1:7" x14ac:dyDescent="0.3">
      <c r="A2625">
        <v>4083</v>
      </c>
      <c r="B2625" t="s">
        <v>31</v>
      </c>
      <c r="C2625" s="7">
        <v>121</v>
      </c>
      <c r="D2625" s="1">
        <v>44961</v>
      </c>
      <c r="E2625" s="29">
        <v>3.4</v>
      </c>
      <c r="F2625" t="s">
        <v>4</v>
      </c>
      <c r="G2625" t="str">
        <f t="shared" si="40"/>
        <v>2023-02</v>
      </c>
    </row>
    <row r="2626" spans="1:7" x14ac:dyDescent="0.3">
      <c r="A2626">
        <v>4112</v>
      </c>
      <c r="B2626" t="s">
        <v>30</v>
      </c>
      <c r="C2626" s="7">
        <v>99.866666666666603</v>
      </c>
      <c r="D2626" s="1">
        <v>45045</v>
      </c>
      <c r="E2626" s="29">
        <v>4.3</v>
      </c>
      <c r="F2626" t="s">
        <v>1</v>
      </c>
      <c r="G2626" t="str">
        <f t="shared" si="40"/>
        <v>2023-04</v>
      </c>
    </row>
    <row r="2627" spans="1:7" x14ac:dyDescent="0.3">
      <c r="A2627">
        <v>4010</v>
      </c>
      <c r="B2627" t="s">
        <v>51</v>
      </c>
      <c r="C2627" s="7">
        <v>104</v>
      </c>
      <c r="D2627" s="1">
        <v>44935</v>
      </c>
      <c r="E2627" s="29">
        <v>3.19629629629629</v>
      </c>
      <c r="F2627" t="s">
        <v>4</v>
      </c>
      <c r="G2627" t="str">
        <f t="shared" ref="G2627:G2690" si="41">TEXT(D2627,"ГГГГ-ММ")</f>
        <v>2023-01</v>
      </c>
    </row>
    <row r="2628" spans="1:7" x14ac:dyDescent="0.3">
      <c r="A2628">
        <v>3958</v>
      </c>
      <c r="B2628" t="s">
        <v>9</v>
      </c>
      <c r="C2628" s="7">
        <v>103.564102564102</v>
      </c>
      <c r="D2628" s="1">
        <v>44859</v>
      </c>
      <c r="E2628" s="29">
        <v>2.5</v>
      </c>
      <c r="F2628" t="s">
        <v>4</v>
      </c>
      <c r="G2628" t="str">
        <f t="shared" si="41"/>
        <v>2022-10</v>
      </c>
    </row>
    <row r="2629" spans="1:7" x14ac:dyDescent="0.3">
      <c r="A2629">
        <v>4007</v>
      </c>
      <c r="B2629" t="s">
        <v>19</v>
      </c>
      <c r="C2629" s="7">
        <v>117.172413793103</v>
      </c>
      <c r="D2629" s="1">
        <v>45154</v>
      </c>
      <c r="E2629" s="29">
        <v>3.2083333333333299</v>
      </c>
      <c r="F2629" t="s">
        <v>4</v>
      </c>
      <c r="G2629" t="str">
        <f t="shared" si="41"/>
        <v>2023-08</v>
      </c>
    </row>
    <row r="2630" spans="1:7" x14ac:dyDescent="0.3">
      <c r="A2630">
        <v>4120</v>
      </c>
      <c r="B2630" t="s">
        <v>34</v>
      </c>
      <c r="C2630" s="7">
        <v>112</v>
      </c>
      <c r="D2630" s="1">
        <v>44988</v>
      </c>
      <c r="E2630" s="29">
        <v>1.3</v>
      </c>
      <c r="F2630" t="s">
        <v>1</v>
      </c>
      <c r="G2630" t="str">
        <f t="shared" si="41"/>
        <v>2023-03</v>
      </c>
    </row>
    <row r="2631" spans="1:7" x14ac:dyDescent="0.3">
      <c r="A2631">
        <v>4058</v>
      </c>
      <c r="B2631" t="s">
        <v>13</v>
      </c>
      <c r="C2631" s="7">
        <v>143</v>
      </c>
      <c r="D2631" s="1">
        <v>44973</v>
      </c>
      <c r="E2631" s="29">
        <v>1.3</v>
      </c>
      <c r="F2631" t="s">
        <v>1</v>
      </c>
      <c r="G2631" t="str">
        <f t="shared" si="41"/>
        <v>2023-02</v>
      </c>
    </row>
    <row r="2632" spans="1:7" x14ac:dyDescent="0.3">
      <c r="A2632">
        <v>3985</v>
      </c>
      <c r="B2632" t="s">
        <v>14</v>
      </c>
      <c r="C2632" s="7">
        <v>162</v>
      </c>
      <c r="D2632" s="1">
        <v>44914</v>
      </c>
      <c r="E2632" s="29">
        <v>1.2</v>
      </c>
      <c r="F2632" t="s">
        <v>1</v>
      </c>
      <c r="G2632" t="str">
        <f t="shared" si="41"/>
        <v>2022-12</v>
      </c>
    </row>
    <row r="2633" spans="1:7" x14ac:dyDescent="0.3">
      <c r="A2633">
        <v>4028</v>
      </c>
      <c r="B2633" t="s">
        <v>36</v>
      </c>
      <c r="C2633" s="7">
        <v>90.925925925925895</v>
      </c>
      <c r="D2633" s="1">
        <v>44944</v>
      </c>
      <c r="E2633" s="29">
        <v>1.7</v>
      </c>
      <c r="F2633" t="s">
        <v>4</v>
      </c>
      <c r="G2633" t="str">
        <f t="shared" si="41"/>
        <v>2023-01</v>
      </c>
    </row>
    <row r="2634" spans="1:7" x14ac:dyDescent="0.3">
      <c r="A2634">
        <v>4102</v>
      </c>
      <c r="B2634" t="s">
        <v>12</v>
      </c>
      <c r="C2634" s="7">
        <v>54</v>
      </c>
      <c r="D2634" s="1">
        <v>45098</v>
      </c>
      <c r="E2634" s="29">
        <v>1.8</v>
      </c>
      <c r="F2634" t="s">
        <v>1</v>
      </c>
      <c r="G2634" t="str">
        <f t="shared" si="41"/>
        <v>2023-06</v>
      </c>
    </row>
    <row r="2635" spans="1:7" x14ac:dyDescent="0.3">
      <c r="A2635">
        <v>4085</v>
      </c>
      <c r="B2635" t="s">
        <v>13</v>
      </c>
      <c r="C2635" s="7">
        <v>122</v>
      </c>
      <c r="D2635" s="1">
        <v>45165</v>
      </c>
      <c r="E2635" s="29">
        <v>2.8</v>
      </c>
      <c r="F2635" t="s">
        <v>4</v>
      </c>
      <c r="G2635" t="str">
        <f t="shared" si="41"/>
        <v>2023-08</v>
      </c>
    </row>
    <row r="2636" spans="1:7" x14ac:dyDescent="0.3">
      <c r="A2636">
        <v>4083</v>
      </c>
      <c r="B2636" t="s">
        <v>39</v>
      </c>
      <c r="C2636" s="7">
        <v>108.54716981132</v>
      </c>
      <c r="D2636" s="1">
        <v>45046</v>
      </c>
      <c r="E2636" s="29">
        <v>1.6</v>
      </c>
      <c r="F2636" t="s">
        <v>4</v>
      </c>
      <c r="G2636" t="str">
        <f t="shared" si="41"/>
        <v>2023-04</v>
      </c>
    </row>
    <row r="2637" spans="1:7" x14ac:dyDescent="0.3">
      <c r="A2637">
        <v>4000</v>
      </c>
      <c r="B2637" t="s">
        <v>47</v>
      </c>
      <c r="C2637" s="7">
        <v>142</v>
      </c>
      <c r="D2637" s="1">
        <v>44867</v>
      </c>
      <c r="E2637" s="29">
        <v>1.9</v>
      </c>
      <c r="F2637" t="s">
        <v>1</v>
      </c>
      <c r="G2637" t="str">
        <f t="shared" si="41"/>
        <v>2022-11</v>
      </c>
    </row>
    <row r="2638" spans="1:7" x14ac:dyDescent="0.3">
      <c r="A2638">
        <v>4098</v>
      </c>
      <c r="B2638" t="s">
        <v>38</v>
      </c>
      <c r="C2638" s="7">
        <v>18</v>
      </c>
      <c r="D2638" s="1">
        <v>44924</v>
      </c>
      <c r="E2638" s="29">
        <v>1.1000000000000001</v>
      </c>
      <c r="F2638" t="s">
        <v>1</v>
      </c>
      <c r="G2638" t="str">
        <f t="shared" si="41"/>
        <v>2022-12</v>
      </c>
    </row>
    <row r="2639" spans="1:7" x14ac:dyDescent="0.3">
      <c r="A2639">
        <v>4006</v>
      </c>
      <c r="B2639" t="s">
        <v>0</v>
      </c>
      <c r="C2639" s="7">
        <v>140</v>
      </c>
      <c r="D2639" s="1">
        <v>44859</v>
      </c>
      <c r="E2639" s="29">
        <v>2.8</v>
      </c>
      <c r="F2639" t="s">
        <v>4</v>
      </c>
      <c r="G2639" t="str">
        <f t="shared" si="41"/>
        <v>2022-10</v>
      </c>
    </row>
    <row r="2640" spans="1:7" x14ac:dyDescent="0.3">
      <c r="A2640">
        <v>4101</v>
      </c>
      <c r="B2640" t="s">
        <v>32</v>
      </c>
      <c r="C2640" s="7">
        <v>69</v>
      </c>
      <c r="D2640" s="1">
        <v>45191</v>
      </c>
      <c r="E2640" s="29">
        <v>1.6</v>
      </c>
      <c r="F2640" t="s">
        <v>1</v>
      </c>
      <c r="G2640" t="str">
        <f t="shared" si="41"/>
        <v>2023-09</v>
      </c>
    </row>
    <row r="2641" spans="1:7" x14ac:dyDescent="0.3">
      <c r="A2641">
        <v>4111</v>
      </c>
      <c r="B2641" t="s">
        <v>36</v>
      </c>
      <c r="C2641" s="7">
        <v>182</v>
      </c>
      <c r="D2641" s="1">
        <v>45006</v>
      </c>
      <c r="E2641" s="29">
        <v>2.8</v>
      </c>
      <c r="F2641" t="s">
        <v>4</v>
      </c>
      <c r="G2641" t="str">
        <f t="shared" si="41"/>
        <v>2023-03</v>
      </c>
    </row>
    <row r="2642" spans="1:7" x14ac:dyDescent="0.3">
      <c r="A2642">
        <v>4101</v>
      </c>
      <c r="B2642" t="s">
        <v>51</v>
      </c>
      <c r="C2642" s="7">
        <v>105.1</v>
      </c>
      <c r="D2642" s="1">
        <v>44860</v>
      </c>
      <c r="E2642" s="29">
        <v>2.6</v>
      </c>
      <c r="F2642" t="s">
        <v>1</v>
      </c>
      <c r="G2642" t="str">
        <f t="shared" si="41"/>
        <v>2022-10</v>
      </c>
    </row>
    <row r="2643" spans="1:7" x14ac:dyDescent="0.3">
      <c r="A2643">
        <v>4001</v>
      </c>
      <c r="B2643" t="s">
        <v>10</v>
      </c>
      <c r="C2643" s="7">
        <v>10</v>
      </c>
      <c r="D2643" s="1">
        <v>45112</v>
      </c>
      <c r="E2643" s="29">
        <v>3.7</v>
      </c>
      <c r="F2643" t="s">
        <v>1</v>
      </c>
      <c r="G2643" t="str">
        <f t="shared" si="41"/>
        <v>2023-07</v>
      </c>
    </row>
    <row r="2644" spans="1:7" x14ac:dyDescent="0.3">
      <c r="A2644">
        <v>3973</v>
      </c>
      <c r="B2644" t="s">
        <v>18</v>
      </c>
      <c r="C2644" s="7">
        <v>32</v>
      </c>
      <c r="D2644" s="1">
        <v>45149</v>
      </c>
      <c r="E2644" s="29">
        <v>2.4</v>
      </c>
      <c r="F2644" t="s">
        <v>4</v>
      </c>
      <c r="G2644" t="str">
        <f t="shared" si="41"/>
        <v>2023-08</v>
      </c>
    </row>
    <row r="2645" spans="1:7" x14ac:dyDescent="0.3">
      <c r="A2645">
        <v>4107</v>
      </c>
      <c r="B2645" t="s">
        <v>43</v>
      </c>
      <c r="C2645" s="7">
        <v>112</v>
      </c>
      <c r="D2645" s="1">
        <v>45109</v>
      </c>
      <c r="E2645" s="29">
        <v>1.4</v>
      </c>
      <c r="F2645" t="s">
        <v>1</v>
      </c>
      <c r="G2645" t="str">
        <f t="shared" si="41"/>
        <v>2023-07</v>
      </c>
    </row>
    <row r="2646" spans="1:7" x14ac:dyDescent="0.3">
      <c r="A2646">
        <v>3989</v>
      </c>
      <c r="B2646" t="s">
        <v>25</v>
      </c>
      <c r="C2646" s="7">
        <v>111</v>
      </c>
      <c r="D2646" s="1">
        <v>44950</v>
      </c>
      <c r="E2646" s="29">
        <v>3.9</v>
      </c>
      <c r="F2646" t="s">
        <v>1</v>
      </c>
      <c r="G2646" t="str">
        <f t="shared" si="41"/>
        <v>2023-01</v>
      </c>
    </row>
    <row r="2647" spans="1:7" x14ac:dyDescent="0.3">
      <c r="A2647">
        <v>3973</v>
      </c>
      <c r="B2647" t="s">
        <v>7</v>
      </c>
      <c r="C2647" s="7">
        <v>61</v>
      </c>
      <c r="D2647" s="1">
        <v>44851</v>
      </c>
      <c r="E2647" s="29">
        <v>4.7</v>
      </c>
      <c r="F2647" t="s">
        <v>1</v>
      </c>
      <c r="G2647" t="str">
        <f t="shared" si="41"/>
        <v>2022-10</v>
      </c>
    </row>
    <row r="2648" spans="1:7" x14ac:dyDescent="0.3">
      <c r="A2648">
        <v>3989</v>
      </c>
      <c r="B2648" t="s">
        <v>45</v>
      </c>
      <c r="C2648" s="7">
        <v>198</v>
      </c>
      <c r="D2648" s="1">
        <v>45147</v>
      </c>
      <c r="E2648" s="29">
        <v>4.9000000000000004</v>
      </c>
      <c r="F2648" t="s">
        <v>1</v>
      </c>
      <c r="G2648" t="str">
        <f t="shared" si="41"/>
        <v>2023-08</v>
      </c>
    </row>
    <row r="2649" spans="1:7" x14ac:dyDescent="0.3">
      <c r="A2649">
        <v>4023</v>
      </c>
      <c r="B2649" t="s">
        <v>36</v>
      </c>
      <c r="C2649" s="7">
        <v>33</v>
      </c>
      <c r="D2649" s="1">
        <v>44978</v>
      </c>
      <c r="E2649" s="29">
        <v>4.7</v>
      </c>
      <c r="F2649" t="s">
        <v>1</v>
      </c>
      <c r="G2649" t="str">
        <f t="shared" si="41"/>
        <v>2023-02</v>
      </c>
    </row>
    <row r="2650" spans="1:7" x14ac:dyDescent="0.3">
      <c r="A2650">
        <v>4102</v>
      </c>
      <c r="B2650" t="s">
        <v>31</v>
      </c>
      <c r="C2650" s="7">
        <v>195</v>
      </c>
      <c r="D2650" s="1">
        <v>44871</v>
      </c>
      <c r="E2650" s="29">
        <v>2.6590163934426201</v>
      </c>
      <c r="F2650" t="s">
        <v>4</v>
      </c>
      <c r="G2650" t="str">
        <f t="shared" si="41"/>
        <v>2022-11</v>
      </c>
    </row>
    <row r="2651" spans="1:7" x14ac:dyDescent="0.3">
      <c r="A2651">
        <v>4015</v>
      </c>
      <c r="B2651" t="s">
        <v>49</v>
      </c>
      <c r="C2651" s="7">
        <v>159</v>
      </c>
      <c r="D2651" s="1">
        <v>44944</v>
      </c>
      <c r="E2651" s="29">
        <v>1.1000000000000001</v>
      </c>
      <c r="F2651" t="s">
        <v>4</v>
      </c>
      <c r="G2651" t="str">
        <f t="shared" si="41"/>
        <v>2023-01</v>
      </c>
    </row>
    <row r="2652" spans="1:7" x14ac:dyDescent="0.3">
      <c r="A2652">
        <v>4090</v>
      </c>
      <c r="B2652" t="s">
        <v>44</v>
      </c>
      <c r="C2652" s="7">
        <v>80</v>
      </c>
      <c r="D2652" s="1">
        <v>44973</v>
      </c>
      <c r="E2652" s="29">
        <v>3.7</v>
      </c>
      <c r="F2652" t="s">
        <v>4</v>
      </c>
      <c r="G2652" t="str">
        <f t="shared" si="41"/>
        <v>2023-02</v>
      </c>
    </row>
    <row r="2653" spans="1:7" x14ac:dyDescent="0.3">
      <c r="A2653">
        <v>4027</v>
      </c>
      <c r="B2653" t="s">
        <v>31</v>
      </c>
      <c r="C2653" s="7">
        <v>59</v>
      </c>
      <c r="D2653" s="1">
        <v>45178</v>
      </c>
      <c r="E2653" s="29">
        <v>4.9000000000000004</v>
      </c>
      <c r="F2653" t="s">
        <v>1</v>
      </c>
      <c r="G2653" t="str">
        <f t="shared" si="41"/>
        <v>2023-09</v>
      </c>
    </row>
    <row r="2654" spans="1:7" x14ac:dyDescent="0.3">
      <c r="A2654">
        <v>4006</v>
      </c>
      <c r="B2654" t="s">
        <v>29</v>
      </c>
      <c r="C2654" s="7">
        <v>113</v>
      </c>
      <c r="D2654" s="1">
        <v>45132</v>
      </c>
      <c r="E2654" s="29">
        <v>2.8</v>
      </c>
      <c r="F2654" t="s">
        <v>4</v>
      </c>
      <c r="G2654" t="str">
        <f t="shared" si="41"/>
        <v>2023-07</v>
      </c>
    </row>
    <row r="2655" spans="1:7" x14ac:dyDescent="0.3">
      <c r="A2655">
        <v>3962</v>
      </c>
      <c r="B2655" t="s">
        <v>11</v>
      </c>
      <c r="C2655" s="7">
        <v>76</v>
      </c>
      <c r="D2655" s="1">
        <v>44842</v>
      </c>
      <c r="E2655" s="29">
        <v>3.0693548387096699</v>
      </c>
      <c r="F2655" t="s">
        <v>1</v>
      </c>
      <c r="G2655" t="str">
        <f t="shared" si="41"/>
        <v>2022-10</v>
      </c>
    </row>
    <row r="2656" spans="1:7" x14ac:dyDescent="0.3">
      <c r="A2656">
        <v>4093</v>
      </c>
      <c r="B2656" t="s">
        <v>37</v>
      </c>
      <c r="C2656" s="7">
        <v>97.720588235294102</v>
      </c>
      <c r="D2656" s="1">
        <v>45134</v>
      </c>
      <c r="E2656" s="29">
        <v>4.7</v>
      </c>
      <c r="F2656" t="s">
        <v>1</v>
      </c>
      <c r="G2656" t="str">
        <f t="shared" si="41"/>
        <v>2023-07</v>
      </c>
    </row>
    <row r="2657" spans="1:7" x14ac:dyDescent="0.3">
      <c r="A2657">
        <v>4114</v>
      </c>
      <c r="B2657" t="s">
        <v>40</v>
      </c>
      <c r="C2657" s="7">
        <v>153</v>
      </c>
      <c r="D2657" s="1">
        <v>45057</v>
      </c>
      <c r="E2657" s="29">
        <v>4.7</v>
      </c>
      <c r="F2657" t="s">
        <v>4</v>
      </c>
      <c r="G2657" t="str">
        <f t="shared" si="41"/>
        <v>2023-05</v>
      </c>
    </row>
    <row r="2658" spans="1:7" x14ac:dyDescent="0.3">
      <c r="A2658">
        <v>4021</v>
      </c>
      <c r="B2658" t="s">
        <v>23</v>
      </c>
      <c r="C2658" s="7">
        <v>107.68518518518501</v>
      </c>
      <c r="D2658" s="1">
        <v>45162</v>
      </c>
      <c r="E2658" s="29">
        <v>4.7</v>
      </c>
      <c r="F2658" t="s">
        <v>1</v>
      </c>
      <c r="G2658" t="str">
        <f t="shared" si="41"/>
        <v>2023-08</v>
      </c>
    </row>
    <row r="2659" spans="1:7" x14ac:dyDescent="0.3">
      <c r="A2659">
        <v>4100</v>
      </c>
      <c r="B2659" t="s">
        <v>39</v>
      </c>
      <c r="C2659" s="7">
        <v>39</v>
      </c>
      <c r="D2659" s="1">
        <v>44869</v>
      </c>
      <c r="E2659" s="29">
        <v>2.9</v>
      </c>
      <c r="F2659" t="s">
        <v>1</v>
      </c>
      <c r="G2659" t="str">
        <f t="shared" si="41"/>
        <v>2022-11</v>
      </c>
    </row>
    <row r="2660" spans="1:7" x14ac:dyDescent="0.3">
      <c r="A2660">
        <v>4073</v>
      </c>
      <c r="B2660" t="s">
        <v>41</v>
      </c>
      <c r="C2660" s="7">
        <v>75</v>
      </c>
      <c r="D2660" s="1">
        <v>45146</v>
      </c>
      <c r="E2660" s="29">
        <v>2.9</v>
      </c>
      <c r="F2660" t="s">
        <v>4</v>
      </c>
      <c r="G2660" t="str">
        <f t="shared" si="41"/>
        <v>2023-08</v>
      </c>
    </row>
    <row r="2661" spans="1:7" x14ac:dyDescent="0.3">
      <c r="A2661">
        <v>3957</v>
      </c>
      <c r="B2661" t="s">
        <v>0</v>
      </c>
      <c r="C2661" s="7">
        <v>157</v>
      </c>
      <c r="D2661" s="1">
        <v>45079</v>
      </c>
      <c r="E2661" s="29">
        <v>5</v>
      </c>
      <c r="F2661" t="s">
        <v>4</v>
      </c>
      <c r="G2661" t="str">
        <f t="shared" si="41"/>
        <v>2023-06</v>
      </c>
    </row>
    <row r="2662" spans="1:7" x14ac:dyDescent="0.3">
      <c r="A2662">
        <v>4066</v>
      </c>
      <c r="B2662" t="s">
        <v>51</v>
      </c>
      <c r="C2662" s="7">
        <v>123</v>
      </c>
      <c r="D2662" s="1">
        <v>45141</v>
      </c>
      <c r="E2662" s="29">
        <v>3.7</v>
      </c>
      <c r="F2662" t="s">
        <v>1</v>
      </c>
      <c r="G2662" t="str">
        <f t="shared" si="41"/>
        <v>2023-08</v>
      </c>
    </row>
    <row r="2663" spans="1:7" x14ac:dyDescent="0.3">
      <c r="A2663">
        <v>4121</v>
      </c>
      <c r="B2663" t="s">
        <v>32</v>
      </c>
      <c r="C2663" s="7">
        <v>154</v>
      </c>
      <c r="D2663" s="1">
        <v>45084</v>
      </c>
      <c r="E2663" s="29">
        <v>3.0542857142857098</v>
      </c>
      <c r="F2663" t="s">
        <v>1</v>
      </c>
      <c r="G2663" t="str">
        <f t="shared" si="41"/>
        <v>2023-06</v>
      </c>
    </row>
    <row r="2664" spans="1:7" x14ac:dyDescent="0.3">
      <c r="A2664">
        <v>3970</v>
      </c>
      <c r="B2664" t="s">
        <v>38</v>
      </c>
      <c r="C2664" s="7">
        <v>72</v>
      </c>
      <c r="D2664" s="1">
        <v>45130</v>
      </c>
      <c r="E2664" s="29">
        <v>2.5</v>
      </c>
      <c r="F2664" t="s">
        <v>1</v>
      </c>
      <c r="G2664" t="str">
        <f t="shared" si="41"/>
        <v>2023-07</v>
      </c>
    </row>
    <row r="2665" spans="1:7" x14ac:dyDescent="0.3">
      <c r="A2665">
        <v>4039</v>
      </c>
      <c r="B2665" t="s">
        <v>51</v>
      </c>
      <c r="C2665" s="7">
        <v>127</v>
      </c>
      <c r="D2665" s="1">
        <v>45085</v>
      </c>
      <c r="E2665" s="29">
        <v>2.7</v>
      </c>
      <c r="F2665" t="s">
        <v>1</v>
      </c>
      <c r="G2665" t="str">
        <f t="shared" si="41"/>
        <v>2023-06</v>
      </c>
    </row>
    <row r="2666" spans="1:7" x14ac:dyDescent="0.3">
      <c r="A2666">
        <v>4067</v>
      </c>
      <c r="B2666" t="s">
        <v>8</v>
      </c>
      <c r="C2666" s="7">
        <v>160</v>
      </c>
      <c r="D2666" s="1">
        <v>44905</v>
      </c>
      <c r="E2666" s="29">
        <v>4.9000000000000004</v>
      </c>
      <c r="F2666" t="s">
        <v>1</v>
      </c>
      <c r="G2666" t="str">
        <f t="shared" si="41"/>
        <v>2022-12</v>
      </c>
    </row>
    <row r="2667" spans="1:7" x14ac:dyDescent="0.3">
      <c r="A2667">
        <v>4061</v>
      </c>
      <c r="B2667" t="s">
        <v>48</v>
      </c>
      <c r="C2667" s="7">
        <v>133</v>
      </c>
      <c r="D2667" s="1">
        <v>44975</v>
      </c>
      <c r="E2667" s="29">
        <v>2.9</v>
      </c>
      <c r="F2667" t="s">
        <v>4</v>
      </c>
      <c r="G2667" t="str">
        <f t="shared" si="41"/>
        <v>2023-02</v>
      </c>
    </row>
    <row r="2668" spans="1:7" x14ac:dyDescent="0.3">
      <c r="A2668">
        <v>4027</v>
      </c>
      <c r="B2668" t="s">
        <v>3</v>
      </c>
      <c r="C2668" s="7">
        <v>100.679999999999</v>
      </c>
      <c r="D2668" s="1">
        <v>45008</v>
      </c>
      <c r="E2668" s="29">
        <v>4.9000000000000004</v>
      </c>
      <c r="F2668" t="s">
        <v>1</v>
      </c>
      <c r="G2668" t="str">
        <f t="shared" si="41"/>
        <v>2023-03</v>
      </c>
    </row>
    <row r="2669" spans="1:7" x14ac:dyDescent="0.3">
      <c r="A2669">
        <v>3988</v>
      </c>
      <c r="B2669" t="s">
        <v>17</v>
      </c>
      <c r="C2669" s="7">
        <v>119.195652173913</v>
      </c>
      <c r="D2669" s="1">
        <v>44914</v>
      </c>
      <c r="E2669" s="29">
        <v>1.8</v>
      </c>
      <c r="F2669" t="s">
        <v>4</v>
      </c>
      <c r="G2669" t="str">
        <f t="shared" si="41"/>
        <v>2022-12</v>
      </c>
    </row>
    <row r="2670" spans="1:7" x14ac:dyDescent="0.3">
      <c r="A2670">
        <v>4089</v>
      </c>
      <c r="B2670" t="s">
        <v>38</v>
      </c>
      <c r="C2670" s="7">
        <v>66</v>
      </c>
      <c r="D2670" s="1">
        <v>45120</v>
      </c>
      <c r="E2670" s="29">
        <v>4.5999999999999996</v>
      </c>
      <c r="F2670" t="s">
        <v>4</v>
      </c>
      <c r="G2670" t="str">
        <f t="shared" si="41"/>
        <v>2023-07</v>
      </c>
    </row>
    <row r="2671" spans="1:7" x14ac:dyDescent="0.3">
      <c r="A2671">
        <v>4076</v>
      </c>
      <c r="B2671" t="s">
        <v>26</v>
      </c>
      <c r="C2671" s="7">
        <v>68</v>
      </c>
      <c r="D2671" s="1">
        <v>44973</v>
      </c>
      <c r="E2671" s="29">
        <v>2.2000000000000002</v>
      </c>
      <c r="F2671" t="s">
        <v>1</v>
      </c>
      <c r="G2671" t="str">
        <f t="shared" si="41"/>
        <v>2023-02</v>
      </c>
    </row>
    <row r="2672" spans="1:7" x14ac:dyDescent="0.3">
      <c r="A2672">
        <v>4083</v>
      </c>
      <c r="B2672" t="s">
        <v>11</v>
      </c>
      <c r="C2672" s="7">
        <v>115</v>
      </c>
      <c r="D2672" s="1">
        <v>44892</v>
      </c>
      <c r="E2672" s="29">
        <v>3.9</v>
      </c>
      <c r="F2672" t="s">
        <v>1</v>
      </c>
      <c r="G2672" t="str">
        <f t="shared" si="41"/>
        <v>2022-11</v>
      </c>
    </row>
    <row r="2673" spans="1:7" x14ac:dyDescent="0.3">
      <c r="A2673">
        <v>4049</v>
      </c>
      <c r="B2673" t="s">
        <v>17</v>
      </c>
      <c r="C2673" s="7">
        <v>142</v>
      </c>
      <c r="D2673" s="1">
        <v>44943</v>
      </c>
      <c r="E2673" s="29">
        <v>3.3</v>
      </c>
      <c r="F2673" t="s">
        <v>4</v>
      </c>
      <c r="G2673" t="str">
        <f t="shared" si="41"/>
        <v>2023-01</v>
      </c>
    </row>
    <row r="2674" spans="1:7" x14ac:dyDescent="0.3">
      <c r="A2674">
        <v>4089</v>
      </c>
      <c r="B2674" t="s">
        <v>42</v>
      </c>
      <c r="C2674" s="7">
        <v>189</v>
      </c>
      <c r="D2674" s="1">
        <v>45021</v>
      </c>
      <c r="E2674" s="29">
        <v>2.9761904761904701</v>
      </c>
      <c r="F2674" t="s">
        <v>1</v>
      </c>
      <c r="G2674" t="str">
        <f t="shared" si="41"/>
        <v>2023-04</v>
      </c>
    </row>
    <row r="2675" spans="1:7" x14ac:dyDescent="0.3">
      <c r="A2675">
        <v>3968</v>
      </c>
      <c r="B2675" t="s">
        <v>22</v>
      </c>
      <c r="C2675" s="7">
        <v>73</v>
      </c>
      <c r="D2675" s="1">
        <v>45035</v>
      </c>
      <c r="E2675" s="29">
        <v>2.2000000000000002</v>
      </c>
      <c r="F2675" t="s">
        <v>4</v>
      </c>
      <c r="G2675" t="str">
        <f t="shared" si="41"/>
        <v>2023-04</v>
      </c>
    </row>
    <row r="2676" spans="1:7" x14ac:dyDescent="0.3">
      <c r="A2676">
        <v>4014</v>
      </c>
      <c r="B2676" t="s">
        <v>14</v>
      </c>
      <c r="C2676" s="7">
        <v>112</v>
      </c>
      <c r="D2676" s="1">
        <v>45148</v>
      </c>
      <c r="E2676" s="29">
        <v>2.5885245901639302</v>
      </c>
      <c r="F2676" t="s">
        <v>1</v>
      </c>
      <c r="G2676" t="str">
        <f t="shared" si="41"/>
        <v>2023-08</v>
      </c>
    </row>
    <row r="2677" spans="1:7" x14ac:dyDescent="0.3">
      <c r="A2677">
        <v>3969</v>
      </c>
      <c r="B2677" t="s">
        <v>7</v>
      </c>
      <c r="C2677" s="7">
        <v>97</v>
      </c>
      <c r="D2677" s="1">
        <v>44974</v>
      </c>
      <c r="E2677" s="29">
        <v>2.7</v>
      </c>
      <c r="F2677" t="s">
        <v>1</v>
      </c>
      <c r="G2677" t="str">
        <f t="shared" si="41"/>
        <v>2023-02</v>
      </c>
    </row>
    <row r="2678" spans="1:7" x14ac:dyDescent="0.3">
      <c r="A2678">
        <v>4028</v>
      </c>
      <c r="B2678" t="s">
        <v>50</v>
      </c>
      <c r="C2678" s="7">
        <v>123.21818181818099</v>
      </c>
      <c r="D2678" s="1">
        <v>45105</v>
      </c>
      <c r="E2678" s="29">
        <v>1.2</v>
      </c>
      <c r="F2678" t="s">
        <v>4</v>
      </c>
      <c r="G2678" t="str">
        <f t="shared" si="41"/>
        <v>2023-06</v>
      </c>
    </row>
    <row r="2679" spans="1:7" x14ac:dyDescent="0.3">
      <c r="A2679">
        <v>4064</v>
      </c>
      <c r="B2679" t="s">
        <v>46</v>
      </c>
      <c r="C2679" s="7">
        <v>131</v>
      </c>
      <c r="D2679" s="1">
        <v>44842</v>
      </c>
      <c r="E2679" s="29">
        <v>3.7</v>
      </c>
      <c r="F2679" t="s">
        <v>4</v>
      </c>
      <c r="G2679" t="str">
        <f t="shared" si="41"/>
        <v>2022-10</v>
      </c>
    </row>
    <row r="2680" spans="1:7" x14ac:dyDescent="0.3">
      <c r="A2680">
        <v>4093</v>
      </c>
      <c r="B2680" t="s">
        <v>48</v>
      </c>
      <c r="C2680" s="7">
        <v>65</v>
      </c>
      <c r="D2680" s="1">
        <v>44988</v>
      </c>
      <c r="E2680" s="29">
        <v>2.6</v>
      </c>
      <c r="F2680" t="s">
        <v>4</v>
      </c>
      <c r="G2680" t="str">
        <f t="shared" si="41"/>
        <v>2023-03</v>
      </c>
    </row>
    <row r="2681" spans="1:7" x14ac:dyDescent="0.3">
      <c r="A2681">
        <v>4071</v>
      </c>
      <c r="B2681" t="s">
        <v>35</v>
      </c>
      <c r="C2681" s="7">
        <v>78</v>
      </c>
      <c r="D2681" s="1">
        <v>44998</v>
      </c>
      <c r="E2681" s="29">
        <v>4.7</v>
      </c>
      <c r="F2681" t="s">
        <v>4</v>
      </c>
      <c r="G2681" t="str">
        <f t="shared" si="41"/>
        <v>2023-03</v>
      </c>
    </row>
    <row r="2682" spans="1:7" x14ac:dyDescent="0.3">
      <c r="A2682">
        <v>4037</v>
      </c>
      <c r="B2682" t="s">
        <v>33</v>
      </c>
      <c r="C2682" s="7">
        <v>113.54098360655701</v>
      </c>
      <c r="D2682" s="1">
        <v>44857</v>
      </c>
      <c r="E2682" s="29">
        <v>4</v>
      </c>
      <c r="F2682" t="s">
        <v>1</v>
      </c>
      <c r="G2682" t="str">
        <f t="shared" si="41"/>
        <v>2022-10</v>
      </c>
    </row>
    <row r="2683" spans="1:7" x14ac:dyDescent="0.3">
      <c r="A2683">
        <v>3958</v>
      </c>
      <c r="B2683" t="s">
        <v>50</v>
      </c>
      <c r="C2683" s="7">
        <v>58</v>
      </c>
      <c r="D2683" s="1">
        <v>45073</v>
      </c>
      <c r="E2683" s="29">
        <v>3.1</v>
      </c>
      <c r="F2683" t="s">
        <v>1</v>
      </c>
      <c r="G2683" t="str">
        <f t="shared" si="41"/>
        <v>2023-05</v>
      </c>
    </row>
    <row r="2684" spans="1:7" x14ac:dyDescent="0.3">
      <c r="A2684">
        <v>4057</v>
      </c>
      <c r="B2684" t="s">
        <v>37</v>
      </c>
      <c r="C2684" s="7">
        <v>61</v>
      </c>
      <c r="D2684" s="1">
        <v>44940</v>
      </c>
      <c r="E2684" s="29">
        <v>1.3</v>
      </c>
      <c r="F2684" t="s">
        <v>1</v>
      </c>
      <c r="G2684" t="str">
        <f t="shared" si="41"/>
        <v>2023-01</v>
      </c>
    </row>
    <row r="2685" spans="1:7" x14ac:dyDescent="0.3">
      <c r="A2685">
        <v>4006</v>
      </c>
      <c r="B2685" t="s">
        <v>19</v>
      </c>
      <c r="C2685" s="7">
        <v>71</v>
      </c>
      <c r="D2685" s="1">
        <v>45017</v>
      </c>
      <c r="E2685" s="29">
        <v>3.6</v>
      </c>
      <c r="F2685" t="s">
        <v>4</v>
      </c>
      <c r="G2685" t="str">
        <f t="shared" si="41"/>
        <v>2023-04</v>
      </c>
    </row>
    <row r="2686" spans="1:7" x14ac:dyDescent="0.3">
      <c r="A2686">
        <v>4042</v>
      </c>
      <c r="B2686" t="s">
        <v>32</v>
      </c>
      <c r="C2686" s="7">
        <v>62</v>
      </c>
      <c r="D2686" s="1">
        <v>45029</v>
      </c>
      <c r="E2686" s="29">
        <v>4.5999999999999996</v>
      </c>
      <c r="F2686" t="s">
        <v>1</v>
      </c>
      <c r="G2686" t="str">
        <f t="shared" si="41"/>
        <v>2023-04</v>
      </c>
    </row>
    <row r="2687" spans="1:7" x14ac:dyDescent="0.3">
      <c r="A2687">
        <v>3977</v>
      </c>
      <c r="B2687" t="s">
        <v>44</v>
      </c>
      <c r="C2687" s="7">
        <v>73</v>
      </c>
      <c r="D2687" s="1">
        <v>45189</v>
      </c>
      <c r="E2687" s="29">
        <v>4.3</v>
      </c>
      <c r="F2687" t="s">
        <v>1</v>
      </c>
      <c r="G2687" t="str">
        <f t="shared" si="41"/>
        <v>2023-09</v>
      </c>
    </row>
    <row r="2688" spans="1:7" x14ac:dyDescent="0.3">
      <c r="A2688">
        <v>4103</v>
      </c>
      <c r="B2688" t="s">
        <v>36</v>
      </c>
      <c r="C2688" s="7">
        <v>101</v>
      </c>
      <c r="D2688" s="1">
        <v>45087</v>
      </c>
      <c r="E2688" s="29">
        <v>1.8</v>
      </c>
      <c r="F2688" t="s">
        <v>4</v>
      </c>
      <c r="G2688" t="str">
        <f t="shared" si="41"/>
        <v>2023-06</v>
      </c>
    </row>
    <row r="2689" spans="1:7" x14ac:dyDescent="0.3">
      <c r="A2689">
        <v>3963</v>
      </c>
      <c r="B2689" t="s">
        <v>37</v>
      </c>
      <c r="C2689" s="7">
        <v>97.720588235294102</v>
      </c>
      <c r="D2689" s="1">
        <v>44989</v>
      </c>
      <c r="E2689" s="29">
        <v>4.9000000000000004</v>
      </c>
      <c r="F2689" t="s">
        <v>1</v>
      </c>
      <c r="G2689" t="str">
        <f t="shared" si="41"/>
        <v>2023-03</v>
      </c>
    </row>
    <row r="2690" spans="1:7" x14ac:dyDescent="0.3">
      <c r="A2690">
        <v>4014</v>
      </c>
      <c r="B2690" t="s">
        <v>36</v>
      </c>
      <c r="C2690" s="7">
        <v>90.925925925925895</v>
      </c>
      <c r="D2690" s="1">
        <v>45096</v>
      </c>
      <c r="E2690" s="29">
        <v>3.2</v>
      </c>
      <c r="F2690" t="s">
        <v>1</v>
      </c>
      <c r="G2690" t="str">
        <f t="shared" si="41"/>
        <v>2023-06</v>
      </c>
    </row>
    <row r="2691" spans="1:7" x14ac:dyDescent="0.3">
      <c r="A2691">
        <v>4065</v>
      </c>
      <c r="B2691" t="s">
        <v>9</v>
      </c>
      <c r="C2691" s="7">
        <v>183</v>
      </c>
      <c r="D2691" s="1">
        <v>44843</v>
      </c>
      <c r="E2691" s="29">
        <v>3</v>
      </c>
      <c r="F2691" t="s">
        <v>4</v>
      </c>
      <c r="G2691" t="str">
        <f t="shared" ref="G2691:G2754" si="42">TEXT(D2691,"ГГГГ-ММ")</f>
        <v>2022-10</v>
      </c>
    </row>
    <row r="2692" spans="1:7" x14ac:dyDescent="0.3">
      <c r="A2692">
        <v>3976</v>
      </c>
      <c r="B2692" t="s">
        <v>21</v>
      </c>
      <c r="C2692" s="7">
        <v>136</v>
      </c>
      <c r="D2692" s="1">
        <v>45129</v>
      </c>
      <c r="E2692" s="29">
        <v>3.4</v>
      </c>
      <c r="F2692" t="s">
        <v>1</v>
      </c>
      <c r="G2692" t="str">
        <f t="shared" si="42"/>
        <v>2023-07</v>
      </c>
    </row>
    <row r="2693" spans="1:7" x14ac:dyDescent="0.3">
      <c r="A2693">
        <v>4020</v>
      </c>
      <c r="B2693" t="s">
        <v>7</v>
      </c>
      <c r="C2693" s="7">
        <v>148</v>
      </c>
      <c r="D2693" s="1">
        <v>45000</v>
      </c>
      <c r="E2693" s="29">
        <v>2.7</v>
      </c>
      <c r="F2693" t="s">
        <v>4</v>
      </c>
      <c r="G2693" t="str">
        <f t="shared" si="42"/>
        <v>2023-03</v>
      </c>
    </row>
    <row r="2694" spans="1:7" x14ac:dyDescent="0.3">
      <c r="A2694">
        <v>4007</v>
      </c>
      <c r="B2694" t="s">
        <v>11</v>
      </c>
      <c r="C2694" s="7">
        <v>133</v>
      </c>
      <c r="D2694" s="1">
        <v>45091</v>
      </c>
      <c r="E2694" s="29">
        <v>4.5</v>
      </c>
      <c r="F2694" t="s">
        <v>1</v>
      </c>
      <c r="G2694" t="str">
        <f t="shared" si="42"/>
        <v>2023-06</v>
      </c>
    </row>
    <row r="2695" spans="1:7" x14ac:dyDescent="0.3">
      <c r="A2695">
        <v>3999</v>
      </c>
      <c r="B2695" t="s">
        <v>43</v>
      </c>
      <c r="C2695" s="7">
        <v>90</v>
      </c>
      <c r="D2695" s="1">
        <v>45163</v>
      </c>
      <c r="E2695" s="29">
        <v>4.5</v>
      </c>
      <c r="F2695" t="s">
        <v>1</v>
      </c>
      <c r="G2695" t="str">
        <f t="shared" si="42"/>
        <v>2023-08</v>
      </c>
    </row>
    <row r="2696" spans="1:7" x14ac:dyDescent="0.3">
      <c r="A2696">
        <v>4041</v>
      </c>
      <c r="B2696" t="s">
        <v>51</v>
      </c>
      <c r="C2696" s="7">
        <v>157</v>
      </c>
      <c r="D2696" s="1">
        <v>45163</v>
      </c>
      <c r="E2696" s="29">
        <v>1.7</v>
      </c>
      <c r="F2696" t="s">
        <v>1</v>
      </c>
      <c r="G2696" t="str">
        <f t="shared" si="42"/>
        <v>2023-08</v>
      </c>
    </row>
    <row r="2697" spans="1:7" x14ac:dyDescent="0.3">
      <c r="A2697">
        <v>4036</v>
      </c>
      <c r="B2697" t="s">
        <v>21</v>
      </c>
      <c r="C2697" s="7">
        <v>135</v>
      </c>
      <c r="D2697" s="1">
        <v>44950</v>
      </c>
      <c r="E2697" s="29">
        <v>2.2999999999999998</v>
      </c>
      <c r="F2697" t="s">
        <v>4</v>
      </c>
      <c r="G2697" t="str">
        <f t="shared" si="42"/>
        <v>2023-01</v>
      </c>
    </row>
    <row r="2698" spans="1:7" x14ac:dyDescent="0.3">
      <c r="A2698">
        <v>3973</v>
      </c>
      <c r="B2698" t="s">
        <v>0</v>
      </c>
      <c r="C2698" s="7">
        <v>112.145454545454</v>
      </c>
      <c r="D2698" s="1">
        <v>45129</v>
      </c>
      <c r="E2698" s="29">
        <v>3.0636363636363599</v>
      </c>
      <c r="F2698" t="s">
        <v>1</v>
      </c>
      <c r="G2698" t="str">
        <f t="shared" si="42"/>
        <v>2023-07</v>
      </c>
    </row>
    <row r="2699" spans="1:7" x14ac:dyDescent="0.3">
      <c r="A2699">
        <v>4117</v>
      </c>
      <c r="B2699" t="s">
        <v>25</v>
      </c>
      <c r="C2699" s="7">
        <v>140</v>
      </c>
      <c r="D2699" s="1">
        <v>44964</v>
      </c>
      <c r="E2699" s="29">
        <v>4</v>
      </c>
      <c r="F2699" t="s">
        <v>1</v>
      </c>
      <c r="G2699" t="str">
        <f t="shared" si="42"/>
        <v>2023-02</v>
      </c>
    </row>
    <row r="2700" spans="1:7" x14ac:dyDescent="0.3">
      <c r="A2700">
        <v>4117</v>
      </c>
      <c r="B2700" t="s">
        <v>5</v>
      </c>
      <c r="C2700" s="7">
        <v>66</v>
      </c>
      <c r="D2700" s="1">
        <v>45182</v>
      </c>
      <c r="E2700" s="29">
        <v>1.1000000000000001</v>
      </c>
      <c r="F2700" t="s">
        <v>1</v>
      </c>
      <c r="G2700" t="str">
        <f t="shared" si="42"/>
        <v>2023-09</v>
      </c>
    </row>
    <row r="2701" spans="1:7" x14ac:dyDescent="0.3">
      <c r="A2701">
        <v>3981</v>
      </c>
      <c r="B2701" t="s">
        <v>37</v>
      </c>
      <c r="C2701" s="7">
        <v>42</v>
      </c>
      <c r="D2701" s="1">
        <v>44845</v>
      </c>
      <c r="E2701" s="29">
        <v>3.4</v>
      </c>
      <c r="F2701" t="s">
        <v>1</v>
      </c>
      <c r="G2701" t="str">
        <f t="shared" si="42"/>
        <v>2022-10</v>
      </c>
    </row>
    <row r="2702" spans="1:7" x14ac:dyDescent="0.3">
      <c r="A2702">
        <v>3964</v>
      </c>
      <c r="B2702" t="s">
        <v>31</v>
      </c>
      <c r="C2702" s="7">
        <v>88.827586206896498</v>
      </c>
      <c r="D2702" s="1">
        <v>45008</v>
      </c>
      <c r="E2702" s="29">
        <v>2.7</v>
      </c>
      <c r="F2702" t="s">
        <v>1</v>
      </c>
      <c r="G2702" t="str">
        <f t="shared" si="42"/>
        <v>2023-03</v>
      </c>
    </row>
    <row r="2703" spans="1:7" x14ac:dyDescent="0.3">
      <c r="A2703">
        <v>4079</v>
      </c>
      <c r="B2703" t="s">
        <v>16</v>
      </c>
      <c r="C2703" s="7">
        <v>132</v>
      </c>
      <c r="D2703" s="1">
        <v>45135</v>
      </c>
      <c r="E2703" s="29">
        <v>5</v>
      </c>
      <c r="F2703" t="s">
        <v>4</v>
      </c>
      <c r="G2703" t="str">
        <f t="shared" si="42"/>
        <v>2023-07</v>
      </c>
    </row>
    <row r="2704" spans="1:7" x14ac:dyDescent="0.3">
      <c r="A2704">
        <v>4067</v>
      </c>
      <c r="B2704" t="s">
        <v>31</v>
      </c>
      <c r="C2704" s="7">
        <v>18</v>
      </c>
      <c r="D2704" s="1">
        <v>45157</v>
      </c>
      <c r="E2704" s="29">
        <v>3.8</v>
      </c>
      <c r="F2704" t="s">
        <v>1</v>
      </c>
      <c r="G2704" t="str">
        <f t="shared" si="42"/>
        <v>2023-08</v>
      </c>
    </row>
    <row r="2705" spans="1:7" x14ac:dyDescent="0.3">
      <c r="A2705">
        <v>3963</v>
      </c>
      <c r="B2705" t="s">
        <v>44</v>
      </c>
      <c r="C2705" s="7">
        <v>110</v>
      </c>
      <c r="D2705" s="1">
        <v>45116</v>
      </c>
      <c r="E2705" s="29">
        <v>4.8</v>
      </c>
      <c r="F2705" t="s">
        <v>4</v>
      </c>
      <c r="G2705" t="str">
        <f t="shared" si="42"/>
        <v>2023-07</v>
      </c>
    </row>
    <row r="2706" spans="1:7" x14ac:dyDescent="0.3">
      <c r="A2706">
        <v>4108</v>
      </c>
      <c r="B2706" t="s">
        <v>26</v>
      </c>
      <c r="C2706" s="7">
        <v>54</v>
      </c>
      <c r="D2706" s="1">
        <v>44859</v>
      </c>
      <c r="E2706" s="29">
        <v>2.6</v>
      </c>
      <c r="F2706" t="s">
        <v>1</v>
      </c>
      <c r="G2706" t="str">
        <f t="shared" si="42"/>
        <v>2022-10</v>
      </c>
    </row>
    <row r="2707" spans="1:7" x14ac:dyDescent="0.3">
      <c r="A2707">
        <v>4117</v>
      </c>
      <c r="B2707" t="s">
        <v>6</v>
      </c>
      <c r="C2707" s="7">
        <v>40</v>
      </c>
      <c r="D2707" s="1">
        <v>44907</v>
      </c>
      <c r="E2707" s="29">
        <v>1.6</v>
      </c>
      <c r="F2707" t="s">
        <v>4</v>
      </c>
      <c r="G2707" t="str">
        <f t="shared" si="42"/>
        <v>2022-12</v>
      </c>
    </row>
    <row r="2708" spans="1:7" x14ac:dyDescent="0.3">
      <c r="A2708">
        <v>4042</v>
      </c>
      <c r="B2708" t="s">
        <v>11</v>
      </c>
      <c r="C2708" s="7">
        <v>127</v>
      </c>
      <c r="D2708" s="1">
        <v>45172</v>
      </c>
      <c r="E2708" s="29">
        <v>2.5</v>
      </c>
      <c r="F2708" t="s">
        <v>4</v>
      </c>
      <c r="G2708" t="str">
        <f t="shared" si="42"/>
        <v>2023-09</v>
      </c>
    </row>
    <row r="2709" spans="1:7" x14ac:dyDescent="0.3">
      <c r="A2709">
        <v>4021</v>
      </c>
      <c r="B2709" t="s">
        <v>14</v>
      </c>
      <c r="C2709" s="7">
        <v>12</v>
      </c>
      <c r="D2709" s="1">
        <v>45057</v>
      </c>
      <c r="E2709" s="29">
        <v>2.5885245901639302</v>
      </c>
      <c r="F2709" t="s">
        <v>1</v>
      </c>
      <c r="G2709" t="str">
        <f t="shared" si="42"/>
        <v>2023-05</v>
      </c>
    </row>
    <row r="2710" spans="1:7" x14ac:dyDescent="0.3">
      <c r="A2710">
        <v>4020</v>
      </c>
      <c r="B2710" t="s">
        <v>6</v>
      </c>
      <c r="C2710" s="7">
        <v>114.77966101694901</v>
      </c>
      <c r="D2710" s="1">
        <v>44836</v>
      </c>
      <c r="E2710" s="29">
        <v>1.3</v>
      </c>
      <c r="F2710" t="s">
        <v>1</v>
      </c>
      <c r="G2710" t="str">
        <f t="shared" si="42"/>
        <v>2022-10</v>
      </c>
    </row>
    <row r="2711" spans="1:7" x14ac:dyDescent="0.3">
      <c r="A2711">
        <v>3984</v>
      </c>
      <c r="B2711" t="s">
        <v>30</v>
      </c>
      <c r="C2711" s="7">
        <v>158</v>
      </c>
      <c r="D2711" s="1">
        <v>44922</v>
      </c>
      <c r="E2711" s="29">
        <v>1.7</v>
      </c>
      <c r="F2711" t="s">
        <v>1</v>
      </c>
      <c r="G2711" t="str">
        <f t="shared" si="42"/>
        <v>2022-12</v>
      </c>
    </row>
    <row r="2712" spans="1:7" x14ac:dyDescent="0.3">
      <c r="A2712">
        <v>4078</v>
      </c>
      <c r="B2712" t="s">
        <v>14</v>
      </c>
      <c r="C2712" s="7">
        <v>102.377358490566</v>
      </c>
      <c r="D2712" s="1">
        <v>45151</v>
      </c>
      <c r="E2712" s="29">
        <v>2.2999999999999998</v>
      </c>
      <c r="F2712" t="s">
        <v>1</v>
      </c>
      <c r="G2712" t="str">
        <f t="shared" si="42"/>
        <v>2023-08</v>
      </c>
    </row>
    <row r="2713" spans="1:7" x14ac:dyDescent="0.3">
      <c r="A2713">
        <v>4018</v>
      </c>
      <c r="B2713" t="s">
        <v>37</v>
      </c>
      <c r="C2713" s="7">
        <v>76</v>
      </c>
      <c r="D2713" s="1">
        <v>44964</v>
      </c>
      <c r="E2713" s="29">
        <v>5</v>
      </c>
      <c r="F2713" t="s">
        <v>4</v>
      </c>
      <c r="G2713" t="str">
        <f t="shared" si="42"/>
        <v>2023-02</v>
      </c>
    </row>
    <row r="2714" spans="1:7" x14ac:dyDescent="0.3">
      <c r="A2714">
        <v>4044</v>
      </c>
      <c r="B2714" t="s">
        <v>51</v>
      </c>
      <c r="C2714" s="7">
        <v>105.1</v>
      </c>
      <c r="D2714" s="1">
        <v>44974</v>
      </c>
      <c r="E2714" s="29">
        <v>3.6</v>
      </c>
      <c r="F2714" t="s">
        <v>4</v>
      </c>
      <c r="G2714" t="str">
        <f t="shared" si="42"/>
        <v>2023-02</v>
      </c>
    </row>
    <row r="2715" spans="1:7" x14ac:dyDescent="0.3">
      <c r="A2715">
        <v>3970</v>
      </c>
      <c r="B2715" t="s">
        <v>23</v>
      </c>
      <c r="C2715" s="7">
        <v>78</v>
      </c>
      <c r="D2715" s="1">
        <v>44911</v>
      </c>
      <c r="E2715" s="29">
        <v>3.1303030303030299</v>
      </c>
      <c r="F2715" t="s">
        <v>4</v>
      </c>
      <c r="G2715" t="str">
        <f t="shared" si="42"/>
        <v>2022-12</v>
      </c>
    </row>
    <row r="2716" spans="1:7" x14ac:dyDescent="0.3">
      <c r="A2716">
        <v>4042</v>
      </c>
      <c r="B2716" t="s">
        <v>21</v>
      </c>
      <c r="C2716" s="7">
        <v>166</v>
      </c>
      <c r="D2716" s="1">
        <v>45169</v>
      </c>
      <c r="E2716" s="29">
        <v>5</v>
      </c>
      <c r="F2716" t="s">
        <v>4</v>
      </c>
      <c r="G2716" t="str">
        <f t="shared" si="42"/>
        <v>2023-08</v>
      </c>
    </row>
    <row r="2717" spans="1:7" x14ac:dyDescent="0.3">
      <c r="A2717">
        <v>4090</v>
      </c>
      <c r="B2717" t="s">
        <v>0</v>
      </c>
      <c r="C2717" s="7">
        <v>57</v>
      </c>
      <c r="D2717" s="1">
        <v>44858</v>
      </c>
      <c r="E2717" s="29">
        <v>3.7</v>
      </c>
      <c r="F2717" t="s">
        <v>1</v>
      </c>
      <c r="G2717" t="str">
        <f t="shared" si="42"/>
        <v>2022-10</v>
      </c>
    </row>
    <row r="2718" spans="1:7" x14ac:dyDescent="0.3">
      <c r="A2718">
        <v>4017</v>
      </c>
      <c r="B2718" t="s">
        <v>3</v>
      </c>
      <c r="C2718" s="7">
        <v>63</v>
      </c>
      <c r="D2718" s="1">
        <v>44955</v>
      </c>
      <c r="E2718" s="29">
        <v>1.6</v>
      </c>
      <c r="F2718" t="s">
        <v>4</v>
      </c>
      <c r="G2718" t="str">
        <f t="shared" si="42"/>
        <v>2023-01</v>
      </c>
    </row>
    <row r="2719" spans="1:7" x14ac:dyDescent="0.3">
      <c r="A2719">
        <v>3975</v>
      </c>
      <c r="B2719" t="s">
        <v>48</v>
      </c>
      <c r="C2719" s="7">
        <v>105</v>
      </c>
      <c r="D2719" s="1">
        <v>44882</v>
      </c>
      <c r="E2719" s="29">
        <v>2.9</v>
      </c>
      <c r="F2719" t="s">
        <v>1</v>
      </c>
      <c r="G2719" t="str">
        <f t="shared" si="42"/>
        <v>2022-11</v>
      </c>
    </row>
    <row r="2720" spans="1:7" x14ac:dyDescent="0.3">
      <c r="A2720">
        <v>4110</v>
      </c>
      <c r="B2720" t="s">
        <v>18</v>
      </c>
      <c r="C2720" s="7">
        <v>112</v>
      </c>
      <c r="D2720" s="1">
        <v>45017</v>
      </c>
      <c r="E2720" s="29">
        <v>4.7</v>
      </c>
      <c r="F2720" t="s">
        <v>1</v>
      </c>
      <c r="G2720" t="str">
        <f t="shared" si="42"/>
        <v>2023-04</v>
      </c>
    </row>
    <row r="2721" spans="1:7" x14ac:dyDescent="0.3">
      <c r="A2721">
        <v>4115</v>
      </c>
      <c r="B2721" t="s">
        <v>48</v>
      </c>
      <c r="C2721" s="7">
        <v>56</v>
      </c>
      <c r="D2721" s="1">
        <v>45107</v>
      </c>
      <c r="E2721" s="29">
        <v>2.9</v>
      </c>
      <c r="F2721" t="s">
        <v>1</v>
      </c>
      <c r="G2721" t="str">
        <f t="shared" si="42"/>
        <v>2023-06</v>
      </c>
    </row>
    <row r="2722" spans="1:7" x14ac:dyDescent="0.3">
      <c r="A2722">
        <v>4069</v>
      </c>
      <c r="B2722" t="s">
        <v>21</v>
      </c>
      <c r="C2722" s="7">
        <v>157</v>
      </c>
      <c r="D2722" s="1">
        <v>45143</v>
      </c>
      <c r="E2722" s="29">
        <v>2.2999999999999998</v>
      </c>
      <c r="F2722" t="s">
        <v>4</v>
      </c>
      <c r="G2722" t="str">
        <f t="shared" si="42"/>
        <v>2023-08</v>
      </c>
    </row>
    <row r="2723" spans="1:7" x14ac:dyDescent="0.3">
      <c r="A2723">
        <v>3981</v>
      </c>
      <c r="B2723" t="s">
        <v>2</v>
      </c>
      <c r="C2723" s="7">
        <v>35</v>
      </c>
      <c r="D2723" s="1">
        <v>44907</v>
      </c>
      <c r="E2723" s="29">
        <v>2.8</v>
      </c>
      <c r="F2723" t="s">
        <v>1</v>
      </c>
      <c r="G2723" t="str">
        <f t="shared" si="42"/>
        <v>2022-12</v>
      </c>
    </row>
    <row r="2724" spans="1:7" x14ac:dyDescent="0.3">
      <c r="A2724">
        <v>4117</v>
      </c>
      <c r="B2724" t="s">
        <v>41</v>
      </c>
      <c r="C2724" s="7">
        <v>70</v>
      </c>
      <c r="D2724" s="1">
        <v>45006</v>
      </c>
      <c r="E2724" s="29">
        <v>1.2</v>
      </c>
      <c r="F2724" t="s">
        <v>4</v>
      </c>
      <c r="G2724" t="str">
        <f t="shared" si="42"/>
        <v>2023-03</v>
      </c>
    </row>
    <row r="2725" spans="1:7" x14ac:dyDescent="0.3">
      <c r="A2725">
        <v>4071</v>
      </c>
      <c r="B2725" t="s">
        <v>11</v>
      </c>
      <c r="C2725" s="7">
        <v>107</v>
      </c>
      <c r="D2725" s="1">
        <v>45102</v>
      </c>
      <c r="E2725" s="29">
        <v>4.0999999999999996</v>
      </c>
      <c r="F2725" t="s">
        <v>4</v>
      </c>
      <c r="G2725" t="str">
        <f t="shared" si="42"/>
        <v>2023-06</v>
      </c>
    </row>
    <row r="2726" spans="1:7" x14ac:dyDescent="0.3">
      <c r="A2726">
        <v>4105</v>
      </c>
      <c r="B2726" t="s">
        <v>3</v>
      </c>
      <c r="C2726" s="7">
        <v>100.679999999999</v>
      </c>
      <c r="D2726" s="1">
        <v>44979</v>
      </c>
      <c r="E2726" s="29">
        <v>2.7</v>
      </c>
      <c r="F2726" t="s">
        <v>4</v>
      </c>
      <c r="G2726" t="str">
        <f t="shared" si="42"/>
        <v>2023-02</v>
      </c>
    </row>
    <row r="2727" spans="1:7" x14ac:dyDescent="0.3">
      <c r="A2727">
        <v>3988</v>
      </c>
      <c r="B2727" t="s">
        <v>29</v>
      </c>
      <c r="C2727" s="7">
        <v>199</v>
      </c>
      <c r="D2727" s="1">
        <v>45148</v>
      </c>
      <c r="E2727" s="29">
        <v>2.2000000000000002</v>
      </c>
      <c r="F2727" t="s">
        <v>1</v>
      </c>
      <c r="G2727" t="str">
        <f t="shared" si="42"/>
        <v>2023-08</v>
      </c>
    </row>
    <row r="2728" spans="1:7" x14ac:dyDescent="0.3">
      <c r="A2728">
        <v>3978</v>
      </c>
      <c r="B2728" t="s">
        <v>20</v>
      </c>
      <c r="C2728" s="7">
        <v>105.95348837209301</v>
      </c>
      <c r="D2728" s="1">
        <v>44844</v>
      </c>
      <c r="E2728" s="29">
        <v>1.1000000000000001</v>
      </c>
      <c r="F2728" t="s">
        <v>4</v>
      </c>
      <c r="G2728" t="str">
        <f t="shared" si="42"/>
        <v>2022-10</v>
      </c>
    </row>
    <row r="2729" spans="1:7" x14ac:dyDescent="0.3">
      <c r="A2729">
        <v>3972</v>
      </c>
      <c r="B2729" t="s">
        <v>51</v>
      </c>
      <c r="C2729" s="7">
        <v>55</v>
      </c>
      <c r="D2729" s="1">
        <v>45075</v>
      </c>
      <c r="E2729" s="29">
        <v>4.5999999999999996</v>
      </c>
      <c r="F2729" t="s">
        <v>1</v>
      </c>
      <c r="G2729" t="str">
        <f t="shared" si="42"/>
        <v>2023-05</v>
      </c>
    </row>
    <row r="2730" spans="1:7" x14ac:dyDescent="0.3">
      <c r="A2730">
        <v>3965</v>
      </c>
      <c r="B2730" t="s">
        <v>11</v>
      </c>
      <c r="C2730" s="7">
        <v>44</v>
      </c>
      <c r="D2730" s="1">
        <v>44933</v>
      </c>
      <c r="E2730" s="29">
        <v>3.0693548387096699</v>
      </c>
      <c r="F2730" t="s">
        <v>1</v>
      </c>
      <c r="G2730" t="str">
        <f t="shared" si="42"/>
        <v>2023-01</v>
      </c>
    </row>
    <row r="2731" spans="1:7" x14ac:dyDescent="0.3">
      <c r="A2731">
        <v>4053</v>
      </c>
      <c r="B2731" t="s">
        <v>18</v>
      </c>
      <c r="C2731" s="7">
        <v>171</v>
      </c>
      <c r="D2731" s="1">
        <v>44995</v>
      </c>
      <c r="E2731" s="29">
        <v>1.1000000000000001</v>
      </c>
      <c r="F2731" t="s">
        <v>1</v>
      </c>
      <c r="G2731" t="str">
        <f t="shared" si="42"/>
        <v>2023-03</v>
      </c>
    </row>
    <row r="2732" spans="1:7" x14ac:dyDescent="0.3">
      <c r="A2732">
        <v>4037</v>
      </c>
      <c r="B2732" t="s">
        <v>45</v>
      </c>
      <c r="C2732" s="7">
        <v>194</v>
      </c>
      <c r="D2732" s="1">
        <v>44914</v>
      </c>
      <c r="E2732" s="29">
        <v>3.9</v>
      </c>
      <c r="F2732" t="s">
        <v>4</v>
      </c>
      <c r="G2732" t="str">
        <f t="shared" si="42"/>
        <v>2022-12</v>
      </c>
    </row>
    <row r="2733" spans="1:7" x14ac:dyDescent="0.3">
      <c r="A2733">
        <v>3973</v>
      </c>
      <c r="B2733" t="s">
        <v>24</v>
      </c>
      <c r="C2733" s="7">
        <v>134</v>
      </c>
      <c r="D2733" s="1">
        <v>44856</v>
      </c>
      <c r="E2733" s="29">
        <v>3.2</v>
      </c>
      <c r="F2733" t="s">
        <v>4</v>
      </c>
      <c r="G2733" t="str">
        <f t="shared" si="42"/>
        <v>2022-10</v>
      </c>
    </row>
    <row r="2734" spans="1:7" x14ac:dyDescent="0.3">
      <c r="A2734">
        <v>3989</v>
      </c>
      <c r="B2734" t="s">
        <v>47</v>
      </c>
      <c r="C2734" s="7">
        <v>153</v>
      </c>
      <c r="D2734" s="1">
        <v>44952</v>
      </c>
      <c r="E2734" s="29">
        <v>3.4</v>
      </c>
      <c r="F2734" t="s">
        <v>1</v>
      </c>
      <c r="G2734" t="str">
        <f t="shared" si="42"/>
        <v>2023-01</v>
      </c>
    </row>
    <row r="2735" spans="1:7" x14ac:dyDescent="0.3">
      <c r="A2735">
        <v>3972</v>
      </c>
      <c r="B2735" t="s">
        <v>44</v>
      </c>
      <c r="C2735" s="7">
        <v>22</v>
      </c>
      <c r="D2735" s="1">
        <v>44885</v>
      </c>
      <c r="E2735" s="29">
        <v>3</v>
      </c>
      <c r="F2735" t="s">
        <v>1</v>
      </c>
      <c r="G2735" t="str">
        <f t="shared" si="42"/>
        <v>2022-11</v>
      </c>
    </row>
    <row r="2736" spans="1:7" x14ac:dyDescent="0.3">
      <c r="A2736">
        <v>4070</v>
      </c>
      <c r="B2736" t="s">
        <v>44</v>
      </c>
      <c r="C2736" s="7">
        <v>186</v>
      </c>
      <c r="D2736" s="1">
        <v>45124</v>
      </c>
      <c r="E2736" s="29">
        <v>1.5</v>
      </c>
      <c r="F2736" t="s">
        <v>4</v>
      </c>
      <c r="G2736" t="str">
        <f t="shared" si="42"/>
        <v>2023-07</v>
      </c>
    </row>
    <row r="2737" spans="1:7" x14ac:dyDescent="0.3">
      <c r="A2737">
        <v>3971</v>
      </c>
      <c r="B2737" t="s">
        <v>44</v>
      </c>
      <c r="C2737" s="7">
        <v>106.72413793103399</v>
      </c>
      <c r="D2737" s="1">
        <v>45061</v>
      </c>
      <c r="E2737" s="29">
        <v>2.4</v>
      </c>
      <c r="F2737" t="s">
        <v>1</v>
      </c>
      <c r="G2737" t="str">
        <f t="shared" si="42"/>
        <v>2023-05</v>
      </c>
    </row>
    <row r="2738" spans="1:7" x14ac:dyDescent="0.3">
      <c r="A2738">
        <v>4034</v>
      </c>
      <c r="B2738" t="s">
        <v>51</v>
      </c>
      <c r="C2738" s="7">
        <v>75</v>
      </c>
      <c r="D2738" s="1">
        <v>45176</v>
      </c>
      <c r="E2738" s="29">
        <v>3</v>
      </c>
      <c r="F2738" t="s">
        <v>1</v>
      </c>
      <c r="G2738" t="str">
        <f t="shared" si="42"/>
        <v>2023-09</v>
      </c>
    </row>
    <row r="2739" spans="1:7" x14ac:dyDescent="0.3">
      <c r="A2739">
        <v>4113</v>
      </c>
      <c r="B2739" t="s">
        <v>18</v>
      </c>
      <c r="C2739" s="7">
        <v>171</v>
      </c>
      <c r="D2739" s="1">
        <v>45071</v>
      </c>
      <c r="E2739" s="29">
        <v>3.6</v>
      </c>
      <c r="F2739" t="s">
        <v>4</v>
      </c>
      <c r="G2739" t="str">
        <f t="shared" si="42"/>
        <v>2023-05</v>
      </c>
    </row>
    <row r="2740" spans="1:7" x14ac:dyDescent="0.3">
      <c r="A2740">
        <v>4117</v>
      </c>
      <c r="B2740" t="s">
        <v>5</v>
      </c>
      <c r="C2740" s="7">
        <v>98.967741935483801</v>
      </c>
      <c r="D2740" s="1">
        <v>45077</v>
      </c>
      <c r="E2740" s="29">
        <v>2.8</v>
      </c>
      <c r="F2740" t="s">
        <v>1</v>
      </c>
      <c r="G2740" t="str">
        <f t="shared" si="42"/>
        <v>2023-05</v>
      </c>
    </row>
    <row r="2741" spans="1:7" x14ac:dyDescent="0.3">
      <c r="A2741">
        <v>4067</v>
      </c>
      <c r="B2741" t="s">
        <v>24</v>
      </c>
      <c r="C2741" s="7">
        <v>76</v>
      </c>
      <c r="D2741" s="1">
        <v>44982</v>
      </c>
      <c r="E2741" s="29">
        <v>2.8</v>
      </c>
      <c r="F2741" t="s">
        <v>1</v>
      </c>
      <c r="G2741" t="str">
        <f t="shared" si="42"/>
        <v>2023-02</v>
      </c>
    </row>
    <row r="2742" spans="1:7" x14ac:dyDescent="0.3">
      <c r="A2742">
        <v>3973</v>
      </c>
      <c r="B2742" t="s">
        <v>11</v>
      </c>
      <c r="C2742" s="7">
        <v>153</v>
      </c>
      <c r="D2742" s="1">
        <v>45108</v>
      </c>
      <c r="E2742" s="29">
        <v>4.7</v>
      </c>
      <c r="F2742" t="s">
        <v>4</v>
      </c>
      <c r="G2742" t="str">
        <f t="shared" si="42"/>
        <v>2023-07</v>
      </c>
    </row>
    <row r="2743" spans="1:7" x14ac:dyDescent="0.3">
      <c r="A2743">
        <v>3983</v>
      </c>
      <c r="B2743" t="s">
        <v>30</v>
      </c>
      <c r="C2743" s="7">
        <v>75</v>
      </c>
      <c r="D2743" s="1">
        <v>45059</v>
      </c>
      <c r="E2743" s="29">
        <v>2.8</v>
      </c>
      <c r="F2743" t="s">
        <v>1</v>
      </c>
      <c r="G2743" t="str">
        <f t="shared" si="42"/>
        <v>2023-05</v>
      </c>
    </row>
    <row r="2744" spans="1:7" x14ac:dyDescent="0.3">
      <c r="A2744">
        <v>3971</v>
      </c>
      <c r="B2744" t="s">
        <v>19</v>
      </c>
      <c r="C2744" s="7">
        <v>115</v>
      </c>
      <c r="D2744" s="1">
        <v>45071</v>
      </c>
      <c r="E2744" s="29">
        <v>1.7</v>
      </c>
      <c r="F2744" t="s">
        <v>1</v>
      </c>
      <c r="G2744" t="str">
        <f t="shared" si="42"/>
        <v>2023-05</v>
      </c>
    </row>
    <row r="2745" spans="1:7" x14ac:dyDescent="0.3">
      <c r="A2745">
        <v>4100</v>
      </c>
      <c r="B2745" t="s">
        <v>40</v>
      </c>
      <c r="C2745" s="7">
        <v>106.80769230769199</v>
      </c>
      <c r="D2745" s="1">
        <v>45021</v>
      </c>
      <c r="E2745" s="29">
        <v>2.6</v>
      </c>
      <c r="F2745" t="s">
        <v>4</v>
      </c>
      <c r="G2745" t="str">
        <f t="shared" si="42"/>
        <v>2023-04</v>
      </c>
    </row>
    <row r="2746" spans="1:7" x14ac:dyDescent="0.3">
      <c r="A2746">
        <v>3970</v>
      </c>
      <c r="B2746" t="s">
        <v>19</v>
      </c>
      <c r="C2746" s="7">
        <v>165</v>
      </c>
      <c r="D2746" s="1">
        <v>45148</v>
      </c>
      <c r="E2746" s="29">
        <v>1.8</v>
      </c>
      <c r="F2746" t="s">
        <v>1</v>
      </c>
      <c r="G2746" t="str">
        <f t="shared" si="42"/>
        <v>2023-08</v>
      </c>
    </row>
    <row r="2747" spans="1:7" x14ac:dyDescent="0.3">
      <c r="A2747">
        <v>4032</v>
      </c>
      <c r="B2747" t="s">
        <v>50</v>
      </c>
      <c r="C2747" s="7">
        <v>123.21818181818099</v>
      </c>
      <c r="D2747" s="1">
        <v>45023</v>
      </c>
      <c r="E2747" s="29">
        <v>3.6</v>
      </c>
      <c r="F2747" t="s">
        <v>1</v>
      </c>
      <c r="G2747" t="str">
        <f t="shared" si="42"/>
        <v>2023-04</v>
      </c>
    </row>
    <row r="2748" spans="1:7" x14ac:dyDescent="0.3">
      <c r="A2748">
        <v>4054</v>
      </c>
      <c r="B2748" t="s">
        <v>27</v>
      </c>
      <c r="C2748" s="7">
        <v>176</v>
      </c>
      <c r="D2748" s="1">
        <v>44894</v>
      </c>
      <c r="E2748" s="29">
        <v>3.2016129032257998</v>
      </c>
      <c r="F2748" t="s">
        <v>1</v>
      </c>
      <c r="G2748" t="str">
        <f t="shared" si="42"/>
        <v>2022-11</v>
      </c>
    </row>
    <row r="2749" spans="1:7" x14ac:dyDescent="0.3">
      <c r="A2749">
        <v>4059</v>
      </c>
      <c r="B2749" t="s">
        <v>16</v>
      </c>
      <c r="C2749" s="7">
        <v>82</v>
      </c>
      <c r="D2749" s="1">
        <v>45172</v>
      </c>
      <c r="E2749" s="29">
        <v>2.1</v>
      </c>
      <c r="F2749" t="s">
        <v>4</v>
      </c>
      <c r="G2749" t="str">
        <f t="shared" si="42"/>
        <v>2023-09</v>
      </c>
    </row>
    <row r="2750" spans="1:7" x14ac:dyDescent="0.3">
      <c r="A2750">
        <v>3981</v>
      </c>
      <c r="B2750" t="s">
        <v>47</v>
      </c>
      <c r="C2750" s="7">
        <v>182</v>
      </c>
      <c r="D2750" s="1">
        <v>44994</v>
      </c>
      <c r="E2750" s="29">
        <v>4.9000000000000004</v>
      </c>
      <c r="F2750" t="s">
        <v>4</v>
      </c>
      <c r="G2750" t="str">
        <f t="shared" si="42"/>
        <v>2023-03</v>
      </c>
    </row>
    <row r="2751" spans="1:7" x14ac:dyDescent="0.3">
      <c r="A2751">
        <v>4115</v>
      </c>
      <c r="B2751" t="s">
        <v>6</v>
      </c>
      <c r="C2751" s="7">
        <v>198</v>
      </c>
      <c r="D2751" s="1">
        <v>44870</v>
      </c>
      <c r="E2751" s="29">
        <v>2.8333333333333299</v>
      </c>
      <c r="F2751" t="s">
        <v>4</v>
      </c>
      <c r="G2751" t="str">
        <f t="shared" si="42"/>
        <v>2022-11</v>
      </c>
    </row>
    <row r="2752" spans="1:7" x14ac:dyDescent="0.3">
      <c r="A2752">
        <v>4062</v>
      </c>
      <c r="B2752" t="s">
        <v>16</v>
      </c>
      <c r="C2752" s="7">
        <v>30</v>
      </c>
      <c r="D2752" s="1">
        <v>45098</v>
      </c>
      <c r="E2752" s="29">
        <v>4.9000000000000004</v>
      </c>
      <c r="F2752" t="s">
        <v>4</v>
      </c>
      <c r="G2752" t="str">
        <f t="shared" si="42"/>
        <v>2023-06</v>
      </c>
    </row>
    <row r="2753" spans="1:7" x14ac:dyDescent="0.3">
      <c r="A2753">
        <v>4016</v>
      </c>
      <c r="B2753" t="s">
        <v>5</v>
      </c>
      <c r="C2753" s="7">
        <v>83</v>
      </c>
      <c r="D2753" s="1">
        <v>45053</v>
      </c>
      <c r="E2753" s="29">
        <v>3.1</v>
      </c>
      <c r="F2753" t="s">
        <v>1</v>
      </c>
      <c r="G2753" t="str">
        <f t="shared" si="42"/>
        <v>2023-05</v>
      </c>
    </row>
    <row r="2754" spans="1:7" x14ac:dyDescent="0.3">
      <c r="A2754">
        <v>4110</v>
      </c>
      <c r="B2754" t="s">
        <v>28</v>
      </c>
      <c r="C2754" s="7">
        <v>47</v>
      </c>
      <c r="D2754" s="1">
        <v>44972</v>
      </c>
      <c r="E2754" s="29">
        <v>1.6</v>
      </c>
      <c r="F2754" t="s">
        <v>4</v>
      </c>
      <c r="G2754" t="str">
        <f t="shared" si="42"/>
        <v>2023-02</v>
      </c>
    </row>
    <row r="2755" spans="1:7" x14ac:dyDescent="0.3">
      <c r="A2755">
        <v>4116</v>
      </c>
      <c r="B2755" t="s">
        <v>51</v>
      </c>
      <c r="C2755" s="7">
        <v>173</v>
      </c>
      <c r="D2755" s="1">
        <v>45187</v>
      </c>
      <c r="E2755" s="29">
        <v>4.7</v>
      </c>
      <c r="F2755" t="s">
        <v>1</v>
      </c>
      <c r="G2755" t="str">
        <f t="shared" ref="G2755:G2818" si="43">TEXT(D2755,"ГГГГ-ММ")</f>
        <v>2023-09</v>
      </c>
    </row>
    <row r="2756" spans="1:7" x14ac:dyDescent="0.3">
      <c r="A2756">
        <v>3959</v>
      </c>
      <c r="B2756" t="s">
        <v>26</v>
      </c>
      <c r="C2756" s="7">
        <v>96</v>
      </c>
      <c r="D2756" s="1">
        <v>45103</v>
      </c>
      <c r="E2756" s="29">
        <v>3.9</v>
      </c>
      <c r="F2756" t="s">
        <v>1</v>
      </c>
      <c r="G2756" t="str">
        <f t="shared" si="43"/>
        <v>2023-06</v>
      </c>
    </row>
    <row r="2757" spans="1:7" x14ac:dyDescent="0.3">
      <c r="A2757">
        <v>4073</v>
      </c>
      <c r="B2757" t="s">
        <v>36</v>
      </c>
      <c r="C2757" s="7">
        <v>166</v>
      </c>
      <c r="D2757" s="1">
        <v>44917</v>
      </c>
      <c r="E2757" s="29">
        <v>4.3</v>
      </c>
      <c r="F2757" t="s">
        <v>1</v>
      </c>
      <c r="G2757" t="str">
        <f t="shared" si="43"/>
        <v>2022-12</v>
      </c>
    </row>
    <row r="2758" spans="1:7" x14ac:dyDescent="0.3">
      <c r="A2758">
        <v>4055</v>
      </c>
      <c r="B2758" t="s">
        <v>24</v>
      </c>
      <c r="C2758" s="7">
        <v>28</v>
      </c>
      <c r="D2758" s="1">
        <v>44939</v>
      </c>
      <c r="E2758" s="29">
        <v>3.3</v>
      </c>
      <c r="F2758" t="s">
        <v>4</v>
      </c>
      <c r="G2758" t="str">
        <f t="shared" si="43"/>
        <v>2023-01</v>
      </c>
    </row>
    <row r="2759" spans="1:7" x14ac:dyDescent="0.3">
      <c r="A2759">
        <v>4075</v>
      </c>
      <c r="B2759" t="s">
        <v>45</v>
      </c>
      <c r="C2759" s="7">
        <v>111.564102564102</v>
      </c>
      <c r="D2759" s="1">
        <v>44837</v>
      </c>
      <c r="E2759" s="29">
        <v>4</v>
      </c>
      <c r="F2759" t="s">
        <v>4</v>
      </c>
      <c r="G2759" t="str">
        <f t="shared" si="43"/>
        <v>2022-10</v>
      </c>
    </row>
    <row r="2760" spans="1:7" x14ac:dyDescent="0.3">
      <c r="A2760">
        <v>4066</v>
      </c>
      <c r="B2760" t="s">
        <v>42</v>
      </c>
      <c r="C2760" s="7">
        <v>90</v>
      </c>
      <c r="D2760" s="1">
        <v>45092</v>
      </c>
      <c r="E2760" s="29">
        <v>3.1</v>
      </c>
      <c r="F2760" t="s">
        <v>4</v>
      </c>
      <c r="G2760" t="str">
        <f t="shared" si="43"/>
        <v>2023-06</v>
      </c>
    </row>
    <row r="2761" spans="1:7" x14ac:dyDescent="0.3">
      <c r="A2761">
        <v>4115</v>
      </c>
      <c r="B2761" t="s">
        <v>8</v>
      </c>
      <c r="C2761" s="7">
        <v>84</v>
      </c>
      <c r="D2761" s="1">
        <v>45103</v>
      </c>
      <c r="E2761" s="29">
        <v>1</v>
      </c>
      <c r="F2761" t="s">
        <v>1</v>
      </c>
      <c r="G2761" t="str">
        <f t="shared" si="43"/>
        <v>2023-06</v>
      </c>
    </row>
    <row r="2762" spans="1:7" x14ac:dyDescent="0.3">
      <c r="A2762">
        <v>4115</v>
      </c>
      <c r="B2762" t="s">
        <v>39</v>
      </c>
      <c r="C2762" s="7">
        <v>164</v>
      </c>
      <c r="D2762" s="1">
        <v>44902</v>
      </c>
      <c r="E2762" s="29">
        <v>3.7</v>
      </c>
      <c r="F2762" t="s">
        <v>1</v>
      </c>
      <c r="G2762" t="str">
        <f t="shared" si="43"/>
        <v>2022-12</v>
      </c>
    </row>
    <row r="2763" spans="1:7" x14ac:dyDescent="0.3">
      <c r="A2763">
        <v>3982</v>
      </c>
      <c r="B2763" t="s">
        <v>24</v>
      </c>
      <c r="C2763" s="7">
        <v>79</v>
      </c>
      <c r="D2763" s="1">
        <v>45146</v>
      </c>
      <c r="E2763" s="29">
        <v>2.5</v>
      </c>
      <c r="F2763" t="s">
        <v>1</v>
      </c>
      <c r="G2763" t="str">
        <f t="shared" si="43"/>
        <v>2023-08</v>
      </c>
    </row>
    <row r="2764" spans="1:7" x14ac:dyDescent="0.3">
      <c r="A2764">
        <v>4043</v>
      </c>
      <c r="B2764" t="s">
        <v>3</v>
      </c>
      <c r="C2764" s="7">
        <v>102</v>
      </c>
      <c r="D2764" s="1">
        <v>44999</v>
      </c>
      <c r="E2764" s="29">
        <v>4.5</v>
      </c>
      <c r="F2764" t="s">
        <v>4</v>
      </c>
      <c r="G2764" t="str">
        <f t="shared" si="43"/>
        <v>2023-03</v>
      </c>
    </row>
    <row r="2765" spans="1:7" x14ac:dyDescent="0.3">
      <c r="A2765">
        <v>3963</v>
      </c>
      <c r="B2765" t="s">
        <v>40</v>
      </c>
      <c r="C2765" s="7">
        <v>143</v>
      </c>
      <c r="D2765" s="1">
        <v>45164</v>
      </c>
      <c r="E2765" s="29">
        <v>4.5</v>
      </c>
      <c r="F2765" t="s">
        <v>4</v>
      </c>
      <c r="G2765" t="str">
        <f t="shared" si="43"/>
        <v>2023-08</v>
      </c>
    </row>
    <row r="2766" spans="1:7" x14ac:dyDescent="0.3">
      <c r="A2766">
        <v>4073</v>
      </c>
      <c r="B2766" t="s">
        <v>12</v>
      </c>
      <c r="C2766" s="7">
        <v>115</v>
      </c>
      <c r="D2766" s="1">
        <v>45102</v>
      </c>
      <c r="E2766" s="29">
        <v>2.6</v>
      </c>
      <c r="F2766" t="s">
        <v>1</v>
      </c>
      <c r="G2766" t="str">
        <f t="shared" si="43"/>
        <v>2023-06</v>
      </c>
    </row>
    <row r="2767" spans="1:7" x14ac:dyDescent="0.3">
      <c r="A2767">
        <v>4089</v>
      </c>
      <c r="B2767" t="s">
        <v>23</v>
      </c>
      <c r="C2767" s="7">
        <v>107.68518518518501</v>
      </c>
      <c r="D2767" s="1">
        <v>45038</v>
      </c>
      <c r="E2767" s="29">
        <v>2.2999999999999998</v>
      </c>
      <c r="F2767" t="s">
        <v>4</v>
      </c>
      <c r="G2767" t="str">
        <f t="shared" si="43"/>
        <v>2023-04</v>
      </c>
    </row>
    <row r="2768" spans="1:7" x14ac:dyDescent="0.3">
      <c r="A2768">
        <v>4041</v>
      </c>
      <c r="B2768" t="s">
        <v>29</v>
      </c>
      <c r="C2768" s="7">
        <v>42</v>
      </c>
      <c r="D2768" s="1">
        <v>45192</v>
      </c>
      <c r="E2768" s="29">
        <v>1.2</v>
      </c>
      <c r="F2768" t="s">
        <v>4</v>
      </c>
      <c r="G2768" t="str">
        <f t="shared" si="43"/>
        <v>2023-09</v>
      </c>
    </row>
    <row r="2769" spans="1:7" x14ac:dyDescent="0.3">
      <c r="A2769">
        <v>4107</v>
      </c>
      <c r="B2769" t="s">
        <v>40</v>
      </c>
      <c r="C2769" s="7">
        <v>179</v>
      </c>
      <c r="D2769" s="1">
        <v>45099</v>
      </c>
      <c r="E2769" s="29">
        <v>1.7</v>
      </c>
      <c r="F2769" t="s">
        <v>1</v>
      </c>
      <c r="G2769" t="str">
        <f t="shared" si="43"/>
        <v>2023-06</v>
      </c>
    </row>
    <row r="2770" spans="1:7" x14ac:dyDescent="0.3">
      <c r="A2770">
        <v>4006</v>
      </c>
      <c r="B2770" t="s">
        <v>26</v>
      </c>
      <c r="C2770" s="7">
        <v>200</v>
      </c>
      <c r="D2770" s="1">
        <v>44977</v>
      </c>
      <c r="E2770" s="29">
        <v>1.7</v>
      </c>
      <c r="F2770" t="s">
        <v>1</v>
      </c>
      <c r="G2770" t="str">
        <f t="shared" si="43"/>
        <v>2023-02</v>
      </c>
    </row>
    <row r="2771" spans="1:7" x14ac:dyDescent="0.3">
      <c r="A2771">
        <v>3984</v>
      </c>
      <c r="B2771" t="s">
        <v>9</v>
      </c>
      <c r="C2771" s="7">
        <v>30</v>
      </c>
      <c r="D2771" s="1">
        <v>44890</v>
      </c>
      <c r="E2771" s="29">
        <v>4.4000000000000004</v>
      </c>
      <c r="F2771" t="s">
        <v>4</v>
      </c>
      <c r="G2771" t="str">
        <f t="shared" si="43"/>
        <v>2022-11</v>
      </c>
    </row>
    <row r="2772" spans="1:7" x14ac:dyDescent="0.3">
      <c r="A2772">
        <v>3983</v>
      </c>
      <c r="B2772" t="s">
        <v>38</v>
      </c>
      <c r="C2772" s="7">
        <v>111</v>
      </c>
      <c r="D2772" s="1">
        <v>45128</v>
      </c>
      <c r="E2772" s="29">
        <v>1.7</v>
      </c>
      <c r="F2772" t="s">
        <v>4</v>
      </c>
      <c r="G2772" t="str">
        <f t="shared" si="43"/>
        <v>2023-07</v>
      </c>
    </row>
    <row r="2773" spans="1:7" x14ac:dyDescent="0.3">
      <c r="A2773">
        <v>3960</v>
      </c>
      <c r="B2773" t="s">
        <v>32</v>
      </c>
      <c r="C2773" s="7">
        <v>84.528571428571396</v>
      </c>
      <c r="D2773" s="1">
        <v>45051</v>
      </c>
      <c r="E2773" s="29">
        <v>2.8</v>
      </c>
      <c r="F2773" t="s">
        <v>4</v>
      </c>
      <c r="G2773" t="str">
        <f t="shared" si="43"/>
        <v>2023-05</v>
      </c>
    </row>
    <row r="2774" spans="1:7" x14ac:dyDescent="0.3">
      <c r="A2774">
        <v>4109</v>
      </c>
      <c r="B2774" t="s">
        <v>28</v>
      </c>
      <c r="C2774" s="7">
        <v>111.854838709677</v>
      </c>
      <c r="D2774" s="1">
        <v>44917</v>
      </c>
      <c r="E2774" s="29">
        <v>1.6</v>
      </c>
      <c r="F2774" t="s">
        <v>4</v>
      </c>
      <c r="G2774" t="str">
        <f t="shared" si="43"/>
        <v>2022-12</v>
      </c>
    </row>
    <row r="2775" spans="1:7" x14ac:dyDescent="0.3">
      <c r="A2775">
        <v>3974</v>
      </c>
      <c r="B2775" t="s">
        <v>22</v>
      </c>
      <c r="C2775" s="7">
        <v>150</v>
      </c>
      <c r="D2775" s="1">
        <v>44961</v>
      </c>
      <c r="E2775" s="29">
        <v>3.4</v>
      </c>
      <c r="F2775" t="s">
        <v>1</v>
      </c>
      <c r="G2775" t="str">
        <f t="shared" si="43"/>
        <v>2023-02</v>
      </c>
    </row>
    <row r="2776" spans="1:7" x14ac:dyDescent="0.3">
      <c r="A2776">
        <v>4108</v>
      </c>
      <c r="B2776" t="s">
        <v>42</v>
      </c>
      <c r="C2776" s="7">
        <v>114.396551724137</v>
      </c>
      <c r="D2776" s="1">
        <v>45167</v>
      </c>
      <c r="E2776" s="29">
        <v>2</v>
      </c>
      <c r="F2776" t="s">
        <v>4</v>
      </c>
      <c r="G2776" t="str">
        <f t="shared" si="43"/>
        <v>2023-08</v>
      </c>
    </row>
    <row r="2777" spans="1:7" x14ac:dyDescent="0.3">
      <c r="A2777">
        <v>4006</v>
      </c>
      <c r="B2777" t="s">
        <v>37</v>
      </c>
      <c r="C2777" s="7">
        <v>144</v>
      </c>
      <c r="D2777" s="1">
        <v>44948</v>
      </c>
      <c r="E2777" s="29">
        <v>3.7</v>
      </c>
      <c r="F2777" t="s">
        <v>1</v>
      </c>
      <c r="G2777" t="str">
        <f t="shared" si="43"/>
        <v>2023-01</v>
      </c>
    </row>
    <row r="2778" spans="1:7" x14ac:dyDescent="0.3">
      <c r="A2778">
        <v>4103</v>
      </c>
      <c r="B2778" t="s">
        <v>9</v>
      </c>
      <c r="C2778" s="7">
        <v>31</v>
      </c>
      <c r="D2778" s="1">
        <v>44922</v>
      </c>
      <c r="E2778" s="29">
        <v>4.4000000000000004</v>
      </c>
      <c r="F2778" t="s">
        <v>1</v>
      </c>
      <c r="G2778" t="str">
        <f t="shared" si="43"/>
        <v>2022-12</v>
      </c>
    </row>
    <row r="2779" spans="1:7" x14ac:dyDescent="0.3">
      <c r="A2779">
        <v>3989</v>
      </c>
      <c r="B2779" t="s">
        <v>17</v>
      </c>
      <c r="C2779" s="7">
        <v>119.195652173913</v>
      </c>
      <c r="D2779" s="1">
        <v>45055</v>
      </c>
      <c r="E2779" s="29">
        <v>4.3</v>
      </c>
      <c r="F2779" t="s">
        <v>1</v>
      </c>
      <c r="G2779" t="str">
        <f t="shared" si="43"/>
        <v>2023-05</v>
      </c>
    </row>
    <row r="2780" spans="1:7" x14ac:dyDescent="0.3">
      <c r="A2780">
        <v>4120</v>
      </c>
      <c r="B2780" t="s">
        <v>26</v>
      </c>
      <c r="C2780" s="7">
        <v>31</v>
      </c>
      <c r="D2780" s="1">
        <v>44851</v>
      </c>
      <c r="E2780" s="29">
        <v>4.8</v>
      </c>
      <c r="F2780" t="s">
        <v>1</v>
      </c>
      <c r="G2780" t="str">
        <f t="shared" si="43"/>
        <v>2022-10</v>
      </c>
    </row>
    <row r="2781" spans="1:7" x14ac:dyDescent="0.3">
      <c r="A2781">
        <v>4087</v>
      </c>
      <c r="B2781" t="s">
        <v>46</v>
      </c>
      <c r="C2781" s="7">
        <v>109</v>
      </c>
      <c r="D2781" s="1">
        <v>45165</v>
      </c>
      <c r="E2781" s="29">
        <v>4.5999999999999996</v>
      </c>
      <c r="F2781" t="s">
        <v>1</v>
      </c>
      <c r="G2781" t="str">
        <f t="shared" si="43"/>
        <v>2023-08</v>
      </c>
    </row>
    <row r="2782" spans="1:7" x14ac:dyDescent="0.3">
      <c r="A2782">
        <v>4022</v>
      </c>
      <c r="B2782" t="s">
        <v>29</v>
      </c>
      <c r="C2782" s="7">
        <v>73</v>
      </c>
      <c r="D2782" s="1">
        <v>45020</v>
      </c>
      <c r="E2782" s="29">
        <v>1.4</v>
      </c>
      <c r="F2782" t="s">
        <v>4</v>
      </c>
      <c r="G2782" t="str">
        <f t="shared" si="43"/>
        <v>2023-04</v>
      </c>
    </row>
    <row r="2783" spans="1:7" x14ac:dyDescent="0.3">
      <c r="A2783">
        <v>4047</v>
      </c>
      <c r="B2783" t="s">
        <v>40</v>
      </c>
      <c r="C2783" s="7">
        <v>123</v>
      </c>
      <c r="D2783" s="1">
        <v>45116</v>
      </c>
      <c r="E2783" s="29">
        <v>2</v>
      </c>
      <c r="F2783" t="s">
        <v>1</v>
      </c>
      <c r="G2783" t="str">
        <f t="shared" si="43"/>
        <v>2023-07</v>
      </c>
    </row>
    <row r="2784" spans="1:7" x14ac:dyDescent="0.3">
      <c r="A2784">
        <v>4064</v>
      </c>
      <c r="B2784" t="s">
        <v>23</v>
      </c>
      <c r="C2784" s="7">
        <v>43</v>
      </c>
      <c r="D2784" s="1">
        <v>45028</v>
      </c>
      <c r="E2784" s="29">
        <v>4.7</v>
      </c>
      <c r="F2784" t="s">
        <v>1</v>
      </c>
      <c r="G2784" t="str">
        <f t="shared" si="43"/>
        <v>2023-04</v>
      </c>
    </row>
    <row r="2785" spans="1:7" x14ac:dyDescent="0.3">
      <c r="A2785">
        <v>4080</v>
      </c>
      <c r="B2785" t="s">
        <v>13</v>
      </c>
      <c r="C2785" s="7">
        <v>53</v>
      </c>
      <c r="D2785" s="1">
        <v>45154</v>
      </c>
      <c r="E2785" s="29">
        <v>4</v>
      </c>
      <c r="F2785" t="s">
        <v>4</v>
      </c>
      <c r="G2785" t="str">
        <f t="shared" si="43"/>
        <v>2023-08</v>
      </c>
    </row>
    <row r="2786" spans="1:7" x14ac:dyDescent="0.3">
      <c r="A2786">
        <v>4115</v>
      </c>
      <c r="B2786" t="s">
        <v>28</v>
      </c>
      <c r="C2786" s="7">
        <v>111.854838709677</v>
      </c>
      <c r="D2786" s="1">
        <v>44979</v>
      </c>
      <c r="E2786" s="29">
        <v>4.7</v>
      </c>
      <c r="F2786" t="s">
        <v>4</v>
      </c>
      <c r="G2786" t="str">
        <f t="shared" si="43"/>
        <v>2023-02</v>
      </c>
    </row>
    <row r="2787" spans="1:7" x14ac:dyDescent="0.3">
      <c r="A2787">
        <v>4070</v>
      </c>
      <c r="B2787" t="s">
        <v>6</v>
      </c>
      <c r="C2787" s="7">
        <v>93</v>
      </c>
      <c r="D2787" s="1">
        <v>44920</v>
      </c>
      <c r="E2787" s="29">
        <v>4.8</v>
      </c>
      <c r="F2787" t="s">
        <v>4</v>
      </c>
      <c r="G2787" t="str">
        <f t="shared" si="43"/>
        <v>2022-12</v>
      </c>
    </row>
    <row r="2788" spans="1:7" x14ac:dyDescent="0.3">
      <c r="A2788">
        <v>4004</v>
      </c>
      <c r="B2788" t="s">
        <v>50</v>
      </c>
      <c r="C2788" s="7">
        <v>129</v>
      </c>
      <c r="D2788" s="1">
        <v>45071</v>
      </c>
      <c r="E2788" s="29">
        <v>4.9000000000000004</v>
      </c>
      <c r="F2788" t="s">
        <v>4</v>
      </c>
      <c r="G2788" t="str">
        <f t="shared" si="43"/>
        <v>2023-05</v>
      </c>
    </row>
    <row r="2789" spans="1:7" x14ac:dyDescent="0.3">
      <c r="A2789">
        <v>4019</v>
      </c>
      <c r="B2789" t="s">
        <v>42</v>
      </c>
      <c r="C2789" s="7">
        <v>148</v>
      </c>
      <c r="D2789" s="1">
        <v>45051</v>
      </c>
      <c r="E2789" s="29">
        <v>4.8</v>
      </c>
      <c r="F2789" t="s">
        <v>4</v>
      </c>
      <c r="G2789" t="str">
        <f t="shared" si="43"/>
        <v>2023-05</v>
      </c>
    </row>
    <row r="2790" spans="1:7" x14ac:dyDescent="0.3">
      <c r="A2790">
        <v>3992</v>
      </c>
      <c r="B2790" t="s">
        <v>34</v>
      </c>
      <c r="C2790" s="7">
        <v>150</v>
      </c>
      <c r="D2790" s="1">
        <v>45082</v>
      </c>
      <c r="E2790" s="29">
        <v>3.8</v>
      </c>
      <c r="F2790" t="s">
        <v>4</v>
      </c>
      <c r="G2790" t="str">
        <f t="shared" si="43"/>
        <v>2023-06</v>
      </c>
    </row>
    <row r="2791" spans="1:7" x14ac:dyDescent="0.3">
      <c r="A2791">
        <v>3968</v>
      </c>
      <c r="B2791" t="s">
        <v>28</v>
      </c>
      <c r="C2791" s="7">
        <v>188</v>
      </c>
      <c r="D2791" s="1">
        <v>44985</v>
      </c>
      <c r="E2791" s="29">
        <v>3.4</v>
      </c>
      <c r="F2791" t="s">
        <v>4</v>
      </c>
      <c r="G2791" t="str">
        <f t="shared" si="43"/>
        <v>2023-02</v>
      </c>
    </row>
    <row r="2792" spans="1:7" x14ac:dyDescent="0.3">
      <c r="A2792">
        <v>3972</v>
      </c>
      <c r="B2792" t="s">
        <v>30</v>
      </c>
      <c r="C2792" s="7">
        <v>161</v>
      </c>
      <c r="D2792" s="1">
        <v>45100</v>
      </c>
      <c r="E2792" s="29">
        <v>1.4</v>
      </c>
      <c r="F2792" t="s">
        <v>4</v>
      </c>
      <c r="G2792" t="str">
        <f t="shared" si="43"/>
        <v>2023-06</v>
      </c>
    </row>
    <row r="2793" spans="1:7" x14ac:dyDescent="0.3">
      <c r="A2793">
        <v>3989</v>
      </c>
      <c r="B2793" t="s">
        <v>3</v>
      </c>
      <c r="C2793" s="7">
        <v>171</v>
      </c>
      <c r="D2793" s="1">
        <v>44943</v>
      </c>
      <c r="E2793" s="29">
        <v>4.8</v>
      </c>
      <c r="F2793" t="s">
        <v>1</v>
      </c>
      <c r="G2793" t="str">
        <f t="shared" si="43"/>
        <v>2023-01</v>
      </c>
    </row>
    <row r="2794" spans="1:7" x14ac:dyDescent="0.3">
      <c r="A2794">
        <v>4036</v>
      </c>
      <c r="B2794" t="s">
        <v>42</v>
      </c>
      <c r="C2794" s="7">
        <v>154</v>
      </c>
      <c r="D2794" s="1">
        <v>44886</v>
      </c>
      <c r="E2794" s="29">
        <v>3.8</v>
      </c>
      <c r="F2794" t="s">
        <v>1</v>
      </c>
      <c r="G2794" t="str">
        <f t="shared" si="43"/>
        <v>2022-11</v>
      </c>
    </row>
    <row r="2795" spans="1:7" x14ac:dyDescent="0.3">
      <c r="A2795">
        <v>4106</v>
      </c>
      <c r="B2795" t="s">
        <v>48</v>
      </c>
      <c r="C2795" s="7">
        <v>173</v>
      </c>
      <c r="D2795" s="1">
        <v>45063</v>
      </c>
      <c r="E2795" s="29">
        <v>1.1000000000000001</v>
      </c>
      <c r="F2795" t="s">
        <v>4</v>
      </c>
      <c r="G2795" t="str">
        <f t="shared" si="43"/>
        <v>2023-05</v>
      </c>
    </row>
    <row r="2796" spans="1:7" x14ac:dyDescent="0.3">
      <c r="A2796">
        <v>4068</v>
      </c>
      <c r="B2796" t="s">
        <v>2</v>
      </c>
      <c r="C2796" s="7">
        <v>89</v>
      </c>
      <c r="D2796" s="1">
        <v>44934</v>
      </c>
      <c r="E2796" s="29">
        <v>3.1</v>
      </c>
      <c r="F2796" t="s">
        <v>4</v>
      </c>
      <c r="G2796" t="str">
        <f t="shared" si="43"/>
        <v>2023-01</v>
      </c>
    </row>
    <row r="2797" spans="1:7" x14ac:dyDescent="0.3">
      <c r="A2797">
        <v>4088</v>
      </c>
      <c r="B2797" t="s">
        <v>17</v>
      </c>
      <c r="C2797" s="7">
        <v>133</v>
      </c>
      <c r="D2797" s="1">
        <v>45194</v>
      </c>
      <c r="E2797" s="29">
        <v>4.8</v>
      </c>
      <c r="F2797" t="s">
        <v>1</v>
      </c>
      <c r="G2797" t="str">
        <f t="shared" si="43"/>
        <v>2023-09</v>
      </c>
    </row>
    <row r="2798" spans="1:7" x14ac:dyDescent="0.3">
      <c r="A2798">
        <v>4048</v>
      </c>
      <c r="B2798" t="s">
        <v>41</v>
      </c>
      <c r="C2798" s="7">
        <v>32</v>
      </c>
      <c r="D2798" s="1">
        <v>44837</v>
      </c>
      <c r="E2798" s="29">
        <v>1.1000000000000001</v>
      </c>
      <c r="F2798" t="s">
        <v>1</v>
      </c>
      <c r="G2798" t="str">
        <f t="shared" si="43"/>
        <v>2022-10</v>
      </c>
    </row>
    <row r="2799" spans="1:7" x14ac:dyDescent="0.3">
      <c r="A2799">
        <v>4036</v>
      </c>
      <c r="B2799" t="s">
        <v>23</v>
      </c>
      <c r="C2799" s="7">
        <v>103</v>
      </c>
      <c r="D2799" s="1">
        <v>45032</v>
      </c>
      <c r="E2799" s="29">
        <v>3</v>
      </c>
      <c r="F2799" t="s">
        <v>4</v>
      </c>
      <c r="G2799" t="str">
        <f t="shared" si="43"/>
        <v>2023-04</v>
      </c>
    </row>
    <row r="2800" spans="1:7" x14ac:dyDescent="0.3">
      <c r="A2800">
        <v>4106</v>
      </c>
      <c r="B2800" t="s">
        <v>16</v>
      </c>
      <c r="C2800" s="7">
        <v>49</v>
      </c>
      <c r="D2800" s="1">
        <v>45042</v>
      </c>
      <c r="E2800" s="29">
        <v>4.3</v>
      </c>
      <c r="F2800" t="s">
        <v>4</v>
      </c>
      <c r="G2800" t="str">
        <f t="shared" si="43"/>
        <v>2023-04</v>
      </c>
    </row>
    <row r="2801" spans="1:7" x14ac:dyDescent="0.3">
      <c r="A2801">
        <v>4095</v>
      </c>
      <c r="B2801" t="s">
        <v>18</v>
      </c>
      <c r="C2801" s="7">
        <v>10</v>
      </c>
      <c r="D2801" s="1">
        <v>44929</v>
      </c>
      <c r="E2801" s="29">
        <v>1.8</v>
      </c>
      <c r="F2801" t="s">
        <v>4</v>
      </c>
      <c r="G2801" t="str">
        <f t="shared" si="43"/>
        <v>2023-01</v>
      </c>
    </row>
    <row r="2802" spans="1:7" x14ac:dyDescent="0.3">
      <c r="A2802">
        <v>3994</v>
      </c>
      <c r="B2802" t="s">
        <v>14</v>
      </c>
      <c r="C2802" s="7">
        <v>44</v>
      </c>
      <c r="D2802" s="1">
        <v>45138</v>
      </c>
      <c r="E2802" s="29">
        <v>1.5</v>
      </c>
      <c r="F2802" t="s">
        <v>4</v>
      </c>
      <c r="G2802" t="str">
        <f t="shared" si="43"/>
        <v>2023-07</v>
      </c>
    </row>
    <row r="2803" spans="1:7" x14ac:dyDescent="0.3">
      <c r="A2803">
        <v>3994</v>
      </c>
      <c r="B2803" t="s">
        <v>36</v>
      </c>
      <c r="C2803" s="7">
        <v>130</v>
      </c>
      <c r="D2803" s="1">
        <v>44945</v>
      </c>
      <c r="E2803" s="29">
        <v>3</v>
      </c>
      <c r="F2803" t="s">
        <v>1</v>
      </c>
      <c r="G2803" t="str">
        <f t="shared" si="43"/>
        <v>2023-01</v>
      </c>
    </row>
    <row r="2804" spans="1:7" x14ac:dyDescent="0.3">
      <c r="A2804">
        <v>4077</v>
      </c>
      <c r="B2804" t="s">
        <v>40</v>
      </c>
      <c r="C2804" s="7">
        <v>186</v>
      </c>
      <c r="D2804" s="1">
        <v>45172</v>
      </c>
      <c r="E2804" s="29">
        <v>4.7</v>
      </c>
      <c r="F2804" t="s">
        <v>1</v>
      </c>
      <c r="G2804" t="str">
        <f t="shared" si="43"/>
        <v>2023-09</v>
      </c>
    </row>
    <row r="2805" spans="1:7" x14ac:dyDescent="0.3">
      <c r="A2805">
        <v>4036</v>
      </c>
      <c r="B2805" t="s">
        <v>13</v>
      </c>
      <c r="C2805" s="7">
        <v>132</v>
      </c>
      <c r="D2805" s="1">
        <v>45164</v>
      </c>
      <c r="E2805" s="29">
        <v>2.9</v>
      </c>
      <c r="F2805" t="s">
        <v>4</v>
      </c>
      <c r="G2805" t="str">
        <f t="shared" si="43"/>
        <v>2023-08</v>
      </c>
    </row>
    <row r="2806" spans="1:7" x14ac:dyDescent="0.3">
      <c r="A2806">
        <v>4111</v>
      </c>
      <c r="B2806" t="s">
        <v>32</v>
      </c>
      <c r="C2806" s="7">
        <v>120</v>
      </c>
      <c r="D2806" s="1">
        <v>45184</v>
      </c>
      <c r="E2806" s="29">
        <v>1.2</v>
      </c>
      <c r="F2806" t="s">
        <v>1</v>
      </c>
      <c r="G2806" t="str">
        <f t="shared" si="43"/>
        <v>2023-09</v>
      </c>
    </row>
    <row r="2807" spans="1:7" x14ac:dyDescent="0.3">
      <c r="A2807">
        <v>4044</v>
      </c>
      <c r="B2807" t="s">
        <v>49</v>
      </c>
      <c r="C2807" s="7">
        <v>162</v>
      </c>
      <c r="D2807" s="1">
        <v>44880</v>
      </c>
      <c r="E2807" s="29">
        <v>3.8</v>
      </c>
      <c r="F2807" t="s">
        <v>1</v>
      </c>
      <c r="G2807" t="str">
        <f t="shared" si="43"/>
        <v>2022-11</v>
      </c>
    </row>
    <row r="2808" spans="1:7" x14ac:dyDescent="0.3">
      <c r="A2808">
        <v>4031</v>
      </c>
      <c r="B2808" t="s">
        <v>51</v>
      </c>
      <c r="C2808" s="7">
        <v>11</v>
      </c>
      <c r="D2808" s="1">
        <v>45026</v>
      </c>
      <c r="E2808" s="29">
        <v>2.1</v>
      </c>
      <c r="F2808" t="s">
        <v>1</v>
      </c>
      <c r="G2808" t="str">
        <f t="shared" si="43"/>
        <v>2023-04</v>
      </c>
    </row>
    <row r="2809" spans="1:7" x14ac:dyDescent="0.3">
      <c r="A2809">
        <v>4051</v>
      </c>
      <c r="B2809" t="s">
        <v>51</v>
      </c>
      <c r="C2809" s="7">
        <v>58</v>
      </c>
      <c r="D2809" s="1">
        <v>44883</v>
      </c>
      <c r="E2809" s="29">
        <v>3.19629629629629</v>
      </c>
      <c r="F2809" t="s">
        <v>4</v>
      </c>
      <c r="G2809" t="str">
        <f t="shared" si="43"/>
        <v>2022-11</v>
      </c>
    </row>
    <row r="2810" spans="1:7" x14ac:dyDescent="0.3">
      <c r="A2810">
        <v>3959</v>
      </c>
      <c r="B2810" t="s">
        <v>39</v>
      </c>
      <c r="C2810" s="7">
        <v>153</v>
      </c>
      <c r="D2810" s="1">
        <v>45107</v>
      </c>
      <c r="E2810" s="29">
        <v>1.8</v>
      </c>
      <c r="F2810" t="s">
        <v>4</v>
      </c>
      <c r="G2810" t="str">
        <f t="shared" si="43"/>
        <v>2023-06</v>
      </c>
    </row>
    <row r="2811" spans="1:7" x14ac:dyDescent="0.3">
      <c r="A2811">
        <v>4089</v>
      </c>
      <c r="B2811" t="s">
        <v>8</v>
      </c>
      <c r="C2811" s="7">
        <v>73</v>
      </c>
      <c r="D2811" s="1">
        <v>44882</v>
      </c>
      <c r="E2811" s="29">
        <v>2.2999999999999998</v>
      </c>
      <c r="F2811" t="s">
        <v>1</v>
      </c>
      <c r="G2811" t="str">
        <f t="shared" si="43"/>
        <v>2022-11</v>
      </c>
    </row>
    <row r="2812" spans="1:7" x14ac:dyDescent="0.3">
      <c r="A2812">
        <v>4107</v>
      </c>
      <c r="B2812" t="s">
        <v>9</v>
      </c>
      <c r="C2812" s="7">
        <v>103.564102564102</v>
      </c>
      <c r="D2812" s="1">
        <v>45075</v>
      </c>
      <c r="E2812" s="29">
        <v>2.2999999999999998</v>
      </c>
      <c r="F2812" t="s">
        <v>1</v>
      </c>
      <c r="G2812" t="str">
        <f t="shared" si="43"/>
        <v>2023-05</v>
      </c>
    </row>
    <row r="2813" spans="1:7" x14ac:dyDescent="0.3">
      <c r="A2813">
        <v>3994</v>
      </c>
      <c r="B2813" t="s">
        <v>7</v>
      </c>
      <c r="C2813" s="7">
        <v>109</v>
      </c>
      <c r="D2813" s="1">
        <v>45112</v>
      </c>
      <c r="E2813" s="29">
        <v>1.4</v>
      </c>
      <c r="F2813" t="s">
        <v>4</v>
      </c>
      <c r="G2813" t="str">
        <f t="shared" si="43"/>
        <v>2023-07</v>
      </c>
    </row>
    <row r="2814" spans="1:7" x14ac:dyDescent="0.3">
      <c r="A2814">
        <v>3971</v>
      </c>
      <c r="B2814" t="s">
        <v>30</v>
      </c>
      <c r="C2814" s="7">
        <v>66</v>
      </c>
      <c r="D2814" s="1">
        <v>45092</v>
      </c>
      <c r="E2814" s="29">
        <v>2.5</v>
      </c>
      <c r="F2814" t="s">
        <v>4</v>
      </c>
      <c r="G2814" t="str">
        <f t="shared" si="43"/>
        <v>2023-06</v>
      </c>
    </row>
    <row r="2815" spans="1:7" x14ac:dyDescent="0.3">
      <c r="A2815">
        <v>4017</v>
      </c>
      <c r="B2815" t="s">
        <v>8</v>
      </c>
      <c r="C2815" s="7">
        <v>118</v>
      </c>
      <c r="D2815" s="1">
        <v>44912</v>
      </c>
      <c r="E2815" s="29">
        <v>4.3</v>
      </c>
      <c r="F2815" t="s">
        <v>1</v>
      </c>
      <c r="G2815" t="str">
        <f t="shared" si="43"/>
        <v>2022-12</v>
      </c>
    </row>
    <row r="2816" spans="1:7" x14ac:dyDescent="0.3">
      <c r="A2816">
        <v>4086</v>
      </c>
      <c r="B2816" t="s">
        <v>50</v>
      </c>
      <c r="C2816" s="7">
        <v>142</v>
      </c>
      <c r="D2816" s="1">
        <v>44986</v>
      </c>
      <c r="E2816" s="29">
        <v>4.4000000000000004</v>
      </c>
      <c r="F2816" t="s">
        <v>1</v>
      </c>
      <c r="G2816" t="str">
        <f t="shared" si="43"/>
        <v>2023-03</v>
      </c>
    </row>
    <row r="2817" spans="1:7" x14ac:dyDescent="0.3">
      <c r="A2817">
        <v>4100</v>
      </c>
      <c r="B2817" t="s">
        <v>20</v>
      </c>
      <c r="C2817" s="7">
        <v>166</v>
      </c>
      <c r="D2817" s="1">
        <v>44911</v>
      </c>
      <c r="E2817" s="29">
        <v>2</v>
      </c>
      <c r="F2817" t="s">
        <v>4</v>
      </c>
      <c r="G2817" t="str">
        <f t="shared" si="43"/>
        <v>2022-12</v>
      </c>
    </row>
    <row r="2818" spans="1:7" x14ac:dyDescent="0.3">
      <c r="A2818">
        <v>3970</v>
      </c>
      <c r="B2818" t="s">
        <v>46</v>
      </c>
      <c r="C2818" s="7">
        <v>185</v>
      </c>
      <c r="D2818" s="1">
        <v>45031</v>
      </c>
      <c r="E2818" s="29">
        <v>4.4000000000000004</v>
      </c>
      <c r="F2818" t="s">
        <v>1</v>
      </c>
      <c r="G2818" t="str">
        <f t="shared" si="43"/>
        <v>2023-04</v>
      </c>
    </row>
    <row r="2819" spans="1:7" x14ac:dyDescent="0.3">
      <c r="A2819">
        <v>4065</v>
      </c>
      <c r="B2819" t="s">
        <v>22</v>
      </c>
      <c r="C2819" s="7">
        <v>176</v>
      </c>
      <c r="D2819" s="1">
        <v>45021</v>
      </c>
      <c r="E2819" s="29">
        <v>3.1651515151515102</v>
      </c>
      <c r="F2819" t="s">
        <v>4</v>
      </c>
      <c r="G2819" t="str">
        <f t="shared" ref="G2819:G2882" si="44">TEXT(D2819,"ГГГГ-ММ")</f>
        <v>2023-04</v>
      </c>
    </row>
    <row r="2820" spans="1:7" x14ac:dyDescent="0.3">
      <c r="A2820">
        <v>4045</v>
      </c>
      <c r="B2820" t="s">
        <v>30</v>
      </c>
      <c r="C2820" s="7">
        <v>78</v>
      </c>
      <c r="D2820" s="1">
        <v>45010</v>
      </c>
      <c r="E2820" s="29">
        <v>2.1</v>
      </c>
      <c r="F2820" t="s">
        <v>1</v>
      </c>
      <c r="G2820" t="str">
        <f t="shared" si="44"/>
        <v>2023-03</v>
      </c>
    </row>
    <row r="2821" spans="1:7" x14ac:dyDescent="0.3">
      <c r="A2821">
        <v>4007</v>
      </c>
      <c r="B2821" t="s">
        <v>46</v>
      </c>
      <c r="C2821" s="7">
        <v>27</v>
      </c>
      <c r="D2821" s="1">
        <v>45124</v>
      </c>
      <c r="E2821" s="29">
        <v>3.8</v>
      </c>
      <c r="F2821" t="s">
        <v>1</v>
      </c>
      <c r="G2821" t="str">
        <f t="shared" si="44"/>
        <v>2023-07</v>
      </c>
    </row>
    <row r="2822" spans="1:7" x14ac:dyDescent="0.3">
      <c r="A2822">
        <v>4008</v>
      </c>
      <c r="B2822" t="s">
        <v>43</v>
      </c>
      <c r="C2822" s="7">
        <v>117.354166666666</v>
      </c>
      <c r="D2822" s="1">
        <v>44995</v>
      </c>
      <c r="E2822" s="29">
        <v>1.4</v>
      </c>
      <c r="F2822" t="s">
        <v>4</v>
      </c>
      <c r="G2822" t="str">
        <f t="shared" si="44"/>
        <v>2023-03</v>
      </c>
    </row>
    <row r="2823" spans="1:7" x14ac:dyDescent="0.3">
      <c r="A2823">
        <v>4120</v>
      </c>
      <c r="B2823" t="s">
        <v>38</v>
      </c>
      <c r="C2823" s="7">
        <v>173</v>
      </c>
      <c r="D2823" s="1">
        <v>45048</v>
      </c>
      <c r="E2823" s="29">
        <v>4.2</v>
      </c>
      <c r="F2823" t="s">
        <v>1</v>
      </c>
      <c r="G2823" t="str">
        <f t="shared" si="44"/>
        <v>2023-05</v>
      </c>
    </row>
    <row r="2824" spans="1:7" x14ac:dyDescent="0.3">
      <c r="A2824">
        <v>4008</v>
      </c>
      <c r="B2824" t="s">
        <v>28</v>
      </c>
      <c r="C2824" s="7">
        <v>125</v>
      </c>
      <c r="D2824" s="1">
        <v>45154</v>
      </c>
      <c r="E2824" s="29">
        <v>3</v>
      </c>
      <c r="F2824" t="s">
        <v>4</v>
      </c>
      <c r="G2824" t="str">
        <f t="shared" si="44"/>
        <v>2023-08</v>
      </c>
    </row>
    <row r="2825" spans="1:7" x14ac:dyDescent="0.3">
      <c r="A2825">
        <v>3974</v>
      </c>
      <c r="B2825" t="s">
        <v>50</v>
      </c>
      <c r="C2825" s="7">
        <v>169</v>
      </c>
      <c r="D2825" s="1">
        <v>45116</v>
      </c>
      <c r="E2825" s="29">
        <v>2.8</v>
      </c>
      <c r="F2825" t="s">
        <v>4</v>
      </c>
      <c r="G2825" t="str">
        <f t="shared" si="44"/>
        <v>2023-07</v>
      </c>
    </row>
    <row r="2826" spans="1:7" x14ac:dyDescent="0.3">
      <c r="A2826">
        <v>4044</v>
      </c>
      <c r="B2826" t="s">
        <v>39</v>
      </c>
      <c r="C2826" s="7">
        <v>92</v>
      </c>
      <c r="D2826" s="1">
        <v>45139</v>
      </c>
      <c r="E2826" s="29">
        <v>4.8</v>
      </c>
      <c r="F2826" t="s">
        <v>4</v>
      </c>
      <c r="G2826" t="str">
        <f t="shared" si="44"/>
        <v>2023-08</v>
      </c>
    </row>
    <row r="2827" spans="1:7" x14ac:dyDescent="0.3">
      <c r="A2827">
        <v>4005</v>
      </c>
      <c r="B2827" t="s">
        <v>47</v>
      </c>
      <c r="C2827" s="7">
        <v>106.297872340425</v>
      </c>
      <c r="D2827" s="1">
        <v>44847</v>
      </c>
      <c r="E2827" s="29">
        <v>3.4</v>
      </c>
      <c r="F2827" t="s">
        <v>4</v>
      </c>
      <c r="G2827" t="str">
        <f t="shared" si="44"/>
        <v>2022-10</v>
      </c>
    </row>
    <row r="2828" spans="1:7" x14ac:dyDescent="0.3">
      <c r="A2828">
        <v>4078</v>
      </c>
      <c r="B2828" t="s">
        <v>9</v>
      </c>
      <c r="C2828" s="7">
        <v>103.564102564102</v>
      </c>
      <c r="D2828" s="1">
        <v>45051</v>
      </c>
      <c r="E2828" s="29">
        <v>1.2</v>
      </c>
      <c r="F2828" t="s">
        <v>4</v>
      </c>
      <c r="G2828" t="str">
        <f t="shared" si="44"/>
        <v>2023-05</v>
      </c>
    </row>
    <row r="2829" spans="1:7" x14ac:dyDescent="0.3">
      <c r="A2829">
        <v>4076</v>
      </c>
      <c r="B2829" t="s">
        <v>14</v>
      </c>
      <c r="C2829" s="7">
        <v>57</v>
      </c>
      <c r="D2829" s="1">
        <v>44914</v>
      </c>
      <c r="E2829" s="29">
        <v>1.5</v>
      </c>
      <c r="F2829" t="s">
        <v>1</v>
      </c>
      <c r="G2829" t="str">
        <f t="shared" si="44"/>
        <v>2022-12</v>
      </c>
    </row>
    <row r="2830" spans="1:7" x14ac:dyDescent="0.3">
      <c r="A2830">
        <v>4110</v>
      </c>
      <c r="B2830" t="s">
        <v>49</v>
      </c>
      <c r="C2830" s="7">
        <v>82</v>
      </c>
      <c r="D2830" s="1">
        <v>44956</v>
      </c>
      <c r="E2830" s="29">
        <v>2.1</v>
      </c>
      <c r="F2830" t="s">
        <v>1</v>
      </c>
      <c r="G2830" t="str">
        <f t="shared" si="44"/>
        <v>2023-01</v>
      </c>
    </row>
    <row r="2831" spans="1:7" x14ac:dyDescent="0.3">
      <c r="A2831">
        <v>4041</v>
      </c>
      <c r="B2831" t="s">
        <v>22</v>
      </c>
      <c r="C2831" s="7">
        <v>193</v>
      </c>
      <c r="D2831" s="1">
        <v>44904</v>
      </c>
      <c r="E2831" s="29">
        <v>4.4000000000000004</v>
      </c>
      <c r="F2831" t="s">
        <v>1</v>
      </c>
      <c r="G2831" t="str">
        <f t="shared" si="44"/>
        <v>2022-12</v>
      </c>
    </row>
    <row r="2832" spans="1:7" x14ac:dyDescent="0.3">
      <c r="A2832">
        <v>4105</v>
      </c>
      <c r="B2832" t="s">
        <v>6</v>
      </c>
      <c r="C2832" s="7">
        <v>12</v>
      </c>
      <c r="D2832" s="1">
        <v>45071</v>
      </c>
      <c r="E2832" s="29">
        <v>4.4000000000000004</v>
      </c>
      <c r="F2832" t="s">
        <v>1</v>
      </c>
      <c r="G2832" t="str">
        <f t="shared" si="44"/>
        <v>2023-05</v>
      </c>
    </row>
    <row r="2833" spans="1:7" x14ac:dyDescent="0.3">
      <c r="A2833">
        <v>4101</v>
      </c>
      <c r="B2833" t="s">
        <v>42</v>
      </c>
      <c r="C2833" s="7">
        <v>48</v>
      </c>
      <c r="D2833" s="1">
        <v>44909</v>
      </c>
      <c r="E2833" s="29">
        <v>1.7</v>
      </c>
      <c r="F2833" t="s">
        <v>4</v>
      </c>
      <c r="G2833" t="str">
        <f t="shared" si="44"/>
        <v>2022-12</v>
      </c>
    </row>
    <row r="2834" spans="1:7" x14ac:dyDescent="0.3">
      <c r="A2834">
        <v>4042</v>
      </c>
      <c r="B2834" t="s">
        <v>48</v>
      </c>
      <c r="C2834" s="7">
        <v>107.26027397260199</v>
      </c>
      <c r="D2834" s="1">
        <v>44948</v>
      </c>
      <c r="E2834" s="29">
        <v>2.2999999999999998</v>
      </c>
      <c r="F2834" t="s">
        <v>4</v>
      </c>
      <c r="G2834" t="str">
        <f t="shared" si="44"/>
        <v>2023-01</v>
      </c>
    </row>
    <row r="2835" spans="1:7" x14ac:dyDescent="0.3">
      <c r="A2835">
        <v>4114</v>
      </c>
      <c r="B2835" t="s">
        <v>11</v>
      </c>
      <c r="C2835" s="7">
        <v>117</v>
      </c>
      <c r="D2835" s="1">
        <v>45170</v>
      </c>
      <c r="E2835" s="29">
        <v>4.2</v>
      </c>
      <c r="F2835" t="s">
        <v>4</v>
      </c>
      <c r="G2835" t="str">
        <f t="shared" si="44"/>
        <v>2023-09</v>
      </c>
    </row>
    <row r="2836" spans="1:7" x14ac:dyDescent="0.3">
      <c r="A2836">
        <v>4033</v>
      </c>
      <c r="B2836" t="s">
        <v>23</v>
      </c>
      <c r="C2836" s="7">
        <v>137</v>
      </c>
      <c r="D2836" s="1">
        <v>45078</v>
      </c>
      <c r="E2836" s="29">
        <v>1.2</v>
      </c>
      <c r="F2836" t="s">
        <v>4</v>
      </c>
      <c r="G2836" t="str">
        <f t="shared" si="44"/>
        <v>2023-06</v>
      </c>
    </row>
    <row r="2837" spans="1:7" x14ac:dyDescent="0.3">
      <c r="A2837">
        <v>4064</v>
      </c>
      <c r="B2837" t="s">
        <v>14</v>
      </c>
      <c r="C2837" s="7">
        <v>128</v>
      </c>
      <c r="D2837" s="1">
        <v>44896</v>
      </c>
      <c r="E2837" s="29">
        <v>4.0999999999999996</v>
      </c>
      <c r="F2837" t="s">
        <v>1</v>
      </c>
      <c r="G2837" t="str">
        <f t="shared" si="44"/>
        <v>2022-12</v>
      </c>
    </row>
    <row r="2838" spans="1:7" x14ac:dyDescent="0.3">
      <c r="A2838">
        <v>4041</v>
      </c>
      <c r="B2838" t="s">
        <v>5</v>
      </c>
      <c r="C2838" s="7">
        <v>18</v>
      </c>
      <c r="D2838" s="1">
        <v>45066</v>
      </c>
      <c r="E2838" s="29">
        <v>4.2</v>
      </c>
      <c r="F2838" t="s">
        <v>1</v>
      </c>
      <c r="G2838" t="str">
        <f t="shared" si="44"/>
        <v>2023-05</v>
      </c>
    </row>
    <row r="2839" spans="1:7" x14ac:dyDescent="0.3">
      <c r="A2839">
        <v>3998</v>
      </c>
      <c r="B2839" t="s">
        <v>27</v>
      </c>
      <c r="C2839" s="7">
        <v>47</v>
      </c>
      <c r="D2839" s="1">
        <v>45155</v>
      </c>
      <c r="E2839" s="29">
        <v>2.8</v>
      </c>
      <c r="F2839" t="s">
        <v>1</v>
      </c>
      <c r="G2839" t="str">
        <f t="shared" si="44"/>
        <v>2023-08</v>
      </c>
    </row>
    <row r="2840" spans="1:7" x14ac:dyDescent="0.3">
      <c r="A2840">
        <v>3983</v>
      </c>
      <c r="B2840" t="s">
        <v>17</v>
      </c>
      <c r="C2840" s="7">
        <v>119.195652173913</v>
      </c>
      <c r="D2840" s="1">
        <v>45093</v>
      </c>
      <c r="E2840" s="29">
        <v>1.7</v>
      </c>
      <c r="F2840" t="s">
        <v>1</v>
      </c>
      <c r="G2840" t="str">
        <f t="shared" si="44"/>
        <v>2023-06</v>
      </c>
    </row>
    <row r="2841" spans="1:7" x14ac:dyDescent="0.3">
      <c r="A2841">
        <v>4073</v>
      </c>
      <c r="B2841" t="s">
        <v>32</v>
      </c>
      <c r="C2841" s="7">
        <v>28</v>
      </c>
      <c r="D2841" s="1">
        <v>45132</v>
      </c>
      <c r="E2841" s="29">
        <v>2.4</v>
      </c>
      <c r="F2841" t="s">
        <v>1</v>
      </c>
      <c r="G2841" t="str">
        <f t="shared" si="44"/>
        <v>2023-07</v>
      </c>
    </row>
    <row r="2842" spans="1:7" x14ac:dyDescent="0.3">
      <c r="A2842">
        <v>3967</v>
      </c>
      <c r="B2842" t="s">
        <v>15</v>
      </c>
      <c r="C2842" s="7">
        <v>56</v>
      </c>
      <c r="D2842" s="1">
        <v>44849</v>
      </c>
      <c r="E2842" s="29">
        <v>4</v>
      </c>
      <c r="F2842" t="s">
        <v>1</v>
      </c>
      <c r="G2842" t="str">
        <f t="shared" si="44"/>
        <v>2022-10</v>
      </c>
    </row>
    <row r="2843" spans="1:7" x14ac:dyDescent="0.3">
      <c r="A2843">
        <v>4083</v>
      </c>
      <c r="B2843" t="s">
        <v>18</v>
      </c>
      <c r="C2843" s="7">
        <v>102.74</v>
      </c>
      <c r="D2843" s="1">
        <v>44913</v>
      </c>
      <c r="E2843" s="29">
        <v>3.2</v>
      </c>
      <c r="F2843" t="s">
        <v>1</v>
      </c>
      <c r="G2843" t="str">
        <f t="shared" si="44"/>
        <v>2022-12</v>
      </c>
    </row>
    <row r="2844" spans="1:7" x14ac:dyDescent="0.3">
      <c r="A2844">
        <v>4013</v>
      </c>
      <c r="B2844" t="s">
        <v>22</v>
      </c>
      <c r="C2844" s="7">
        <v>107</v>
      </c>
      <c r="D2844" s="1">
        <v>44923</v>
      </c>
      <c r="E2844" s="29">
        <v>3.4</v>
      </c>
      <c r="F2844" t="s">
        <v>4</v>
      </c>
      <c r="G2844" t="str">
        <f t="shared" si="44"/>
        <v>2022-12</v>
      </c>
    </row>
    <row r="2845" spans="1:7" x14ac:dyDescent="0.3">
      <c r="A2845">
        <v>3957</v>
      </c>
      <c r="B2845" t="s">
        <v>32</v>
      </c>
      <c r="C2845" s="7">
        <v>41</v>
      </c>
      <c r="D2845" s="1">
        <v>44952</v>
      </c>
      <c r="E2845" s="29">
        <v>4.2</v>
      </c>
      <c r="F2845" t="s">
        <v>1</v>
      </c>
      <c r="G2845" t="str">
        <f t="shared" si="44"/>
        <v>2023-01</v>
      </c>
    </row>
    <row r="2846" spans="1:7" x14ac:dyDescent="0.3">
      <c r="A2846">
        <v>4120</v>
      </c>
      <c r="B2846" t="s">
        <v>50</v>
      </c>
      <c r="C2846" s="7">
        <v>192</v>
      </c>
      <c r="D2846" s="1">
        <v>45077</v>
      </c>
      <c r="E2846" s="29">
        <v>3.9</v>
      </c>
      <c r="F2846" t="s">
        <v>1</v>
      </c>
      <c r="G2846" t="str">
        <f t="shared" si="44"/>
        <v>2023-05</v>
      </c>
    </row>
    <row r="2847" spans="1:7" x14ac:dyDescent="0.3">
      <c r="A2847">
        <v>4014</v>
      </c>
      <c r="B2847" t="s">
        <v>30</v>
      </c>
      <c r="C2847" s="7">
        <v>123</v>
      </c>
      <c r="D2847" s="1">
        <v>45183</v>
      </c>
      <c r="E2847" s="29">
        <v>1.7</v>
      </c>
      <c r="F2847" t="s">
        <v>4</v>
      </c>
      <c r="G2847" t="str">
        <f t="shared" si="44"/>
        <v>2023-09</v>
      </c>
    </row>
    <row r="2848" spans="1:7" x14ac:dyDescent="0.3">
      <c r="A2848">
        <v>4015</v>
      </c>
      <c r="B2848" t="s">
        <v>17</v>
      </c>
      <c r="C2848" s="7">
        <v>18</v>
      </c>
      <c r="D2848" s="1">
        <v>45129</v>
      </c>
      <c r="E2848" s="29">
        <v>4.8</v>
      </c>
      <c r="F2848" t="s">
        <v>4</v>
      </c>
      <c r="G2848" t="str">
        <f t="shared" si="44"/>
        <v>2023-07</v>
      </c>
    </row>
    <row r="2849" spans="1:7" x14ac:dyDescent="0.3">
      <c r="A2849">
        <v>4076</v>
      </c>
      <c r="B2849" t="s">
        <v>3</v>
      </c>
      <c r="C2849" s="7">
        <v>100.68</v>
      </c>
      <c r="D2849" s="1">
        <v>44864</v>
      </c>
      <c r="E2849" s="29">
        <v>4.9000000000000004</v>
      </c>
      <c r="F2849" t="s">
        <v>1</v>
      </c>
      <c r="G2849" t="str">
        <f t="shared" si="44"/>
        <v>2022-10</v>
      </c>
    </row>
    <row r="2850" spans="1:7" x14ac:dyDescent="0.3">
      <c r="A2850">
        <v>4116</v>
      </c>
      <c r="B2850" t="s">
        <v>41</v>
      </c>
      <c r="C2850" s="7">
        <v>34</v>
      </c>
      <c r="D2850" s="1">
        <v>44854</v>
      </c>
      <c r="E2850" s="29">
        <v>2.7</v>
      </c>
      <c r="F2850" t="s">
        <v>1</v>
      </c>
      <c r="G2850" t="str">
        <f t="shared" si="44"/>
        <v>2022-10</v>
      </c>
    </row>
    <row r="2851" spans="1:7" x14ac:dyDescent="0.3">
      <c r="A2851">
        <v>4011</v>
      </c>
      <c r="B2851" t="s">
        <v>8</v>
      </c>
      <c r="C2851" s="7">
        <v>63</v>
      </c>
      <c r="D2851" s="1">
        <v>45198</v>
      </c>
      <c r="E2851" s="29">
        <v>1.5</v>
      </c>
      <c r="F2851" t="s">
        <v>1</v>
      </c>
      <c r="G2851" t="str">
        <f t="shared" si="44"/>
        <v>2023-09</v>
      </c>
    </row>
    <row r="2852" spans="1:7" x14ac:dyDescent="0.3">
      <c r="A2852">
        <v>4018</v>
      </c>
      <c r="B2852" t="s">
        <v>24</v>
      </c>
      <c r="C2852" s="7">
        <v>184</v>
      </c>
      <c r="D2852" s="1">
        <v>45055</v>
      </c>
      <c r="E2852" s="29">
        <v>4.5</v>
      </c>
      <c r="F2852" t="s">
        <v>1</v>
      </c>
      <c r="G2852" t="str">
        <f t="shared" si="44"/>
        <v>2023-05</v>
      </c>
    </row>
    <row r="2853" spans="1:7" x14ac:dyDescent="0.3">
      <c r="A2853">
        <v>4080</v>
      </c>
      <c r="B2853" t="s">
        <v>37</v>
      </c>
      <c r="C2853" s="7">
        <v>92</v>
      </c>
      <c r="D2853" s="1">
        <v>44997</v>
      </c>
      <c r="E2853" s="29">
        <v>3.0156626506023998</v>
      </c>
      <c r="F2853" t="s">
        <v>1</v>
      </c>
      <c r="G2853" t="str">
        <f t="shared" si="44"/>
        <v>2023-03</v>
      </c>
    </row>
    <row r="2854" spans="1:7" x14ac:dyDescent="0.3">
      <c r="A2854">
        <v>4041</v>
      </c>
      <c r="B2854" t="s">
        <v>43</v>
      </c>
      <c r="C2854" s="7">
        <v>117.354166666666</v>
      </c>
      <c r="D2854" s="1">
        <v>44975</v>
      </c>
      <c r="E2854" s="29">
        <v>2.5</v>
      </c>
      <c r="F2854" t="s">
        <v>1</v>
      </c>
      <c r="G2854" t="str">
        <f t="shared" si="44"/>
        <v>2023-02</v>
      </c>
    </row>
    <row r="2855" spans="1:7" x14ac:dyDescent="0.3">
      <c r="A2855">
        <v>4053</v>
      </c>
      <c r="B2855" t="s">
        <v>19</v>
      </c>
      <c r="C2855" s="7">
        <v>200</v>
      </c>
      <c r="D2855" s="1">
        <v>45113</v>
      </c>
      <c r="E2855" s="29">
        <v>3.6</v>
      </c>
      <c r="F2855" t="s">
        <v>1</v>
      </c>
      <c r="G2855" t="str">
        <f t="shared" si="44"/>
        <v>2023-07</v>
      </c>
    </row>
    <row r="2856" spans="1:7" x14ac:dyDescent="0.3">
      <c r="A2856">
        <v>4009</v>
      </c>
      <c r="B2856" t="s">
        <v>8</v>
      </c>
      <c r="C2856" s="7">
        <v>143</v>
      </c>
      <c r="D2856" s="1">
        <v>45157</v>
      </c>
      <c r="E2856" s="29">
        <v>4.8</v>
      </c>
      <c r="F2856" t="s">
        <v>4</v>
      </c>
      <c r="G2856" t="str">
        <f t="shared" si="44"/>
        <v>2023-08</v>
      </c>
    </row>
    <row r="2857" spans="1:7" x14ac:dyDescent="0.3">
      <c r="A2857">
        <v>4059</v>
      </c>
      <c r="B2857" t="s">
        <v>33</v>
      </c>
      <c r="C2857" s="7">
        <v>113.54098360655701</v>
      </c>
      <c r="D2857" s="1">
        <v>45162</v>
      </c>
      <c r="E2857" s="29">
        <v>4.5</v>
      </c>
      <c r="F2857" t="s">
        <v>1</v>
      </c>
      <c r="G2857" t="str">
        <f t="shared" si="44"/>
        <v>2023-08</v>
      </c>
    </row>
    <row r="2858" spans="1:7" x14ac:dyDescent="0.3">
      <c r="A2858">
        <v>4004</v>
      </c>
      <c r="B2858" t="s">
        <v>31</v>
      </c>
      <c r="C2858" s="7">
        <v>86</v>
      </c>
      <c r="D2858" s="1">
        <v>45065</v>
      </c>
      <c r="E2858" s="29">
        <v>4.3</v>
      </c>
      <c r="F2858" t="s">
        <v>4</v>
      </c>
      <c r="G2858" t="str">
        <f t="shared" si="44"/>
        <v>2023-05</v>
      </c>
    </row>
    <row r="2859" spans="1:7" x14ac:dyDescent="0.3">
      <c r="A2859">
        <v>3958</v>
      </c>
      <c r="B2859" t="s">
        <v>25</v>
      </c>
      <c r="C2859" s="7">
        <v>112.745762711864</v>
      </c>
      <c r="D2859" s="1">
        <v>44864</v>
      </c>
      <c r="E2859" s="29">
        <v>4.5</v>
      </c>
      <c r="F2859" t="s">
        <v>4</v>
      </c>
      <c r="G2859" t="str">
        <f t="shared" si="44"/>
        <v>2022-10</v>
      </c>
    </row>
    <row r="2860" spans="1:7" x14ac:dyDescent="0.3">
      <c r="A2860">
        <v>4049</v>
      </c>
      <c r="B2860" t="s">
        <v>27</v>
      </c>
      <c r="C2860" s="7">
        <v>180</v>
      </c>
      <c r="D2860" s="1">
        <v>45179</v>
      </c>
      <c r="E2860" s="29">
        <v>3.2016129032257998</v>
      </c>
      <c r="F2860" t="s">
        <v>4</v>
      </c>
      <c r="G2860" t="str">
        <f t="shared" si="44"/>
        <v>2023-09</v>
      </c>
    </row>
    <row r="2861" spans="1:7" x14ac:dyDescent="0.3">
      <c r="A2861">
        <v>3959</v>
      </c>
      <c r="B2861" t="s">
        <v>51</v>
      </c>
      <c r="C2861" s="7">
        <v>38</v>
      </c>
      <c r="D2861" s="1">
        <v>45118</v>
      </c>
      <c r="E2861" s="29">
        <v>3.19629629629629</v>
      </c>
      <c r="F2861" t="s">
        <v>1</v>
      </c>
      <c r="G2861" t="str">
        <f t="shared" si="44"/>
        <v>2023-07</v>
      </c>
    </row>
    <row r="2862" spans="1:7" x14ac:dyDescent="0.3">
      <c r="A2862">
        <v>3975</v>
      </c>
      <c r="B2862" t="s">
        <v>11</v>
      </c>
      <c r="C2862" s="7">
        <v>121</v>
      </c>
      <c r="D2862" s="1">
        <v>44979</v>
      </c>
      <c r="E2862" s="29">
        <v>1.1000000000000001</v>
      </c>
      <c r="F2862" t="s">
        <v>1</v>
      </c>
      <c r="G2862" t="str">
        <f t="shared" si="44"/>
        <v>2023-02</v>
      </c>
    </row>
    <row r="2863" spans="1:7" x14ac:dyDescent="0.3">
      <c r="A2863">
        <v>4048</v>
      </c>
      <c r="B2863" t="s">
        <v>27</v>
      </c>
      <c r="C2863" s="7">
        <v>52</v>
      </c>
      <c r="D2863" s="1">
        <v>45074</v>
      </c>
      <c r="E2863" s="29">
        <v>3.5</v>
      </c>
      <c r="F2863" t="s">
        <v>1</v>
      </c>
      <c r="G2863" t="str">
        <f t="shared" si="44"/>
        <v>2023-05</v>
      </c>
    </row>
    <row r="2864" spans="1:7" x14ac:dyDescent="0.3">
      <c r="A2864">
        <v>3964</v>
      </c>
      <c r="B2864" t="s">
        <v>23</v>
      </c>
      <c r="C2864" s="7">
        <v>159</v>
      </c>
      <c r="D2864" s="1">
        <v>45064</v>
      </c>
      <c r="E2864" s="29">
        <v>1.7</v>
      </c>
      <c r="F2864" t="s">
        <v>1</v>
      </c>
      <c r="G2864" t="str">
        <f t="shared" si="44"/>
        <v>2023-05</v>
      </c>
    </row>
    <row r="2865" spans="1:7" x14ac:dyDescent="0.3">
      <c r="A2865">
        <v>4099</v>
      </c>
      <c r="B2865" t="s">
        <v>20</v>
      </c>
      <c r="C2865" s="7">
        <v>105.95348837209301</v>
      </c>
      <c r="D2865" s="1">
        <v>45133</v>
      </c>
      <c r="E2865" s="29">
        <v>2.2000000000000002</v>
      </c>
      <c r="F2865" t="s">
        <v>1</v>
      </c>
      <c r="G2865" t="str">
        <f t="shared" si="44"/>
        <v>2023-07</v>
      </c>
    </row>
    <row r="2866" spans="1:7" x14ac:dyDescent="0.3">
      <c r="A2866">
        <v>3986</v>
      </c>
      <c r="B2866" t="s">
        <v>7</v>
      </c>
      <c r="C2866" s="7">
        <v>12</v>
      </c>
      <c r="D2866" s="1">
        <v>45001</v>
      </c>
      <c r="E2866" s="29">
        <v>3.1</v>
      </c>
      <c r="F2866" t="s">
        <v>1</v>
      </c>
      <c r="G2866" t="str">
        <f t="shared" si="44"/>
        <v>2023-03</v>
      </c>
    </row>
    <row r="2867" spans="1:7" x14ac:dyDescent="0.3">
      <c r="A2867">
        <v>3993</v>
      </c>
      <c r="B2867" t="s">
        <v>14</v>
      </c>
      <c r="C2867" s="7">
        <v>158</v>
      </c>
      <c r="D2867" s="1">
        <v>45196</v>
      </c>
      <c r="E2867" s="29">
        <v>3.3</v>
      </c>
      <c r="F2867" t="s">
        <v>4</v>
      </c>
      <c r="G2867" t="str">
        <f t="shared" si="44"/>
        <v>2023-09</v>
      </c>
    </row>
    <row r="2868" spans="1:7" x14ac:dyDescent="0.3">
      <c r="A2868">
        <v>4031</v>
      </c>
      <c r="B2868" t="s">
        <v>26</v>
      </c>
      <c r="C2868" s="7">
        <v>131</v>
      </c>
      <c r="D2868" s="1">
        <v>44968</v>
      </c>
      <c r="E2868" s="29">
        <v>3</v>
      </c>
      <c r="F2868" t="s">
        <v>1</v>
      </c>
      <c r="G2868" t="str">
        <f t="shared" si="44"/>
        <v>2023-02</v>
      </c>
    </row>
    <row r="2869" spans="1:7" x14ac:dyDescent="0.3">
      <c r="A2869">
        <v>4069</v>
      </c>
      <c r="B2869" t="s">
        <v>46</v>
      </c>
      <c r="C2869" s="7">
        <v>49</v>
      </c>
      <c r="D2869" s="1">
        <v>44872</v>
      </c>
      <c r="E2869" s="29">
        <v>4.4000000000000004</v>
      </c>
      <c r="F2869" t="s">
        <v>4</v>
      </c>
      <c r="G2869" t="str">
        <f t="shared" si="44"/>
        <v>2022-11</v>
      </c>
    </row>
    <row r="2870" spans="1:7" x14ac:dyDescent="0.3">
      <c r="A2870">
        <v>4006</v>
      </c>
      <c r="B2870" t="s">
        <v>23</v>
      </c>
      <c r="C2870" s="7">
        <v>32</v>
      </c>
      <c r="D2870" s="1">
        <v>45157</v>
      </c>
      <c r="E2870" s="29">
        <v>1.9</v>
      </c>
      <c r="F2870" t="s">
        <v>1</v>
      </c>
      <c r="G2870" t="str">
        <f t="shared" si="44"/>
        <v>2023-08</v>
      </c>
    </row>
    <row r="2871" spans="1:7" x14ac:dyDescent="0.3">
      <c r="A2871">
        <v>4118</v>
      </c>
      <c r="B2871" t="s">
        <v>50</v>
      </c>
      <c r="C2871" s="7">
        <v>137</v>
      </c>
      <c r="D2871" s="1">
        <v>45063</v>
      </c>
      <c r="E2871" s="29">
        <v>3.5</v>
      </c>
      <c r="F2871" t="s">
        <v>1</v>
      </c>
      <c r="G2871" t="str">
        <f t="shared" si="44"/>
        <v>2023-05</v>
      </c>
    </row>
    <row r="2872" spans="1:7" x14ac:dyDescent="0.3">
      <c r="A2872">
        <v>4106</v>
      </c>
      <c r="B2872" t="s">
        <v>9</v>
      </c>
      <c r="C2872" s="7">
        <v>103.564102564102</v>
      </c>
      <c r="D2872" s="1">
        <v>45051</v>
      </c>
      <c r="E2872" s="29">
        <v>4.8</v>
      </c>
      <c r="F2872" t="s">
        <v>1</v>
      </c>
      <c r="G2872" t="str">
        <f t="shared" si="44"/>
        <v>2023-05</v>
      </c>
    </row>
    <row r="2873" spans="1:7" x14ac:dyDescent="0.3">
      <c r="A2873">
        <v>4049</v>
      </c>
      <c r="B2873" t="s">
        <v>44</v>
      </c>
      <c r="C2873" s="7">
        <v>170</v>
      </c>
      <c r="D2873" s="1">
        <v>45090</v>
      </c>
      <c r="E2873" s="29">
        <v>1.6</v>
      </c>
      <c r="F2873" t="s">
        <v>4</v>
      </c>
      <c r="G2873" t="str">
        <f t="shared" si="44"/>
        <v>2023-06</v>
      </c>
    </row>
    <row r="2874" spans="1:7" x14ac:dyDescent="0.3">
      <c r="A2874">
        <v>3968</v>
      </c>
      <c r="B2874" t="s">
        <v>34</v>
      </c>
      <c r="C2874" s="7">
        <v>110.431818181818</v>
      </c>
      <c r="D2874" s="1">
        <v>44996</v>
      </c>
      <c r="E2874" s="29">
        <v>3.0125000000000002</v>
      </c>
      <c r="F2874" t="s">
        <v>1</v>
      </c>
      <c r="G2874" t="str">
        <f t="shared" si="44"/>
        <v>2023-03</v>
      </c>
    </row>
    <row r="2875" spans="1:7" x14ac:dyDescent="0.3">
      <c r="A2875">
        <v>3964</v>
      </c>
      <c r="B2875" t="s">
        <v>15</v>
      </c>
      <c r="C2875" s="7">
        <v>49</v>
      </c>
      <c r="D2875" s="1">
        <v>44996</v>
      </c>
      <c r="E2875" s="29">
        <v>3.1</v>
      </c>
      <c r="F2875" t="s">
        <v>1</v>
      </c>
      <c r="G2875" t="str">
        <f t="shared" si="44"/>
        <v>2023-03</v>
      </c>
    </row>
    <row r="2876" spans="1:7" x14ac:dyDescent="0.3">
      <c r="A2876">
        <v>4007</v>
      </c>
      <c r="B2876" t="s">
        <v>11</v>
      </c>
      <c r="C2876" s="7">
        <v>37</v>
      </c>
      <c r="D2876" s="1">
        <v>44939</v>
      </c>
      <c r="E2876" s="29">
        <v>1.7</v>
      </c>
      <c r="F2876" t="s">
        <v>1</v>
      </c>
      <c r="G2876" t="str">
        <f t="shared" si="44"/>
        <v>2023-01</v>
      </c>
    </row>
    <row r="2877" spans="1:7" x14ac:dyDescent="0.3">
      <c r="A2877">
        <v>4007</v>
      </c>
      <c r="B2877" t="s">
        <v>39</v>
      </c>
      <c r="C2877" s="7">
        <v>108.54716981132</v>
      </c>
      <c r="D2877" s="1">
        <v>45139</v>
      </c>
      <c r="E2877" s="29">
        <v>1.8</v>
      </c>
      <c r="F2877" t="s">
        <v>4</v>
      </c>
      <c r="G2877" t="str">
        <f t="shared" si="44"/>
        <v>2023-08</v>
      </c>
    </row>
    <row r="2878" spans="1:7" x14ac:dyDescent="0.3">
      <c r="A2878">
        <v>4029</v>
      </c>
      <c r="B2878" t="s">
        <v>31</v>
      </c>
      <c r="C2878" s="7">
        <v>152</v>
      </c>
      <c r="D2878" s="1">
        <v>45104</v>
      </c>
      <c r="E2878" s="29">
        <v>3.1</v>
      </c>
      <c r="F2878" t="s">
        <v>1</v>
      </c>
      <c r="G2878" t="str">
        <f t="shared" si="44"/>
        <v>2023-06</v>
      </c>
    </row>
    <row r="2879" spans="1:7" x14ac:dyDescent="0.3">
      <c r="A2879">
        <v>4001</v>
      </c>
      <c r="B2879" t="s">
        <v>2</v>
      </c>
      <c r="C2879" s="7">
        <v>98</v>
      </c>
      <c r="D2879" s="1">
        <v>44875</v>
      </c>
      <c r="E2879" s="29">
        <v>1.7</v>
      </c>
      <c r="F2879" t="s">
        <v>4</v>
      </c>
      <c r="G2879" t="str">
        <f t="shared" si="44"/>
        <v>2022-11</v>
      </c>
    </row>
    <row r="2880" spans="1:7" x14ac:dyDescent="0.3">
      <c r="A2880">
        <v>4013</v>
      </c>
      <c r="B2880" t="s">
        <v>34</v>
      </c>
      <c r="C2880" s="7">
        <v>122</v>
      </c>
      <c r="D2880" s="1">
        <v>45114</v>
      </c>
      <c r="E2880" s="29">
        <v>4.3</v>
      </c>
      <c r="F2880" t="s">
        <v>4</v>
      </c>
      <c r="G2880" t="str">
        <f t="shared" si="44"/>
        <v>2023-07</v>
      </c>
    </row>
    <row r="2881" spans="1:7" x14ac:dyDescent="0.3">
      <c r="A2881">
        <v>4024</v>
      </c>
      <c r="B2881" t="s">
        <v>14</v>
      </c>
      <c r="C2881" s="7">
        <v>15</v>
      </c>
      <c r="D2881" s="1">
        <v>45112</v>
      </c>
      <c r="E2881" s="29">
        <v>1.8</v>
      </c>
      <c r="F2881" t="s">
        <v>1</v>
      </c>
      <c r="G2881" t="str">
        <f t="shared" si="44"/>
        <v>2023-07</v>
      </c>
    </row>
    <row r="2882" spans="1:7" x14ac:dyDescent="0.3">
      <c r="A2882">
        <v>4001</v>
      </c>
      <c r="B2882" t="s">
        <v>24</v>
      </c>
      <c r="C2882" s="7">
        <v>101</v>
      </c>
      <c r="D2882" s="1">
        <v>45155</v>
      </c>
      <c r="E2882" s="29">
        <v>3.1712328767123199</v>
      </c>
      <c r="F2882" t="s">
        <v>4</v>
      </c>
      <c r="G2882" t="str">
        <f t="shared" si="44"/>
        <v>2023-08</v>
      </c>
    </row>
    <row r="2883" spans="1:7" x14ac:dyDescent="0.3">
      <c r="A2883">
        <v>4043</v>
      </c>
      <c r="B2883" t="s">
        <v>9</v>
      </c>
      <c r="C2883" s="7">
        <v>74</v>
      </c>
      <c r="D2883" s="1">
        <v>45186</v>
      </c>
      <c r="E2883" s="29">
        <v>1.6</v>
      </c>
      <c r="F2883" t="s">
        <v>1</v>
      </c>
      <c r="G2883" t="str">
        <f t="shared" ref="G2883:G2946" si="45">TEXT(D2883,"ГГГГ-ММ")</f>
        <v>2023-09</v>
      </c>
    </row>
    <row r="2884" spans="1:7" x14ac:dyDescent="0.3">
      <c r="A2884">
        <v>4098</v>
      </c>
      <c r="B2884" t="s">
        <v>45</v>
      </c>
      <c r="C2884" s="7">
        <v>134</v>
      </c>
      <c r="D2884" s="1">
        <v>44856</v>
      </c>
      <c r="E2884" s="29">
        <v>1</v>
      </c>
      <c r="F2884" t="s">
        <v>4</v>
      </c>
      <c r="G2884" t="str">
        <f t="shared" si="45"/>
        <v>2022-10</v>
      </c>
    </row>
    <row r="2885" spans="1:7" x14ac:dyDescent="0.3">
      <c r="A2885">
        <v>4019</v>
      </c>
      <c r="B2885" t="s">
        <v>48</v>
      </c>
      <c r="C2885" s="7">
        <v>153</v>
      </c>
      <c r="D2885" s="1">
        <v>45067</v>
      </c>
      <c r="E2885" s="29">
        <v>1.4</v>
      </c>
      <c r="F2885" t="s">
        <v>4</v>
      </c>
      <c r="G2885" t="str">
        <f t="shared" si="45"/>
        <v>2023-05</v>
      </c>
    </row>
    <row r="2886" spans="1:7" x14ac:dyDescent="0.3">
      <c r="A2886">
        <v>4002</v>
      </c>
      <c r="B2886" t="s">
        <v>37</v>
      </c>
      <c r="C2886" s="7">
        <v>188</v>
      </c>
      <c r="D2886" s="1">
        <v>44943</v>
      </c>
      <c r="E2886" s="29">
        <v>1</v>
      </c>
      <c r="F2886" t="s">
        <v>1</v>
      </c>
      <c r="G2886" t="str">
        <f t="shared" si="45"/>
        <v>2023-01</v>
      </c>
    </row>
    <row r="2887" spans="1:7" x14ac:dyDescent="0.3">
      <c r="A2887">
        <v>4007</v>
      </c>
      <c r="B2887" t="s">
        <v>38</v>
      </c>
      <c r="C2887" s="7">
        <v>155</v>
      </c>
      <c r="D2887" s="1">
        <v>45072</v>
      </c>
      <c r="E2887" s="29">
        <v>3.0230769230769199</v>
      </c>
      <c r="F2887" t="s">
        <v>4</v>
      </c>
      <c r="G2887" t="str">
        <f t="shared" si="45"/>
        <v>2023-05</v>
      </c>
    </row>
    <row r="2888" spans="1:7" x14ac:dyDescent="0.3">
      <c r="A2888">
        <v>3962</v>
      </c>
      <c r="B2888" t="s">
        <v>41</v>
      </c>
      <c r="C2888" s="7">
        <v>93.135593220338905</v>
      </c>
      <c r="D2888" s="1">
        <v>45099</v>
      </c>
      <c r="E2888" s="29">
        <v>2</v>
      </c>
      <c r="F2888" t="s">
        <v>4</v>
      </c>
      <c r="G2888" t="str">
        <f t="shared" si="45"/>
        <v>2023-06</v>
      </c>
    </row>
    <row r="2889" spans="1:7" x14ac:dyDescent="0.3">
      <c r="A2889">
        <v>4002</v>
      </c>
      <c r="B2889" t="s">
        <v>50</v>
      </c>
      <c r="C2889" s="7">
        <v>197</v>
      </c>
      <c r="D2889" s="1">
        <v>44869</v>
      </c>
      <c r="E2889" s="29">
        <v>3.9</v>
      </c>
      <c r="F2889" t="s">
        <v>4</v>
      </c>
      <c r="G2889" t="str">
        <f t="shared" si="45"/>
        <v>2022-11</v>
      </c>
    </row>
    <row r="2890" spans="1:7" x14ac:dyDescent="0.3">
      <c r="A2890">
        <v>4024</v>
      </c>
      <c r="B2890" t="s">
        <v>16</v>
      </c>
      <c r="C2890" s="7">
        <v>163</v>
      </c>
      <c r="D2890" s="1">
        <v>45016</v>
      </c>
      <c r="E2890" s="29">
        <v>1.1000000000000001</v>
      </c>
      <c r="F2890" t="s">
        <v>4</v>
      </c>
      <c r="G2890" t="str">
        <f t="shared" si="45"/>
        <v>2023-03</v>
      </c>
    </row>
    <row r="2891" spans="1:7" x14ac:dyDescent="0.3">
      <c r="A2891">
        <v>3982</v>
      </c>
      <c r="B2891" t="s">
        <v>48</v>
      </c>
      <c r="C2891" s="7">
        <v>151</v>
      </c>
      <c r="D2891" s="1">
        <v>45134</v>
      </c>
      <c r="E2891" s="29">
        <v>2.9</v>
      </c>
      <c r="F2891" t="s">
        <v>1</v>
      </c>
      <c r="G2891" t="str">
        <f t="shared" si="45"/>
        <v>2023-07</v>
      </c>
    </row>
    <row r="2892" spans="1:7" x14ac:dyDescent="0.3">
      <c r="A2892">
        <v>3962</v>
      </c>
      <c r="B2892" t="s">
        <v>28</v>
      </c>
      <c r="C2892" s="7">
        <v>111.854838709677</v>
      </c>
      <c r="D2892" s="1">
        <v>44869</v>
      </c>
      <c r="E2892" s="29">
        <v>1.3</v>
      </c>
      <c r="F2892" t="s">
        <v>1</v>
      </c>
      <c r="G2892" t="str">
        <f t="shared" si="45"/>
        <v>2022-11</v>
      </c>
    </row>
    <row r="2893" spans="1:7" x14ac:dyDescent="0.3">
      <c r="A2893">
        <v>3992</v>
      </c>
      <c r="B2893" t="s">
        <v>30</v>
      </c>
      <c r="C2893" s="7">
        <v>125</v>
      </c>
      <c r="D2893" s="1">
        <v>45000</v>
      </c>
      <c r="E2893" s="29">
        <v>4.0999999999999996</v>
      </c>
      <c r="F2893" t="s">
        <v>1</v>
      </c>
      <c r="G2893" t="str">
        <f t="shared" si="45"/>
        <v>2023-03</v>
      </c>
    </row>
    <row r="2894" spans="1:7" x14ac:dyDescent="0.3">
      <c r="A2894">
        <v>4054</v>
      </c>
      <c r="B2894" t="s">
        <v>23</v>
      </c>
      <c r="C2894" s="7">
        <v>77</v>
      </c>
      <c r="D2894" s="1">
        <v>45088</v>
      </c>
      <c r="E2894" s="29">
        <v>2.9</v>
      </c>
      <c r="F2894" t="s">
        <v>1</v>
      </c>
      <c r="G2894" t="str">
        <f t="shared" si="45"/>
        <v>2023-06</v>
      </c>
    </row>
    <row r="2895" spans="1:7" x14ac:dyDescent="0.3">
      <c r="A2895">
        <v>3985</v>
      </c>
      <c r="B2895" t="s">
        <v>32</v>
      </c>
      <c r="C2895" s="7">
        <v>126</v>
      </c>
      <c r="D2895" s="1">
        <v>45144</v>
      </c>
      <c r="E2895" s="29">
        <v>4</v>
      </c>
      <c r="F2895" t="s">
        <v>4</v>
      </c>
      <c r="G2895" t="str">
        <f t="shared" si="45"/>
        <v>2023-08</v>
      </c>
    </row>
    <row r="2896" spans="1:7" x14ac:dyDescent="0.3">
      <c r="A2896">
        <v>4043</v>
      </c>
      <c r="B2896" t="s">
        <v>38</v>
      </c>
      <c r="C2896" s="7">
        <v>103.222222222222</v>
      </c>
      <c r="D2896" s="1">
        <v>44865</v>
      </c>
      <c r="E2896" s="29">
        <v>3.5</v>
      </c>
      <c r="F2896" t="s">
        <v>1</v>
      </c>
      <c r="G2896" t="str">
        <f t="shared" si="45"/>
        <v>2022-10</v>
      </c>
    </row>
    <row r="2897" spans="1:7" x14ac:dyDescent="0.3">
      <c r="A2897">
        <v>4010</v>
      </c>
      <c r="B2897" t="s">
        <v>23</v>
      </c>
      <c r="C2897" s="7">
        <v>107</v>
      </c>
      <c r="D2897" s="1">
        <v>45121</v>
      </c>
      <c r="E2897" s="29">
        <v>2.5</v>
      </c>
      <c r="F2897" t="s">
        <v>1</v>
      </c>
      <c r="G2897" t="str">
        <f t="shared" si="45"/>
        <v>2023-07</v>
      </c>
    </row>
    <row r="2898" spans="1:7" x14ac:dyDescent="0.3">
      <c r="A2898">
        <v>4035</v>
      </c>
      <c r="B2898" t="s">
        <v>32</v>
      </c>
      <c r="C2898" s="7">
        <v>14</v>
      </c>
      <c r="D2898" s="1">
        <v>45133</v>
      </c>
      <c r="E2898" s="29">
        <v>4.8</v>
      </c>
      <c r="F2898" t="s">
        <v>4</v>
      </c>
      <c r="G2898" t="str">
        <f t="shared" si="45"/>
        <v>2023-07</v>
      </c>
    </row>
    <row r="2899" spans="1:7" x14ac:dyDescent="0.3">
      <c r="A2899">
        <v>4073</v>
      </c>
      <c r="B2899" t="s">
        <v>14</v>
      </c>
      <c r="C2899" s="7">
        <v>103</v>
      </c>
      <c r="D2899" s="1">
        <v>44990</v>
      </c>
      <c r="E2899" s="29">
        <v>3.5</v>
      </c>
      <c r="F2899" t="s">
        <v>1</v>
      </c>
      <c r="G2899" t="str">
        <f t="shared" si="45"/>
        <v>2023-03</v>
      </c>
    </row>
    <row r="2900" spans="1:7" x14ac:dyDescent="0.3">
      <c r="A2900">
        <v>4018</v>
      </c>
      <c r="B2900" t="s">
        <v>16</v>
      </c>
      <c r="C2900" s="7">
        <v>71</v>
      </c>
      <c r="D2900" s="1">
        <v>45025</v>
      </c>
      <c r="E2900" s="29">
        <v>4.0999999999999996</v>
      </c>
      <c r="F2900" t="s">
        <v>1</v>
      </c>
      <c r="G2900" t="str">
        <f t="shared" si="45"/>
        <v>2023-04</v>
      </c>
    </row>
    <row r="2901" spans="1:7" x14ac:dyDescent="0.3">
      <c r="A2901">
        <v>4051</v>
      </c>
      <c r="B2901" t="s">
        <v>45</v>
      </c>
      <c r="C2901" s="7">
        <v>26</v>
      </c>
      <c r="D2901" s="1">
        <v>45097</v>
      </c>
      <c r="E2901" s="29">
        <v>2.8</v>
      </c>
      <c r="F2901" t="s">
        <v>1</v>
      </c>
      <c r="G2901" t="str">
        <f t="shared" si="45"/>
        <v>2023-06</v>
      </c>
    </row>
    <row r="2902" spans="1:7" x14ac:dyDescent="0.3">
      <c r="A2902">
        <v>4052</v>
      </c>
      <c r="B2902" t="s">
        <v>35</v>
      </c>
      <c r="C2902" s="7">
        <v>147</v>
      </c>
      <c r="D2902" s="1">
        <v>45147</v>
      </c>
      <c r="E2902" s="29">
        <v>3.2</v>
      </c>
      <c r="F2902" t="s">
        <v>4</v>
      </c>
      <c r="G2902" t="str">
        <f t="shared" si="45"/>
        <v>2023-08</v>
      </c>
    </row>
    <row r="2903" spans="1:7" x14ac:dyDescent="0.3">
      <c r="A2903">
        <v>4000</v>
      </c>
      <c r="B2903" t="s">
        <v>22</v>
      </c>
      <c r="C2903" s="7">
        <v>58</v>
      </c>
      <c r="D2903" s="1">
        <v>45200</v>
      </c>
      <c r="E2903" s="29">
        <v>2.6</v>
      </c>
      <c r="F2903" t="s">
        <v>1</v>
      </c>
      <c r="G2903" t="str">
        <f t="shared" si="45"/>
        <v>2023-10</v>
      </c>
    </row>
    <row r="2904" spans="1:7" x14ac:dyDescent="0.3">
      <c r="A2904">
        <v>4091</v>
      </c>
      <c r="B2904" t="s">
        <v>40</v>
      </c>
      <c r="C2904" s="7">
        <v>137</v>
      </c>
      <c r="D2904" s="1">
        <v>45157</v>
      </c>
      <c r="E2904" s="29">
        <v>1.7</v>
      </c>
      <c r="F2904" t="s">
        <v>1</v>
      </c>
      <c r="G2904" t="str">
        <f t="shared" si="45"/>
        <v>2023-08</v>
      </c>
    </row>
    <row r="2905" spans="1:7" x14ac:dyDescent="0.3">
      <c r="A2905">
        <v>4116</v>
      </c>
      <c r="B2905" t="s">
        <v>39</v>
      </c>
      <c r="C2905" s="7">
        <v>49</v>
      </c>
      <c r="D2905" s="1">
        <v>45035</v>
      </c>
      <c r="E2905" s="29">
        <v>1.5</v>
      </c>
      <c r="F2905" t="s">
        <v>1</v>
      </c>
      <c r="G2905" t="str">
        <f t="shared" si="45"/>
        <v>2023-04</v>
      </c>
    </row>
    <row r="2906" spans="1:7" x14ac:dyDescent="0.3">
      <c r="A2906">
        <v>4068</v>
      </c>
      <c r="B2906" t="s">
        <v>30</v>
      </c>
      <c r="C2906" s="7">
        <v>92</v>
      </c>
      <c r="D2906" s="1">
        <v>44921</v>
      </c>
      <c r="E2906" s="29">
        <v>1.3</v>
      </c>
      <c r="F2906" t="s">
        <v>4</v>
      </c>
      <c r="G2906" t="str">
        <f t="shared" si="45"/>
        <v>2022-12</v>
      </c>
    </row>
    <row r="2907" spans="1:7" x14ac:dyDescent="0.3">
      <c r="A2907">
        <v>3973</v>
      </c>
      <c r="B2907" t="s">
        <v>16</v>
      </c>
      <c r="C2907" s="7">
        <v>92</v>
      </c>
      <c r="D2907" s="1">
        <v>45043</v>
      </c>
      <c r="E2907" s="29">
        <v>1.8</v>
      </c>
      <c r="F2907" t="s">
        <v>1</v>
      </c>
      <c r="G2907" t="str">
        <f t="shared" si="45"/>
        <v>2023-04</v>
      </c>
    </row>
    <row r="2908" spans="1:7" x14ac:dyDescent="0.3">
      <c r="A2908">
        <v>3987</v>
      </c>
      <c r="B2908" t="s">
        <v>29</v>
      </c>
      <c r="C2908" s="7">
        <v>108.734693877551</v>
      </c>
      <c r="D2908" s="1">
        <v>45117</v>
      </c>
      <c r="E2908" s="29">
        <v>3.9</v>
      </c>
      <c r="F2908" t="s">
        <v>4</v>
      </c>
      <c r="G2908" t="str">
        <f t="shared" si="45"/>
        <v>2023-07</v>
      </c>
    </row>
    <row r="2909" spans="1:7" x14ac:dyDescent="0.3">
      <c r="A2909">
        <v>3993</v>
      </c>
      <c r="B2909" t="s">
        <v>16</v>
      </c>
      <c r="C2909" s="7">
        <v>27</v>
      </c>
      <c r="D2909" s="1">
        <v>44943</v>
      </c>
      <c r="E2909" s="29">
        <v>3.6</v>
      </c>
      <c r="F2909" t="s">
        <v>4</v>
      </c>
      <c r="G2909" t="str">
        <f t="shared" si="45"/>
        <v>2023-01</v>
      </c>
    </row>
    <row r="2910" spans="1:7" x14ac:dyDescent="0.3">
      <c r="A2910">
        <v>3990</v>
      </c>
      <c r="B2910" t="s">
        <v>28</v>
      </c>
      <c r="C2910" s="7">
        <v>111.854838709677</v>
      </c>
      <c r="D2910" s="1">
        <v>45094</v>
      </c>
      <c r="E2910" s="29">
        <v>4.8</v>
      </c>
      <c r="F2910" t="s">
        <v>4</v>
      </c>
      <c r="G2910" t="str">
        <f t="shared" si="45"/>
        <v>2023-06</v>
      </c>
    </row>
    <row r="2911" spans="1:7" x14ac:dyDescent="0.3">
      <c r="A2911">
        <v>4005</v>
      </c>
      <c r="B2911" t="s">
        <v>38</v>
      </c>
      <c r="C2911" s="7">
        <v>55</v>
      </c>
      <c r="D2911" s="1">
        <v>44970</v>
      </c>
      <c r="E2911" s="29">
        <v>2.2999999999999998</v>
      </c>
      <c r="F2911" t="s">
        <v>1</v>
      </c>
      <c r="G2911" t="str">
        <f t="shared" si="45"/>
        <v>2023-02</v>
      </c>
    </row>
    <row r="2912" spans="1:7" x14ac:dyDescent="0.3">
      <c r="A2912">
        <v>4006</v>
      </c>
      <c r="B2912" t="s">
        <v>2</v>
      </c>
      <c r="C2912" s="7">
        <v>61</v>
      </c>
      <c r="D2912" s="1">
        <v>45117</v>
      </c>
      <c r="E2912" s="29">
        <v>3.3</v>
      </c>
      <c r="F2912" t="s">
        <v>4</v>
      </c>
      <c r="G2912" t="str">
        <f t="shared" si="45"/>
        <v>2023-07</v>
      </c>
    </row>
    <row r="2913" spans="1:7" x14ac:dyDescent="0.3">
      <c r="A2913">
        <v>4093</v>
      </c>
      <c r="B2913" t="s">
        <v>19</v>
      </c>
      <c r="C2913" s="7">
        <v>117.172413793103</v>
      </c>
      <c r="D2913" s="1">
        <v>45098</v>
      </c>
      <c r="E2913" s="29">
        <v>3.5</v>
      </c>
      <c r="F2913" t="s">
        <v>1</v>
      </c>
      <c r="G2913" t="str">
        <f t="shared" si="45"/>
        <v>2023-06</v>
      </c>
    </row>
    <row r="2914" spans="1:7" x14ac:dyDescent="0.3">
      <c r="A2914">
        <v>4053</v>
      </c>
      <c r="B2914" t="s">
        <v>16</v>
      </c>
      <c r="C2914" s="7">
        <v>110.56666666666599</v>
      </c>
      <c r="D2914" s="1">
        <v>45062</v>
      </c>
      <c r="E2914" s="29">
        <v>4.5</v>
      </c>
      <c r="F2914" t="s">
        <v>1</v>
      </c>
      <c r="G2914" t="str">
        <f t="shared" si="45"/>
        <v>2023-05</v>
      </c>
    </row>
    <row r="2915" spans="1:7" x14ac:dyDescent="0.3">
      <c r="A2915">
        <v>4052</v>
      </c>
      <c r="B2915" t="s">
        <v>34</v>
      </c>
      <c r="C2915" s="7">
        <v>110.431818181818</v>
      </c>
      <c r="D2915" s="1">
        <v>45046</v>
      </c>
      <c r="E2915" s="29">
        <v>3.9</v>
      </c>
      <c r="F2915" t="s">
        <v>1</v>
      </c>
      <c r="G2915" t="str">
        <f t="shared" si="45"/>
        <v>2023-04</v>
      </c>
    </row>
    <row r="2916" spans="1:7" x14ac:dyDescent="0.3">
      <c r="A2916">
        <v>4038</v>
      </c>
      <c r="B2916" t="s">
        <v>48</v>
      </c>
      <c r="C2916" s="7">
        <v>109</v>
      </c>
      <c r="D2916" s="1">
        <v>44941</v>
      </c>
      <c r="E2916" s="29">
        <v>3.6</v>
      </c>
      <c r="F2916" t="s">
        <v>4</v>
      </c>
      <c r="G2916" t="str">
        <f t="shared" si="45"/>
        <v>2023-01</v>
      </c>
    </row>
    <row r="2917" spans="1:7" x14ac:dyDescent="0.3">
      <c r="A2917">
        <v>4110</v>
      </c>
      <c r="B2917" t="s">
        <v>21</v>
      </c>
      <c r="C2917" s="7">
        <v>144</v>
      </c>
      <c r="D2917" s="1">
        <v>45104</v>
      </c>
      <c r="E2917" s="29">
        <v>3.6</v>
      </c>
      <c r="F2917" t="s">
        <v>1</v>
      </c>
      <c r="G2917" t="str">
        <f t="shared" si="45"/>
        <v>2023-06</v>
      </c>
    </row>
    <row r="2918" spans="1:7" x14ac:dyDescent="0.3">
      <c r="A2918">
        <v>4066</v>
      </c>
      <c r="B2918" t="s">
        <v>30</v>
      </c>
      <c r="C2918" s="7">
        <v>161</v>
      </c>
      <c r="D2918" s="1">
        <v>44847</v>
      </c>
      <c r="E2918" s="29">
        <v>3.2</v>
      </c>
      <c r="F2918" t="s">
        <v>1</v>
      </c>
      <c r="G2918" t="str">
        <f t="shared" si="45"/>
        <v>2022-10</v>
      </c>
    </row>
    <row r="2919" spans="1:7" x14ac:dyDescent="0.3">
      <c r="A2919">
        <v>4119</v>
      </c>
      <c r="B2919" t="s">
        <v>39</v>
      </c>
      <c r="C2919" s="7">
        <v>103</v>
      </c>
      <c r="D2919" s="1">
        <v>44915</v>
      </c>
      <c r="E2919" s="29">
        <v>1.7</v>
      </c>
      <c r="F2919" t="s">
        <v>4</v>
      </c>
      <c r="G2919" t="str">
        <f t="shared" si="45"/>
        <v>2022-12</v>
      </c>
    </row>
    <row r="2920" spans="1:7" x14ac:dyDescent="0.3">
      <c r="A2920">
        <v>4019</v>
      </c>
      <c r="B2920" t="s">
        <v>28</v>
      </c>
      <c r="C2920" s="7">
        <v>193</v>
      </c>
      <c r="D2920" s="1">
        <v>44844</v>
      </c>
      <c r="E2920" s="29">
        <v>3.8</v>
      </c>
      <c r="F2920" t="s">
        <v>1</v>
      </c>
      <c r="G2920" t="str">
        <f t="shared" si="45"/>
        <v>2022-10</v>
      </c>
    </row>
    <row r="2921" spans="1:7" x14ac:dyDescent="0.3">
      <c r="A2921">
        <v>3968</v>
      </c>
      <c r="B2921" t="s">
        <v>37</v>
      </c>
      <c r="C2921" s="7">
        <v>97.720588235294102</v>
      </c>
      <c r="D2921" s="1">
        <v>45186</v>
      </c>
      <c r="E2921" s="29">
        <v>3.3</v>
      </c>
      <c r="F2921" t="s">
        <v>4</v>
      </c>
      <c r="G2921" t="str">
        <f t="shared" si="45"/>
        <v>2023-09</v>
      </c>
    </row>
    <row r="2922" spans="1:7" x14ac:dyDescent="0.3">
      <c r="A2922">
        <v>4114</v>
      </c>
      <c r="B2922" t="s">
        <v>50</v>
      </c>
      <c r="C2922" s="7">
        <v>63</v>
      </c>
      <c r="D2922" s="1">
        <v>45081</v>
      </c>
      <c r="E2922" s="29">
        <v>1.8</v>
      </c>
      <c r="F2922" t="s">
        <v>1</v>
      </c>
      <c r="G2922" t="str">
        <f t="shared" si="45"/>
        <v>2023-06</v>
      </c>
    </row>
    <row r="2923" spans="1:7" x14ac:dyDescent="0.3">
      <c r="A2923">
        <v>4107</v>
      </c>
      <c r="B2923" t="s">
        <v>22</v>
      </c>
      <c r="C2923" s="7">
        <v>30</v>
      </c>
      <c r="D2923" s="1">
        <v>45040</v>
      </c>
      <c r="E2923" s="29">
        <v>2.2000000000000002</v>
      </c>
      <c r="F2923" t="s">
        <v>4</v>
      </c>
      <c r="G2923" t="str">
        <f t="shared" si="45"/>
        <v>2023-04</v>
      </c>
    </row>
    <row r="2924" spans="1:7" x14ac:dyDescent="0.3">
      <c r="A2924">
        <v>4005</v>
      </c>
      <c r="B2924" t="s">
        <v>28</v>
      </c>
      <c r="C2924" s="7">
        <v>173</v>
      </c>
      <c r="D2924" s="1">
        <v>44876</v>
      </c>
      <c r="E2924" s="29">
        <v>3</v>
      </c>
      <c r="F2924" t="s">
        <v>4</v>
      </c>
      <c r="G2924" t="str">
        <f t="shared" si="45"/>
        <v>2022-11</v>
      </c>
    </row>
    <row r="2925" spans="1:7" x14ac:dyDescent="0.3">
      <c r="A2925">
        <v>4094</v>
      </c>
      <c r="B2925" t="s">
        <v>21</v>
      </c>
      <c r="C2925" s="7">
        <v>120.22</v>
      </c>
      <c r="D2925" s="1">
        <v>44913</v>
      </c>
      <c r="E2925" s="29">
        <v>3.9</v>
      </c>
      <c r="F2925" t="s">
        <v>4</v>
      </c>
      <c r="G2925" t="str">
        <f t="shared" si="45"/>
        <v>2022-12</v>
      </c>
    </row>
    <row r="2926" spans="1:7" x14ac:dyDescent="0.3">
      <c r="A2926">
        <v>4032</v>
      </c>
      <c r="B2926" t="s">
        <v>46</v>
      </c>
      <c r="C2926" s="7">
        <v>116</v>
      </c>
      <c r="D2926" s="1">
        <v>44957</v>
      </c>
      <c r="E2926" s="29">
        <v>1.9</v>
      </c>
      <c r="F2926" t="s">
        <v>1</v>
      </c>
      <c r="G2926" t="str">
        <f t="shared" si="45"/>
        <v>2023-01</v>
      </c>
    </row>
    <row r="2927" spans="1:7" x14ac:dyDescent="0.3">
      <c r="A2927">
        <v>3995</v>
      </c>
      <c r="B2927" t="s">
        <v>10</v>
      </c>
      <c r="C2927" s="7">
        <v>191</v>
      </c>
      <c r="D2927" s="1">
        <v>45139</v>
      </c>
      <c r="E2927" s="29">
        <v>2.2000000000000002</v>
      </c>
      <c r="F2927" t="s">
        <v>4</v>
      </c>
      <c r="G2927" t="str">
        <f t="shared" si="45"/>
        <v>2023-08</v>
      </c>
    </row>
    <row r="2928" spans="1:7" x14ac:dyDescent="0.3">
      <c r="A2928">
        <v>4040</v>
      </c>
      <c r="B2928" t="s">
        <v>50</v>
      </c>
      <c r="C2928" s="7">
        <v>123.21818181818099</v>
      </c>
      <c r="D2928" s="1">
        <v>45040</v>
      </c>
      <c r="E2928" s="29">
        <v>3.3</v>
      </c>
      <c r="F2928" t="s">
        <v>4</v>
      </c>
      <c r="G2928" t="str">
        <f t="shared" si="45"/>
        <v>2023-04</v>
      </c>
    </row>
    <row r="2929" spans="1:7" x14ac:dyDescent="0.3">
      <c r="A2929">
        <v>4020</v>
      </c>
      <c r="B2929" t="s">
        <v>16</v>
      </c>
      <c r="C2929" s="7">
        <v>145</v>
      </c>
      <c r="D2929" s="1">
        <v>45184</v>
      </c>
      <c r="E2929" s="29">
        <v>2</v>
      </c>
      <c r="F2929" t="s">
        <v>4</v>
      </c>
      <c r="G2929" t="str">
        <f t="shared" si="45"/>
        <v>2023-09</v>
      </c>
    </row>
    <row r="2930" spans="1:7" x14ac:dyDescent="0.3">
      <c r="A2930">
        <v>3970</v>
      </c>
      <c r="B2930" t="s">
        <v>36</v>
      </c>
      <c r="C2930" s="7">
        <v>90.925925925925895</v>
      </c>
      <c r="D2930" s="1">
        <v>44891</v>
      </c>
      <c r="E2930" s="29">
        <v>4.0999999999999996</v>
      </c>
      <c r="F2930" t="s">
        <v>4</v>
      </c>
      <c r="G2930" t="str">
        <f t="shared" si="45"/>
        <v>2022-11</v>
      </c>
    </row>
    <row r="2931" spans="1:7" x14ac:dyDescent="0.3">
      <c r="A2931">
        <v>4118</v>
      </c>
      <c r="B2931" t="s">
        <v>22</v>
      </c>
      <c r="C2931" s="7">
        <v>107.949152542372</v>
      </c>
      <c r="D2931" s="1">
        <v>44928</v>
      </c>
      <c r="E2931" s="29">
        <v>3.9</v>
      </c>
      <c r="F2931" t="s">
        <v>4</v>
      </c>
      <c r="G2931" t="str">
        <f t="shared" si="45"/>
        <v>2023-01</v>
      </c>
    </row>
    <row r="2932" spans="1:7" x14ac:dyDescent="0.3">
      <c r="A2932">
        <v>4028</v>
      </c>
      <c r="B2932" t="s">
        <v>49</v>
      </c>
      <c r="C2932" s="7">
        <v>65</v>
      </c>
      <c r="D2932" s="1">
        <v>44894</v>
      </c>
      <c r="E2932" s="29">
        <v>2.8</v>
      </c>
      <c r="F2932" t="s">
        <v>4</v>
      </c>
      <c r="G2932" t="str">
        <f t="shared" si="45"/>
        <v>2022-11</v>
      </c>
    </row>
    <row r="2933" spans="1:7" x14ac:dyDescent="0.3">
      <c r="A2933">
        <v>3989</v>
      </c>
      <c r="B2933" t="s">
        <v>35</v>
      </c>
      <c r="C2933" s="7">
        <v>34</v>
      </c>
      <c r="D2933" s="1">
        <v>45159</v>
      </c>
      <c r="E2933" s="29">
        <v>4.4000000000000004</v>
      </c>
      <c r="F2933" t="s">
        <v>4</v>
      </c>
      <c r="G2933" t="str">
        <f t="shared" si="45"/>
        <v>2023-08</v>
      </c>
    </row>
    <row r="2934" spans="1:7" x14ac:dyDescent="0.3">
      <c r="A2934">
        <v>4087</v>
      </c>
      <c r="B2934" t="s">
        <v>32</v>
      </c>
      <c r="C2934" s="7">
        <v>84.528571428571396</v>
      </c>
      <c r="D2934" s="1">
        <v>45177</v>
      </c>
      <c r="E2934" s="29">
        <v>1.7</v>
      </c>
      <c r="F2934" t="s">
        <v>4</v>
      </c>
      <c r="G2934" t="str">
        <f t="shared" si="45"/>
        <v>2023-09</v>
      </c>
    </row>
    <row r="2935" spans="1:7" x14ac:dyDescent="0.3">
      <c r="A2935">
        <v>4106</v>
      </c>
      <c r="B2935" t="s">
        <v>33</v>
      </c>
      <c r="C2935" s="7">
        <v>108</v>
      </c>
      <c r="D2935" s="1">
        <v>45144</v>
      </c>
      <c r="E2935" s="29">
        <v>1.3</v>
      </c>
      <c r="F2935" t="s">
        <v>4</v>
      </c>
      <c r="G2935" t="str">
        <f t="shared" si="45"/>
        <v>2023-08</v>
      </c>
    </row>
    <row r="2936" spans="1:7" x14ac:dyDescent="0.3">
      <c r="A2936">
        <v>4082</v>
      </c>
      <c r="B2936" t="s">
        <v>47</v>
      </c>
      <c r="C2936" s="7">
        <v>106.297872340425</v>
      </c>
      <c r="D2936" s="1">
        <v>44850</v>
      </c>
      <c r="E2936" s="29">
        <v>3.1235294117647001</v>
      </c>
      <c r="F2936" t="s">
        <v>1</v>
      </c>
      <c r="G2936" t="str">
        <f t="shared" si="45"/>
        <v>2022-10</v>
      </c>
    </row>
    <row r="2937" spans="1:7" x14ac:dyDescent="0.3">
      <c r="A2937">
        <v>4010</v>
      </c>
      <c r="B2937" t="s">
        <v>11</v>
      </c>
      <c r="C2937" s="7">
        <v>73</v>
      </c>
      <c r="D2937" s="1">
        <v>45159</v>
      </c>
      <c r="E2937" s="29">
        <v>4.5999999999999996</v>
      </c>
      <c r="F2937" t="s">
        <v>1</v>
      </c>
      <c r="G2937" t="str">
        <f t="shared" si="45"/>
        <v>2023-08</v>
      </c>
    </row>
    <row r="2938" spans="1:7" x14ac:dyDescent="0.3">
      <c r="A2938">
        <v>3977</v>
      </c>
      <c r="B2938" t="s">
        <v>32</v>
      </c>
      <c r="C2938" s="7">
        <v>55</v>
      </c>
      <c r="D2938" s="1">
        <v>45006</v>
      </c>
      <c r="E2938" s="29">
        <v>3.1</v>
      </c>
      <c r="F2938" t="s">
        <v>1</v>
      </c>
      <c r="G2938" t="str">
        <f t="shared" si="45"/>
        <v>2023-03</v>
      </c>
    </row>
    <row r="2939" spans="1:7" x14ac:dyDescent="0.3">
      <c r="A2939">
        <v>4077</v>
      </c>
      <c r="B2939" t="s">
        <v>5</v>
      </c>
      <c r="C2939" s="7">
        <v>152</v>
      </c>
      <c r="D2939" s="1">
        <v>44881</v>
      </c>
      <c r="E2939" s="29">
        <v>1.5</v>
      </c>
      <c r="F2939" t="s">
        <v>1</v>
      </c>
      <c r="G2939" t="str">
        <f t="shared" si="45"/>
        <v>2022-11</v>
      </c>
    </row>
    <row r="2940" spans="1:7" x14ac:dyDescent="0.3">
      <c r="A2940">
        <v>4114</v>
      </c>
      <c r="B2940" t="s">
        <v>31</v>
      </c>
      <c r="C2940" s="7">
        <v>37</v>
      </c>
      <c r="D2940" s="1">
        <v>45116</v>
      </c>
      <c r="E2940" s="29">
        <v>4.5999999999999996</v>
      </c>
      <c r="F2940" t="s">
        <v>1</v>
      </c>
      <c r="G2940" t="str">
        <f t="shared" si="45"/>
        <v>2023-07</v>
      </c>
    </row>
    <row r="2941" spans="1:7" x14ac:dyDescent="0.3">
      <c r="A2941">
        <v>3973</v>
      </c>
      <c r="B2941" t="s">
        <v>37</v>
      </c>
      <c r="C2941" s="7">
        <v>157</v>
      </c>
      <c r="D2941" s="1">
        <v>45115</v>
      </c>
      <c r="E2941" s="29">
        <v>3.3</v>
      </c>
      <c r="F2941" t="s">
        <v>4</v>
      </c>
      <c r="G2941" t="str">
        <f t="shared" si="45"/>
        <v>2023-07</v>
      </c>
    </row>
    <row r="2942" spans="1:7" x14ac:dyDescent="0.3">
      <c r="A2942">
        <v>3999</v>
      </c>
      <c r="B2942" t="s">
        <v>34</v>
      </c>
      <c r="C2942" s="7">
        <v>127</v>
      </c>
      <c r="D2942" s="1">
        <v>44887</v>
      </c>
      <c r="E2942" s="29">
        <v>4.7</v>
      </c>
      <c r="F2942" t="s">
        <v>1</v>
      </c>
      <c r="G2942" t="str">
        <f t="shared" si="45"/>
        <v>2022-11</v>
      </c>
    </row>
    <row r="2943" spans="1:7" x14ac:dyDescent="0.3">
      <c r="A2943">
        <v>4087</v>
      </c>
      <c r="B2943" t="s">
        <v>33</v>
      </c>
      <c r="C2943" s="7">
        <v>119</v>
      </c>
      <c r="D2943" s="1">
        <v>44915</v>
      </c>
      <c r="E2943" s="29">
        <v>1.6</v>
      </c>
      <c r="F2943" t="s">
        <v>1</v>
      </c>
      <c r="G2943" t="str">
        <f t="shared" si="45"/>
        <v>2022-12</v>
      </c>
    </row>
    <row r="2944" spans="1:7" x14ac:dyDescent="0.3">
      <c r="A2944">
        <v>4056</v>
      </c>
      <c r="B2944" t="s">
        <v>16</v>
      </c>
      <c r="C2944" s="7">
        <v>52</v>
      </c>
      <c r="D2944" s="1">
        <v>45126</v>
      </c>
      <c r="E2944" s="29">
        <v>4</v>
      </c>
      <c r="F2944" t="s">
        <v>1</v>
      </c>
      <c r="G2944" t="str">
        <f t="shared" si="45"/>
        <v>2023-07</v>
      </c>
    </row>
    <row r="2945" spans="1:7" x14ac:dyDescent="0.3">
      <c r="A2945">
        <v>4122</v>
      </c>
      <c r="B2945" t="s">
        <v>18</v>
      </c>
      <c r="C2945" s="7">
        <v>150</v>
      </c>
      <c r="D2945" s="1">
        <v>45167</v>
      </c>
      <c r="E2945" s="29">
        <v>3.06153846153846</v>
      </c>
      <c r="F2945" t="s">
        <v>1</v>
      </c>
      <c r="G2945" t="str">
        <f t="shared" si="45"/>
        <v>2023-08</v>
      </c>
    </row>
    <row r="2946" spans="1:7" x14ac:dyDescent="0.3">
      <c r="A2946">
        <v>4087</v>
      </c>
      <c r="B2946" t="s">
        <v>2</v>
      </c>
      <c r="C2946" s="7">
        <v>96</v>
      </c>
      <c r="D2946" s="1">
        <v>45112</v>
      </c>
      <c r="E2946" s="29">
        <v>2.6</v>
      </c>
      <c r="F2946" t="s">
        <v>1</v>
      </c>
      <c r="G2946" t="str">
        <f t="shared" si="45"/>
        <v>2023-07</v>
      </c>
    </row>
    <row r="2947" spans="1:7" x14ac:dyDescent="0.3">
      <c r="A2947">
        <v>4052</v>
      </c>
      <c r="B2947" t="s">
        <v>42</v>
      </c>
      <c r="C2947" s="7">
        <v>146</v>
      </c>
      <c r="D2947" s="1">
        <v>45103</v>
      </c>
      <c r="E2947" s="29">
        <v>4.5</v>
      </c>
      <c r="F2947" t="s">
        <v>1</v>
      </c>
      <c r="G2947" t="str">
        <f t="shared" ref="G2947:G3010" si="46">TEXT(D2947,"ГГГГ-ММ")</f>
        <v>2023-06</v>
      </c>
    </row>
    <row r="2948" spans="1:7" x14ac:dyDescent="0.3">
      <c r="A2948">
        <v>4084</v>
      </c>
      <c r="B2948" t="s">
        <v>50</v>
      </c>
      <c r="C2948" s="7">
        <v>123</v>
      </c>
      <c r="D2948" s="1">
        <v>45165</v>
      </c>
      <c r="E2948" s="29">
        <v>1.7</v>
      </c>
      <c r="F2948" t="s">
        <v>4</v>
      </c>
      <c r="G2948" t="str">
        <f t="shared" si="46"/>
        <v>2023-08</v>
      </c>
    </row>
    <row r="2949" spans="1:7" x14ac:dyDescent="0.3">
      <c r="A2949">
        <v>4089</v>
      </c>
      <c r="B2949" t="s">
        <v>3</v>
      </c>
      <c r="C2949" s="7">
        <v>90</v>
      </c>
      <c r="D2949" s="1">
        <v>45034</v>
      </c>
      <c r="E2949" s="29">
        <v>2.1</v>
      </c>
      <c r="F2949" t="s">
        <v>4</v>
      </c>
      <c r="G2949" t="str">
        <f t="shared" si="46"/>
        <v>2023-04</v>
      </c>
    </row>
    <row r="2950" spans="1:7" x14ac:dyDescent="0.3">
      <c r="A2950">
        <v>4075</v>
      </c>
      <c r="B2950" t="s">
        <v>23</v>
      </c>
      <c r="C2950" s="7">
        <v>93</v>
      </c>
      <c r="D2950" s="1">
        <v>45171</v>
      </c>
      <c r="E2950" s="29">
        <v>3.4</v>
      </c>
      <c r="F2950" t="s">
        <v>1</v>
      </c>
      <c r="G2950" t="str">
        <f t="shared" si="46"/>
        <v>2023-09</v>
      </c>
    </row>
    <row r="2951" spans="1:7" x14ac:dyDescent="0.3">
      <c r="A2951">
        <v>4002</v>
      </c>
      <c r="B2951" t="s">
        <v>27</v>
      </c>
      <c r="C2951" s="7">
        <v>115</v>
      </c>
      <c r="D2951" s="1">
        <v>44886</v>
      </c>
      <c r="E2951" s="29">
        <v>4.5</v>
      </c>
      <c r="F2951" t="s">
        <v>1</v>
      </c>
      <c r="G2951" t="str">
        <f t="shared" si="46"/>
        <v>2022-11</v>
      </c>
    </row>
    <row r="2952" spans="1:7" x14ac:dyDescent="0.3">
      <c r="A2952">
        <v>4039</v>
      </c>
      <c r="B2952" t="s">
        <v>25</v>
      </c>
      <c r="C2952" s="7">
        <v>120</v>
      </c>
      <c r="D2952" s="1">
        <v>45097</v>
      </c>
      <c r="E2952" s="29">
        <v>3</v>
      </c>
      <c r="F2952" t="s">
        <v>4</v>
      </c>
      <c r="G2952" t="str">
        <f t="shared" si="46"/>
        <v>2023-06</v>
      </c>
    </row>
    <row r="2953" spans="1:7" x14ac:dyDescent="0.3">
      <c r="A2953">
        <v>4052</v>
      </c>
      <c r="B2953" t="s">
        <v>37</v>
      </c>
      <c r="C2953" s="7">
        <v>92</v>
      </c>
      <c r="D2953" s="1">
        <v>44904</v>
      </c>
      <c r="E2953" s="29">
        <v>2.4</v>
      </c>
      <c r="F2953" t="s">
        <v>1</v>
      </c>
      <c r="G2953" t="str">
        <f t="shared" si="46"/>
        <v>2022-12</v>
      </c>
    </row>
    <row r="2954" spans="1:7" x14ac:dyDescent="0.3">
      <c r="A2954">
        <v>4091</v>
      </c>
      <c r="B2954" t="s">
        <v>44</v>
      </c>
      <c r="C2954" s="7">
        <v>154</v>
      </c>
      <c r="D2954" s="1">
        <v>44849</v>
      </c>
      <c r="E2954" s="29">
        <v>4</v>
      </c>
      <c r="F2954" t="s">
        <v>1</v>
      </c>
      <c r="G2954" t="str">
        <f t="shared" si="46"/>
        <v>2022-10</v>
      </c>
    </row>
    <row r="2955" spans="1:7" x14ac:dyDescent="0.3">
      <c r="A2955">
        <v>4080</v>
      </c>
      <c r="B2955" t="s">
        <v>51</v>
      </c>
      <c r="C2955" s="7">
        <v>106</v>
      </c>
      <c r="D2955" s="1">
        <v>45168</v>
      </c>
      <c r="E2955" s="29">
        <v>2.5</v>
      </c>
      <c r="F2955" t="s">
        <v>4</v>
      </c>
      <c r="G2955" t="str">
        <f t="shared" si="46"/>
        <v>2023-08</v>
      </c>
    </row>
    <row r="2956" spans="1:7" x14ac:dyDescent="0.3">
      <c r="A2956">
        <v>4083</v>
      </c>
      <c r="B2956" t="s">
        <v>46</v>
      </c>
      <c r="C2956" s="7">
        <v>200</v>
      </c>
      <c r="D2956" s="1">
        <v>45086</v>
      </c>
      <c r="E2956" s="29">
        <v>1.7</v>
      </c>
      <c r="F2956" t="s">
        <v>1</v>
      </c>
      <c r="G2956" t="str">
        <f t="shared" si="46"/>
        <v>2023-06</v>
      </c>
    </row>
    <row r="2957" spans="1:7" x14ac:dyDescent="0.3">
      <c r="A2957">
        <v>4078</v>
      </c>
      <c r="B2957" t="s">
        <v>39</v>
      </c>
      <c r="C2957" s="7">
        <v>125</v>
      </c>
      <c r="D2957" s="1">
        <v>44839</v>
      </c>
      <c r="E2957" s="29">
        <v>2.6</v>
      </c>
      <c r="F2957" t="s">
        <v>4</v>
      </c>
      <c r="G2957" t="str">
        <f t="shared" si="46"/>
        <v>2022-10</v>
      </c>
    </row>
    <row r="2958" spans="1:7" x14ac:dyDescent="0.3">
      <c r="A2958">
        <v>4025</v>
      </c>
      <c r="B2958" t="s">
        <v>6</v>
      </c>
      <c r="C2958" s="7">
        <v>111</v>
      </c>
      <c r="D2958" s="1">
        <v>45041</v>
      </c>
      <c r="E2958" s="29">
        <v>2.8333333333333299</v>
      </c>
      <c r="F2958" t="s">
        <v>4</v>
      </c>
      <c r="G2958" t="str">
        <f t="shared" si="46"/>
        <v>2023-04</v>
      </c>
    </row>
    <row r="2959" spans="1:7" x14ac:dyDescent="0.3">
      <c r="A2959">
        <v>4105</v>
      </c>
      <c r="B2959" t="s">
        <v>39</v>
      </c>
      <c r="C2959" s="7">
        <v>108.54716981132</v>
      </c>
      <c r="D2959" s="1">
        <v>45034</v>
      </c>
      <c r="E2959" s="29">
        <v>4</v>
      </c>
      <c r="F2959" t="s">
        <v>4</v>
      </c>
      <c r="G2959" t="str">
        <f t="shared" si="46"/>
        <v>2023-04</v>
      </c>
    </row>
    <row r="2960" spans="1:7" x14ac:dyDescent="0.3">
      <c r="A2960">
        <v>4059</v>
      </c>
      <c r="B2960" t="s">
        <v>26</v>
      </c>
      <c r="C2960" s="7">
        <v>103.267857142857</v>
      </c>
      <c r="D2960" s="1">
        <v>45141</v>
      </c>
      <c r="E2960" s="29">
        <v>4.0999999999999996</v>
      </c>
      <c r="F2960" t="s">
        <v>1</v>
      </c>
      <c r="G2960" t="str">
        <f t="shared" si="46"/>
        <v>2023-08</v>
      </c>
    </row>
    <row r="2961" spans="1:7" x14ac:dyDescent="0.3">
      <c r="A2961">
        <v>4120</v>
      </c>
      <c r="B2961" t="s">
        <v>41</v>
      </c>
      <c r="C2961" s="7">
        <v>14</v>
      </c>
      <c r="D2961" s="1">
        <v>44854</v>
      </c>
      <c r="E2961" s="29">
        <v>2.1</v>
      </c>
      <c r="F2961" t="s">
        <v>4</v>
      </c>
      <c r="G2961" t="str">
        <f t="shared" si="46"/>
        <v>2022-10</v>
      </c>
    </row>
    <row r="2962" spans="1:7" x14ac:dyDescent="0.3">
      <c r="A2962">
        <v>4106</v>
      </c>
      <c r="B2962" t="s">
        <v>37</v>
      </c>
      <c r="C2962" s="7">
        <v>87</v>
      </c>
      <c r="D2962" s="1">
        <v>44896</v>
      </c>
      <c r="E2962" s="29">
        <v>4.7</v>
      </c>
      <c r="F2962" t="s">
        <v>1</v>
      </c>
      <c r="G2962" t="str">
        <f t="shared" si="46"/>
        <v>2022-12</v>
      </c>
    </row>
    <row r="2963" spans="1:7" x14ac:dyDescent="0.3">
      <c r="A2963">
        <v>3966</v>
      </c>
      <c r="B2963" t="s">
        <v>23</v>
      </c>
      <c r="C2963" s="7">
        <v>107.68518518518501</v>
      </c>
      <c r="D2963" s="1">
        <v>44860</v>
      </c>
      <c r="E2963" s="29">
        <v>4.3</v>
      </c>
      <c r="F2963" t="s">
        <v>4</v>
      </c>
      <c r="G2963" t="str">
        <f t="shared" si="46"/>
        <v>2022-10</v>
      </c>
    </row>
    <row r="2964" spans="1:7" x14ac:dyDescent="0.3">
      <c r="A2964">
        <v>4010</v>
      </c>
      <c r="B2964" t="s">
        <v>12</v>
      </c>
      <c r="C2964" s="7">
        <v>64</v>
      </c>
      <c r="D2964" s="1">
        <v>45068</v>
      </c>
      <c r="E2964" s="29">
        <v>3.3</v>
      </c>
      <c r="F2964" t="s">
        <v>1</v>
      </c>
      <c r="G2964" t="str">
        <f t="shared" si="46"/>
        <v>2023-05</v>
      </c>
    </row>
    <row r="2965" spans="1:7" x14ac:dyDescent="0.3">
      <c r="A2965">
        <v>4013</v>
      </c>
      <c r="B2965" t="s">
        <v>34</v>
      </c>
      <c r="C2965" s="7">
        <v>15</v>
      </c>
      <c r="D2965" s="1">
        <v>45136</v>
      </c>
      <c r="E2965" s="29">
        <v>1.3</v>
      </c>
      <c r="F2965" t="s">
        <v>4</v>
      </c>
      <c r="G2965" t="str">
        <f t="shared" si="46"/>
        <v>2023-07</v>
      </c>
    </row>
    <row r="2966" spans="1:7" x14ac:dyDescent="0.3">
      <c r="A2966">
        <v>4008</v>
      </c>
      <c r="B2966" t="s">
        <v>10</v>
      </c>
      <c r="C2966" s="7">
        <v>186</v>
      </c>
      <c r="D2966" s="1">
        <v>44903</v>
      </c>
      <c r="E2966" s="29">
        <v>1.7</v>
      </c>
      <c r="F2966" t="s">
        <v>4</v>
      </c>
      <c r="G2966" t="str">
        <f t="shared" si="46"/>
        <v>2022-12</v>
      </c>
    </row>
    <row r="2967" spans="1:7" x14ac:dyDescent="0.3">
      <c r="A2967">
        <v>4072</v>
      </c>
      <c r="B2967" t="s">
        <v>23</v>
      </c>
      <c r="C2967" s="7">
        <v>151</v>
      </c>
      <c r="D2967" s="1">
        <v>44948</v>
      </c>
      <c r="E2967" s="29">
        <v>3.9</v>
      </c>
      <c r="F2967" t="s">
        <v>1</v>
      </c>
      <c r="G2967" t="str">
        <f t="shared" si="46"/>
        <v>2023-01</v>
      </c>
    </row>
    <row r="2968" spans="1:7" x14ac:dyDescent="0.3">
      <c r="A2968">
        <v>4017</v>
      </c>
      <c r="B2968" t="s">
        <v>49</v>
      </c>
      <c r="C2968" s="7">
        <v>156</v>
      </c>
      <c r="D2968" s="1">
        <v>45082</v>
      </c>
      <c r="E2968" s="29">
        <v>4.5</v>
      </c>
      <c r="F2968" t="s">
        <v>1</v>
      </c>
      <c r="G2968" t="str">
        <f t="shared" si="46"/>
        <v>2023-06</v>
      </c>
    </row>
    <row r="2969" spans="1:7" x14ac:dyDescent="0.3">
      <c r="A2969">
        <v>4058</v>
      </c>
      <c r="B2969" t="s">
        <v>31</v>
      </c>
      <c r="C2969" s="7">
        <v>49</v>
      </c>
      <c r="D2969" s="1">
        <v>44911</v>
      </c>
      <c r="E2969" s="29">
        <v>2.6590163934426201</v>
      </c>
      <c r="F2969" t="s">
        <v>4</v>
      </c>
      <c r="G2969" t="str">
        <f t="shared" si="46"/>
        <v>2022-12</v>
      </c>
    </row>
    <row r="2970" spans="1:7" x14ac:dyDescent="0.3">
      <c r="A2970">
        <v>4012</v>
      </c>
      <c r="B2970" t="s">
        <v>46</v>
      </c>
      <c r="C2970" s="7">
        <v>118.531914893617</v>
      </c>
      <c r="D2970" s="1">
        <v>45137</v>
      </c>
      <c r="E2970" s="29">
        <v>3.3</v>
      </c>
      <c r="F2970" t="s">
        <v>4</v>
      </c>
      <c r="G2970" t="str">
        <f t="shared" si="46"/>
        <v>2023-07</v>
      </c>
    </row>
    <row r="2971" spans="1:7" x14ac:dyDescent="0.3">
      <c r="A2971">
        <v>4035</v>
      </c>
      <c r="B2971" t="s">
        <v>10</v>
      </c>
      <c r="C2971" s="7">
        <v>49</v>
      </c>
      <c r="D2971" s="1">
        <v>45120</v>
      </c>
      <c r="E2971" s="29">
        <v>3.9</v>
      </c>
      <c r="F2971" t="s">
        <v>1</v>
      </c>
      <c r="G2971" t="str">
        <f t="shared" si="46"/>
        <v>2023-07</v>
      </c>
    </row>
    <row r="2972" spans="1:7" x14ac:dyDescent="0.3">
      <c r="A2972">
        <v>4065</v>
      </c>
      <c r="B2972" t="s">
        <v>15</v>
      </c>
      <c r="C2972" s="7">
        <v>103.108695652173</v>
      </c>
      <c r="D2972" s="1">
        <v>44909</v>
      </c>
      <c r="E2972" s="29">
        <v>2.4</v>
      </c>
      <c r="F2972" t="s">
        <v>1</v>
      </c>
      <c r="G2972" t="str">
        <f t="shared" si="46"/>
        <v>2022-12</v>
      </c>
    </row>
    <row r="2973" spans="1:7" x14ac:dyDescent="0.3">
      <c r="A2973">
        <v>4053</v>
      </c>
      <c r="B2973" t="s">
        <v>35</v>
      </c>
      <c r="C2973" s="7">
        <v>159</v>
      </c>
      <c r="D2973" s="1">
        <v>45034</v>
      </c>
      <c r="E2973" s="29">
        <v>3.4933333333333301</v>
      </c>
      <c r="F2973" t="s">
        <v>4</v>
      </c>
      <c r="G2973" t="str">
        <f t="shared" si="46"/>
        <v>2023-04</v>
      </c>
    </row>
    <row r="2974" spans="1:7" x14ac:dyDescent="0.3">
      <c r="A2974">
        <v>4103</v>
      </c>
      <c r="B2974" t="s">
        <v>31</v>
      </c>
      <c r="C2974" s="7">
        <v>75</v>
      </c>
      <c r="D2974" s="1">
        <v>45119</v>
      </c>
      <c r="E2974" s="29">
        <v>2.9</v>
      </c>
      <c r="F2974" t="s">
        <v>1</v>
      </c>
      <c r="G2974" t="str">
        <f t="shared" si="46"/>
        <v>2023-07</v>
      </c>
    </row>
    <row r="2975" spans="1:7" x14ac:dyDescent="0.3">
      <c r="A2975">
        <v>3997</v>
      </c>
      <c r="B2975" t="s">
        <v>39</v>
      </c>
      <c r="C2975" s="7">
        <v>33</v>
      </c>
      <c r="D2975" s="1">
        <v>45146</v>
      </c>
      <c r="E2975" s="29">
        <v>3.9</v>
      </c>
      <c r="F2975" t="s">
        <v>1</v>
      </c>
      <c r="G2975" t="str">
        <f t="shared" si="46"/>
        <v>2023-08</v>
      </c>
    </row>
    <row r="2976" spans="1:7" x14ac:dyDescent="0.3">
      <c r="A2976">
        <v>4052</v>
      </c>
      <c r="B2976" t="s">
        <v>39</v>
      </c>
      <c r="C2976" s="7">
        <v>155</v>
      </c>
      <c r="D2976" s="1">
        <v>44954</v>
      </c>
      <c r="E2976" s="29">
        <v>3.4</v>
      </c>
      <c r="F2976" t="s">
        <v>1</v>
      </c>
      <c r="G2976" t="str">
        <f t="shared" si="46"/>
        <v>2023-01</v>
      </c>
    </row>
    <row r="2977" spans="1:7" x14ac:dyDescent="0.3">
      <c r="A2977">
        <v>4022</v>
      </c>
      <c r="B2977" t="s">
        <v>33</v>
      </c>
      <c r="C2977" s="7">
        <v>197</v>
      </c>
      <c r="D2977" s="1">
        <v>44950</v>
      </c>
      <c r="E2977" s="29">
        <v>1</v>
      </c>
      <c r="F2977" t="s">
        <v>1</v>
      </c>
      <c r="G2977" t="str">
        <f t="shared" si="46"/>
        <v>2023-01</v>
      </c>
    </row>
    <row r="2978" spans="1:7" x14ac:dyDescent="0.3">
      <c r="A2978">
        <v>4097</v>
      </c>
      <c r="B2978" t="s">
        <v>39</v>
      </c>
      <c r="C2978" s="7">
        <v>108.54716981132</v>
      </c>
      <c r="D2978" s="1">
        <v>44976</v>
      </c>
      <c r="E2978" s="29">
        <v>2.9</v>
      </c>
      <c r="F2978" t="s">
        <v>4</v>
      </c>
      <c r="G2978" t="str">
        <f t="shared" si="46"/>
        <v>2023-02</v>
      </c>
    </row>
    <row r="2979" spans="1:7" x14ac:dyDescent="0.3">
      <c r="A2979">
        <v>3978</v>
      </c>
      <c r="B2979" t="s">
        <v>41</v>
      </c>
      <c r="C2979" s="7">
        <v>133</v>
      </c>
      <c r="D2979" s="1">
        <v>45197</v>
      </c>
      <c r="E2979" s="29">
        <v>3.4</v>
      </c>
      <c r="F2979" t="s">
        <v>1</v>
      </c>
      <c r="G2979" t="str">
        <f t="shared" si="46"/>
        <v>2023-09</v>
      </c>
    </row>
    <row r="2980" spans="1:7" x14ac:dyDescent="0.3">
      <c r="A2980">
        <v>3991</v>
      </c>
      <c r="B2980" t="s">
        <v>27</v>
      </c>
      <c r="C2980" s="7">
        <v>103.98245614035</v>
      </c>
      <c r="D2980" s="1">
        <v>45097</v>
      </c>
      <c r="E2980" s="29">
        <v>3.2016129032257998</v>
      </c>
      <c r="F2980" t="s">
        <v>1</v>
      </c>
      <c r="G2980" t="str">
        <f t="shared" si="46"/>
        <v>2023-06</v>
      </c>
    </row>
    <row r="2981" spans="1:7" x14ac:dyDescent="0.3">
      <c r="A2981">
        <v>3978</v>
      </c>
      <c r="B2981" t="s">
        <v>38</v>
      </c>
      <c r="C2981" s="7">
        <v>186</v>
      </c>
      <c r="D2981" s="1">
        <v>45175</v>
      </c>
      <c r="E2981" s="29">
        <v>1.6</v>
      </c>
      <c r="F2981" t="s">
        <v>4</v>
      </c>
      <c r="G2981" t="str">
        <f t="shared" si="46"/>
        <v>2023-09</v>
      </c>
    </row>
    <row r="2982" spans="1:7" x14ac:dyDescent="0.3">
      <c r="A2982">
        <v>4032</v>
      </c>
      <c r="B2982" t="s">
        <v>20</v>
      </c>
      <c r="C2982" s="7">
        <v>34</v>
      </c>
      <c r="D2982" s="1">
        <v>45059</v>
      </c>
      <c r="E2982" s="29">
        <v>2.8545454545454501</v>
      </c>
      <c r="F2982" t="s">
        <v>1</v>
      </c>
      <c r="G2982" t="str">
        <f t="shared" si="46"/>
        <v>2023-05</v>
      </c>
    </row>
    <row r="2983" spans="1:7" x14ac:dyDescent="0.3">
      <c r="A2983">
        <v>4070</v>
      </c>
      <c r="B2983" t="s">
        <v>26</v>
      </c>
      <c r="C2983" s="7">
        <v>86</v>
      </c>
      <c r="D2983" s="1">
        <v>45174</v>
      </c>
      <c r="E2983" s="29">
        <v>1.6</v>
      </c>
      <c r="F2983" t="s">
        <v>1</v>
      </c>
      <c r="G2983" t="str">
        <f t="shared" si="46"/>
        <v>2023-09</v>
      </c>
    </row>
    <row r="2984" spans="1:7" x14ac:dyDescent="0.3">
      <c r="A2984">
        <v>4089</v>
      </c>
      <c r="B2984" t="s">
        <v>25</v>
      </c>
      <c r="C2984" s="7">
        <v>112.745762711864</v>
      </c>
      <c r="D2984" s="1">
        <v>44991</v>
      </c>
      <c r="E2984" s="29">
        <v>1.5</v>
      </c>
      <c r="F2984" t="s">
        <v>4</v>
      </c>
      <c r="G2984" t="str">
        <f t="shared" si="46"/>
        <v>2023-03</v>
      </c>
    </row>
    <row r="2985" spans="1:7" x14ac:dyDescent="0.3">
      <c r="A2985">
        <v>4047</v>
      </c>
      <c r="B2985" t="s">
        <v>37</v>
      </c>
      <c r="C2985" s="7">
        <v>107</v>
      </c>
      <c r="D2985" s="1">
        <v>45147</v>
      </c>
      <c r="E2985" s="29">
        <v>3.8</v>
      </c>
      <c r="F2985" t="s">
        <v>4</v>
      </c>
      <c r="G2985" t="str">
        <f t="shared" si="46"/>
        <v>2023-08</v>
      </c>
    </row>
    <row r="2986" spans="1:7" x14ac:dyDescent="0.3">
      <c r="A2986">
        <v>4015</v>
      </c>
      <c r="B2986" t="s">
        <v>51</v>
      </c>
      <c r="C2986" s="7">
        <v>105.1</v>
      </c>
      <c r="D2986" s="1">
        <v>45068</v>
      </c>
      <c r="E2986" s="29">
        <v>2.9</v>
      </c>
      <c r="F2986" t="s">
        <v>1</v>
      </c>
      <c r="G2986" t="str">
        <f t="shared" si="46"/>
        <v>2023-05</v>
      </c>
    </row>
    <row r="2987" spans="1:7" x14ac:dyDescent="0.3">
      <c r="A2987">
        <v>4106</v>
      </c>
      <c r="B2987" t="s">
        <v>10</v>
      </c>
      <c r="C2987" s="7">
        <v>120.375</v>
      </c>
      <c r="D2987" s="1">
        <v>44859</v>
      </c>
      <c r="E2987" s="29">
        <v>1.2</v>
      </c>
      <c r="F2987" t="s">
        <v>4</v>
      </c>
      <c r="G2987" t="str">
        <f t="shared" si="46"/>
        <v>2022-10</v>
      </c>
    </row>
    <row r="2988" spans="1:7" x14ac:dyDescent="0.3">
      <c r="A2988">
        <v>3967</v>
      </c>
      <c r="B2988" t="s">
        <v>14</v>
      </c>
      <c r="C2988" s="7">
        <v>99</v>
      </c>
      <c r="D2988" s="1">
        <v>44960</v>
      </c>
      <c r="E2988" s="29">
        <v>4</v>
      </c>
      <c r="F2988" t="s">
        <v>4</v>
      </c>
      <c r="G2988" t="str">
        <f t="shared" si="46"/>
        <v>2023-02</v>
      </c>
    </row>
    <row r="2989" spans="1:7" x14ac:dyDescent="0.3">
      <c r="A2989">
        <v>4076</v>
      </c>
      <c r="B2989" t="s">
        <v>7</v>
      </c>
      <c r="C2989" s="7">
        <v>121</v>
      </c>
      <c r="D2989" s="1">
        <v>44997</v>
      </c>
      <c r="E2989" s="29">
        <v>2.8953488372092999</v>
      </c>
      <c r="F2989" t="s">
        <v>1</v>
      </c>
      <c r="G2989" t="str">
        <f t="shared" si="46"/>
        <v>2023-03</v>
      </c>
    </row>
    <row r="2990" spans="1:7" x14ac:dyDescent="0.3">
      <c r="A2990">
        <v>4088</v>
      </c>
      <c r="B2990" t="s">
        <v>24</v>
      </c>
      <c r="C2990" s="7">
        <v>40</v>
      </c>
      <c r="D2990" s="1">
        <v>44858</v>
      </c>
      <c r="E2990" s="29">
        <v>2.6</v>
      </c>
      <c r="F2990" t="s">
        <v>1</v>
      </c>
      <c r="G2990" t="str">
        <f t="shared" si="46"/>
        <v>2022-10</v>
      </c>
    </row>
    <row r="2991" spans="1:7" x14ac:dyDescent="0.3">
      <c r="A2991">
        <v>4116</v>
      </c>
      <c r="B2991" t="s">
        <v>12</v>
      </c>
      <c r="C2991" s="7">
        <v>68</v>
      </c>
      <c r="D2991" s="1">
        <v>45051</v>
      </c>
      <c r="E2991" s="29">
        <v>1.7</v>
      </c>
      <c r="F2991" t="s">
        <v>1</v>
      </c>
      <c r="G2991" t="str">
        <f t="shared" si="46"/>
        <v>2023-05</v>
      </c>
    </row>
    <row r="2992" spans="1:7" x14ac:dyDescent="0.3">
      <c r="A2992">
        <v>4043</v>
      </c>
      <c r="B2992" t="s">
        <v>36</v>
      </c>
      <c r="C2992" s="7">
        <v>164</v>
      </c>
      <c r="D2992" s="1">
        <v>45087</v>
      </c>
      <c r="E2992" s="29">
        <v>3.9</v>
      </c>
      <c r="F2992" t="s">
        <v>4</v>
      </c>
      <c r="G2992" t="str">
        <f t="shared" si="46"/>
        <v>2023-06</v>
      </c>
    </row>
    <row r="2993" spans="1:7" x14ac:dyDescent="0.3">
      <c r="A2993">
        <v>4066</v>
      </c>
      <c r="B2993" t="s">
        <v>23</v>
      </c>
      <c r="C2993" s="7">
        <v>172</v>
      </c>
      <c r="D2993" s="1">
        <v>45003</v>
      </c>
      <c r="E2993" s="29">
        <v>3.9</v>
      </c>
      <c r="F2993" t="s">
        <v>1</v>
      </c>
      <c r="G2993" t="str">
        <f t="shared" si="46"/>
        <v>2023-03</v>
      </c>
    </row>
    <row r="2994" spans="1:7" x14ac:dyDescent="0.3">
      <c r="A2994">
        <v>4072</v>
      </c>
      <c r="B2994" t="s">
        <v>47</v>
      </c>
      <c r="C2994" s="7">
        <v>107</v>
      </c>
      <c r="D2994" s="1">
        <v>45071</v>
      </c>
      <c r="E2994" s="29">
        <v>4.7</v>
      </c>
      <c r="F2994" t="s">
        <v>1</v>
      </c>
      <c r="G2994" t="str">
        <f t="shared" si="46"/>
        <v>2023-05</v>
      </c>
    </row>
    <row r="2995" spans="1:7" x14ac:dyDescent="0.3">
      <c r="A2995">
        <v>4076</v>
      </c>
      <c r="B2995" t="s">
        <v>50</v>
      </c>
      <c r="C2995" s="7">
        <v>123.21818181818099</v>
      </c>
      <c r="D2995" s="1">
        <v>45097</v>
      </c>
      <c r="E2995" s="29">
        <v>4.7</v>
      </c>
      <c r="F2995" t="s">
        <v>1</v>
      </c>
      <c r="G2995" t="str">
        <f t="shared" si="46"/>
        <v>2023-06</v>
      </c>
    </row>
    <row r="2996" spans="1:7" x14ac:dyDescent="0.3">
      <c r="A2996">
        <v>4067</v>
      </c>
      <c r="B2996" t="s">
        <v>38</v>
      </c>
      <c r="C2996" s="7">
        <v>91</v>
      </c>
      <c r="D2996" s="1">
        <v>45150</v>
      </c>
      <c r="E2996" s="29">
        <v>3.5</v>
      </c>
      <c r="F2996" t="s">
        <v>4</v>
      </c>
      <c r="G2996" t="str">
        <f t="shared" si="46"/>
        <v>2023-08</v>
      </c>
    </row>
    <row r="2997" spans="1:7" x14ac:dyDescent="0.3">
      <c r="A2997">
        <v>4061</v>
      </c>
      <c r="B2997" t="s">
        <v>50</v>
      </c>
      <c r="C2997" s="7">
        <v>48</v>
      </c>
      <c r="D2997" s="1">
        <v>45047</v>
      </c>
      <c r="E2997" s="29">
        <v>1.1000000000000001</v>
      </c>
      <c r="F2997" t="s">
        <v>4</v>
      </c>
      <c r="G2997" t="str">
        <f t="shared" si="46"/>
        <v>2023-05</v>
      </c>
    </row>
    <row r="2998" spans="1:7" x14ac:dyDescent="0.3">
      <c r="A2998">
        <v>4051</v>
      </c>
      <c r="B2998" t="s">
        <v>37</v>
      </c>
      <c r="C2998" s="7">
        <v>188</v>
      </c>
      <c r="D2998" s="1">
        <v>45101</v>
      </c>
      <c r="E2998" s="29">
        <v>2.7</v>
      </c>
      <c r="F2998" t="s">
        <v>4</v>
      </c>
      <c r="G2998" t="str">
        <f t="shared" si="46"/>
        <v>2023-06</v>
      </c>
    </row>
    <row r="2999" spans="1:7" x14ac:dyDescent="0.3">
      <c r="A2999">
        <v>4084</v>
      </c>
      <c r="B2999" t="s">
        <v>38</v>
      </c>
      <c r="C2999" s="7">
        <v>22</v>
      </c>
      <c r="D2999" s="1">
        <v>44951</v>
      </c>
      <c r="E2999" s="29">
        <v>3.1</v>
      </c>
      <c r="F2999" t="s">
        <v>1</v>
      </c>
      <c r="G2999" t="str">
        <f t="shared" si="46"/>
        <v>2023-01</v>
      </c>
    </row>
    <row r="3000" spans="1:7" x14ac:dyDescent="0.3">
      <c r="A3000">
        <v>4038</v>
      </c>
      <c r="B3000" t="s">
        <v>15</v>
      </c>
      <c r="C3000" s="7">
        <v>110</v>
      </c>
      <c r="D3000" s="1">
        <v>44933</v>
      </c>
      <c r="E3000" s="29">
        <v>2.8</v>
      </c>
      <c r="F3000" t="s">
        <v>1</v>
      </c>
      <c r="G3000" t="str">
        <f t="shared" si="46"/>
        <v>2023-01</v>
      </c>
    </row>
    <row r="3001" spans="1:7" x14ac:dyDescent="0.3">
      <c r="A3001">
        <v>4026</v>
      </c>
      <c r="B3001" t="s">
        <v>15</v>
      </c>
      <c r="C3001" s="7">
        <v>162</v>
      </c>
      <c r="D3001" s="1">
        <v>45009</v>
      </c>
      <c r="E3001" s="29">
        <v>4.2</v>
      </c>
      <c r="F3001" t="s">
        <v>1</v>
      </c>
      <c r="G3001" t="str">
        <f t="shared" si="46"/>
        <v>2023-03</v>
      </c>
    </row>
    <row r="3002" spans="1:7" x14ac:dyDescent="0.3">
      <c r="A3002">
        <v>4054</v>
      </c>
      <c r="B3002" t="s">
        <v>38</v>
      </c>
      <c r="C3002" s="7">
        <v>33</v>
      </c>
      <c r="D3002" s="1">
        <v>45017</v>
      </c>
      <c r="E3002" s="29">
        <v>1.4</v>
      </c>
      <c r="F3002" t="s">
        <v>1</v>
      </c>
      <c r="G3002" t="str">
        <f t="shared" si="46"/>
        <v>2023-04</v>
      </c>
    </row>
    <row r="3003" spans="1:7" x14ac:dyDescent="0.3">
      <c r="A3003">
        <v>3963</v>
      </c>
      <c r="B3003" t="s">
        <v>17</v>
      </c>
      <c r="C3003" s="7">
        <v>84</v>
      </c>
      <c r="D3003" s="1">
        <v>45189</v>
      </c>
      <c r="E3003" s="29">
        <v>2.1</v>
      </c>
      <c r="F3003" t="s">
        <v>1</v>
      </c>
      <c r="G3003" t="str">
        <f t="shared" si="46"/>
        <v>2023-09</v>
      </c>
    </row>
    <row r="3004" spans="1:7" x14ac:dyDescent="0.3">
      <c r="A3004">
        <v>4002</v>
      </c>
      <c r="B3004" t="s">
        <v>35</v>
      </c>
      <c r="C3004" s="7">
        <v>47</v>
      </c>
      <c r="D3004" s="1">
        <v>45064</v>
      </c>
      <c r="E3004" s="29">
        <v>2.1</v>
      </c>
      <c r="F3004" t="s">
        <v>1</v>
      </c>
      <c r="G3004" t="str">
        <f t="shared" si="46"/>
        <v>2023-05</v>
      </c>
    </row>
    <row r="3005" spans="1:7" x14ac:dyDescent="0.3">
      <c r="A3005">
        <v>4070</v>
      </c>
      <c r="B3005" t="s">
        <v>17</v>
      </c>
      <c r="C3005" s="7">
        <v>119.195652173913</v>
      </c>
      <c r="D3005" s="1">
        <v>44842</v>
      </c>
      <c r="E3005" s="29">
        <v>3.7</v>
      </c>
      <c r="F3005" t="s">
        <v>4</v>
      </c>
      <c r="G3005" t="str">
        <f t="shared" si="46"/>
        <v>2022-10</v>
      </c>
    </row>
    <row r="3006" spans="1:7" x14ac:dyDescent="0.3">
      <c r="A3006">
        <v>4016</v>
      </c>
      <c r="B3006" t="s">
        <v>49</v>
      </c>
      <c r="C3006" s="7">
        <v>114.217391304347</v>
      </c>
      <c r="D3006" s="1">
        <v>45085</v>
      </c>
      <c r="E3006" s="29">
        <v>1.6</v>
      </c>
      <c r="F3006" t="s">
        <v>1</v>
      </c>
      <c r="G3006" t="str">
        <f t="shared" si="46"/>
        <v>2023-06</v>
      </c>
    </row>
    <row r="3007" spans="1:7" x14ac:dyDescent="0.3">
      <c r="A3007">
        <v>4024</v>
      </c>
      <c r="B3007" t="s">
        <v>15</v>
      </c>
      <c r="C3007" s="7">
        <v>22</v>
      </c>
      <c r="D3007" s="1">
        <v>45062</v>
      </c>
      <c r="E3007" s="29">
        <v>1</v>
      </c>
      <c r="F3007" t="s">
        <v>1</v>
      </c>
      <c r="G3007" t="str">
        <f t="shared" si="46"/>
        <v>2023-05</v>
      </c>
    </row>
    <row r="3008" spans="1:7" x14ac:dyDescent="0.3">
      <c r="A3008">
        <v>4122</v>
      </c>
      <c r="B3008" t="s">
        <v>33</v>
      </c>
      <c r="C3008" s="7">
        <v>77</v>
      </c>
      <c r="D3008" s="1">
        <v>44956</v>
      </c>
      <c r="E3008" s="29">
        <v>4.9000000000000004</v>
      </c>
      <c r="F3008" t="s">
        <v>1</v>
      </c>
      <c r="G3008" t="str">
        <f t="shared" si="46"/>
        <v>2023-01</v>
      </c>
    </row>
    <row r="3009" spans="1:7" x14ac:dyDescent="0.3">
      <c r="A3009">
        <v>3976</v>
      </c>
      <c r="B3009" t="s">
        <v>13</v>
      </c>
      <c r="C3009" s="7">
        <v>112.64705882352899</v>
      </c>
      <c r="D3009" s="1">
        <v>44887</v>
      </c>
      <c r="E3009" s="29">
        <v>2.1</v>
      </c>
      <c r="F3009" t="s">
        <v>1</v>
      </c>
      <c r="G3009" t="str">
        <f t="shared" si="46"/>
        <v>2022-11</v>
      </c>
    </row>
    <row r="3010" spans="1:7" x14ac:dyDescent="0.3">
      <c r="A3010">
        <v>4048</v>
      </c>
      <c r="B3010" t="s">
        <v>10</v>
      </c>
      <c r="C3010" s="7">
        <v>188</v>
      </c>
      <c r="D3010" s="1">
        <v>44923</v>
      </c>
      <c r="E3010" s="29">
        <v>4.4000000000000004</v>
      </c>
      <c r="F3010" t="s">
        <v>1</v>
      </c>
      <c r="G3010" t="str">
        <f t="shared" si="46"/>
        <v>2022-12</v>
      </c>
    </row>
    <row r="3011" spans="1:7" x14ac:dyDescent="0.3">
      <c r="A3011">
        <v>3978</v>
      </c>
      <c r="B3011" t="s">
        <v>45</v>
      </c>
      <c r="C3011" s="7">
        <v>111.564102564102</v>
      </c>
      <c r="D3011" s="1">
        <v>45172</v>
      </c>
      <c r="E3011" s="29">
        <v>3.8</v>
      </c>
      <c r="F3011" t="s">
        <v>1</v>
      </c>
      <c r="G3011" t="str">
        <f t="shared" ref="G3011:G3074" si="47">TEXT(D3011,"ГГГГ-ММ")</f>
        <v>2023-09</v>
      </c>
    </row>
    <row r="3012" spans="1:7" x14ac:dyDescent="0.3">
      <c r="A3012">
        <v>4032</v>
      </c>
      <c r="B3012" t="s">
        <v>39</v>
      </c>
      <c r="C3012" s="7">
        <v>108.54716981132</v>
      </c>
      <c r="D3012" s="1">
        <v>44947</v>
      </c>
      <c r="E3012" s="29">
        <v>4.9000000000000004</v>
      </c>
      <c r="F3012" t="s">
        <v>4</v>
      </c>
      <c r="G3012" t="str">
        <f t="shared" si="47"/>
        <v>2023-01</v>
      </c>
    </row>
    <row r="3013" spans="1:7" x14ac:dyDescent="0.3">
      <c r="A3013">
        <v>4085</v>
      </c>
      <c r="B3013" t="s">
        <v>3</v>
      </c>
      <c r="C3013" s="7">
        <v>134</v>
      </c>
      <c r="D3013" s="1">
        <v>44887</v>
      </c>
      <c r="E3013" s="29">
        <v>4.4000000000000004</v>
      </c>
      <c r="F3013" t="s">
        <v>1</v>
      </c>
      <c r="G3013" t="str">
        <f t="shared" si="47"/>
        <v>2022-11</v>
      </c>
    </row>
    <row r="3014" spans="1:7" x14ac:dyDescent="0.3">
      <c r="A3014">
        <v>4088</v>
      </c>
      <c r="B3014" t="s">
        <v>34</v>
      </c>
      <c r="C3014" s="7">
        <v>156</v>
      </c>
      <c r="D3014" s="1">
        <v>45001</v>
      </c>
      <c r="E3014" s="29">
        <v>3.0125000000000002</v>
      </c>
      <c r="F3014" t="s">
        <v>4</v>
      </c>
      <c r="G3014" t="str">
        <f t="shared" si="47"/>
        <v>2023-03</v>
      </c>
    </row>
    <row r="3015" spans="1:7" x14ac:dyDescent="0.3">
      <c r="A3015">
        <v>4096</v>
      </c>
      <c r="B3015" t="s">
        <v>36</v>
      </c>
      <c r="C3015" s="7">
        <v>90.925925925925895</v>
      </c>
      <c r="D3015" s="1">
        <v>45004</v>
      </c>
      <c r="E3015" s="29">
        <v>3.6</v>
      </c>
      <c r="F3015" t="s">
        <v>1</v>
      </c>
      <c r="G3015" t="str">
        <f t="shared" si="47"/>
        <v>2023-03</v>
      </c>
    </row>
    <row r="3016" spans="1:7" x14ac:dyDescent="0.3">
      <c r="A3016">
        <v>4121</v>
      </c>
      <c r="B3016" t="s">
        <v>43</v>
      </c>
      <c r="C3016" s="7">
        <v>198</v>
      </c>
      <c r="D3016" s="1">
        <v>45010</v>
      </c>
      <c r="E3016" s="29">
        <v>1.9</v>
      </c>
      <c r="F3016" t="s">
        <v>1</v>
      </c>
      <c r="G3016" t="str">
        <f t="shared" si="47"/>
        <v>2023-03</v>
      </c>
    </row>
    <row r="3017" spans="1:7" x14ac:dyDescent="0.3">
      <c r="A3017">
        <v>3977</v>
      </c>
      <c r="B3017" t="s">
        <v>10</v>
      </c>
      <c r="C3017" s="7">
        <v>72</v>
      </c>
      <c r="D3017" s="1">
        <v>45159</v>
      </c>
      <c r="E3017" s="29">
        <v>3.4</v>
      </c>
      <c r="F3017" t="s">
        <v>1</v>
      </c>
      <c r="G3017" t="str">
        <f t="shared" si="47"/>
        <v>2023-08</v>
      </c>
    </row>
    <row r="3018" spans="1:7" x14ac:dyDescent="0.3">
      <c r="A3018">
        <v>4027</v>
      </c>
      <c r="B3018" t="s">
        <v>45</v>
      </c>
      <c r="C3018" s="7">
        <v>111.564102564102</v>
      </c>
      <c r="D3018" s="1">
        <v>44857</v>
      </c>
      <c r="E3018" s="29">
        <v>3.8</v>
      </c>
      <c r="F3018" t="s">
        <v>4</v>
      </c>
      <c r="G3018" t="str">
        <f t="shared" si="47"/>
        <v>2022-10</v>
      </c>
    </row>
    <row r="3019" spans="1:7" x14ac:dyDescent="0.3">
      <c r="A3019">
        <v>4015</v>
      </c>
      <c r="B3019" t="s">
        <v>20</v>
      </c>
      <c r="C3019" s="7">
        <v>92</v>
      </c>
      <c r="D3019" s="1">
        <v>45184</v>
      </c>
      <c r="E3019" s="29">
        <v>1.1000000000000001</v>
      </c>
      <c r="F3019" t="s">
        <v>4</v>
      </c>
      <c r="G3019" t="str">
        <f t="shared" si="47"/>
        <v>2023-09</v>
      </c>
    </row>
    <row r="3020" spans="1:7" x14ac:dyDescent="0.3">
      <c r="A3020">
        <v>3982</v>
      </c>
      <c r="B3020" t="s">
        <v>41</v>
      </c>
      <c r="C3020" s="7">
        <v>157</v>
      </c>
      <c r="D3020" s="1">
        <v>44998</v>
      </c>
      <c r="E3020" s="29">
        <v>2.70806451612903</v>
      </c>
      <c r="F3020" t="s">
        <v>1</v>
      </c>
      <c r="G3020" t="str">
        <f t="shared" si="47"/>
        <v>2023-03</v>
      </c>
    </row>
    <row r="3021" spans="1:7" x14ac:dyDescent="0.3">
      <c r="A3021">
        <v>3987</v>
      </c>
      <c r="B3021" t="s">
        <v>16</v>
      </c>
      <c r="C3021" s="7">
        <v>110.56666666666599</v>
      </c>
      <c r="D3021" s="1">
        <v>45061</v>
      </c>
      <c r="E3021" s="29">
        <v>1.5</v>
      </c>
      <c r="F3021" t="s">
        <v>4</v>
      </c>
      <c r="G3021" t="str">
        <f t="shared" si="47"/>
        <v>2023-05</v>
      </c>
    </row>
    <row r="3022" spans="1:7" x14ac:dyDescent="0.3">
      <c r="A3022">
        <v>3975</v>
      </c>
      <c r="B3022" t="s">
        <v>21</v>
      </c>
      <c r="C3022" s="7">
        <v>118</v>
      </c>
      <c r="D3022" s="1">
        <v>45182</v>
      </c>
      <c r="E3022" s="29">
        <v>2.7</v>
      </c>
      <c r="F3022" t="s">
        <v>4</v>
      </c>
      <c r="G3022" t="str">
        <f t="shared" si="47"/>
        <v>2023-09</v>
      </c>
    </row>
    <row r="3023" spans="1:7" x14ac:dyDescent="0.3">
      <c r="A3023">
        <v>4049</v>
      </c>
      <c r="B3023" t="s">
        <v>13</v>
      </c>
      <c r="C3023" s="7">
        <v>58</v>
      </c>
      <c r="D3023" s="1">
        <v>44852</v>
      </c>
      <c r="E3023" s="29">
        <v>2.2999999999999998</v>
      </c>
      <c r="F3023" t="s">
        <v>4</v>
      </c>
      <c r="G3023" t="str">
        <f t="shared" si="47"/>
        <v>2022-10</v>
      </c>
    </row>
    <row r="3024" spans="1:7" x14ac:dyDescent="0.3">
      <c r="A3024">
        <v>3966</v>
      </c>
      <c r="B3024" t="s">
        <v>44</v>
      </c>
      <c r="C3024" s="7">
        <v>162</v>
      </c>
      <c r="D3024" s="1">
        <v>45019</v>
      </c>
      <c r="E3024" s="29">
        <v>2.2000000000000002</v>
      </c>
      <c r="F3024" t="s">
        <v>4</v>
      </c>
      <c r="G3024" t="str">
        <f t="shared" si="47"/>
        <v>2023-04</v>
      </c>
    </row>
    <row r="3025" spans="1:7" x14ac:dyDescent="0.3">
      <c r="A3025">
        <v>4096</v>
      </c>
      <c r="B3025" t="s">
        <v>10</v>
      </c>
      <c r="C3025" s="7">
        <v>88</v>
      </c>
      <c r="D3025" s="1">
        <v>44901</v>
      </c>
      <c r="E3025" s="29">
        <v>1.8</v>
      </c>
      <c r="F3025" t="s">
        <v>1</v>
      </c>
      <c r="G3025" t="str">
        <f t="shared" si="47"/>
        <v>2022-12</v>
      </c>
    </row>
    <row r="3026" spans="1:7" x14ac:dyDescent="0.3">
      <c r="A3026">
        <v>4008</v>
      </c>
      <c r="B3026" t="s">
        <v>44</v>
      </c>
      <c r="C3026" s="7">
        <v>106.72413793103399</v>
      </c>
      <c r="D3026" s="1">
        <v>45165</v>
      </c>
      <c r="E3026" s="29">
        <v>2.92063492063492</v>
      </c>
      <c r="F3026" t="s">
        <v>4</v>
      </c>
      <c r="G3026" t="str">
        <f t="shared" si="47"/>
        <v>2023-08</v>
      </c>
    </row>
    <row r="3027" spans="1:7" x14ac:dyDescent="0.3">
      <c r="A3027">
        <v>4042</v>
      </c>
      <c r="B3027" t="s">
        <v>22</v>
      </c>
      <c r="C3027" s="7">
        <v>123</v>
      </c>
      <c r="D3027" s="1">
        <v>44883</v>
      </c>
      <c r="E3027" s="29">
        <v>4.5999999999999996</v>
      </c>
      <c r="F3027" t="s">
        <v>4</v>
      </c>
      <c r="G3027" t="str">
        <f t="shared" si="47"/>
        <v>2022-11</v>
      </c>
    </row>
    <row r="3028" spans="1:7" x14ac:dyDescent="0.3">
      <c r="A3028">
        <v>4007</v>
      </c>
      <c r="B3028" t="s">
        <v>28</v>
      </c>
      <c r="C3028" s="7">
        <v>122</v>
      </c>
      <c r="D3028" s="1">
        <v>45104</v>
      </c>
      <c r="E3028" s="29">
        <v>1.1000000000000001</v>
      </c>
      <c r="F3028" t="s">
        <v>4</v>
      </c>
      <c r="G3028" t="str">
        <f t="shared" si="47"/>
        <v>2023-06</v>
      </c>
    </row>
    <row r="3029" spans="1:7" x14ac:dyDescent="0.3">
      <c r="A3029">
        <v>4041</v>
      </c>
      <c r="B3029" t="s">
        <v>38</v>
      </c>
      <c r="C3029" s="7">
        <v>103.222222222222</v>
      </c>
      <c r="D3029" s="1">
        <v>45080</v>
      </c>
      <c r="E3029" s="29">
        <v>4.7</v>
      </c>
      <c r="F3029" t="s">
        <v>1</v>
      </c>
      <c r="G3029" t="str">
        <f t="shared" si="47"/>
        <v>2023-06</v>
      </c>
    </row>
    <row r="3030" spans="1:7" x14ac:dyDescent="0.3">
      <c r="A3030">
        <v>4021</v>
      </c>
      <c r="B3030" t="s">
        <v>13</v>
      </c>
      <c r="C3030" s="7">
        <v>61</v>
      </c>
      <c r="D3030" s="1">
        <v>45152</v>
      </c>
      <c r="E3030" s="29">
        <v>2.4</v>
      </c>
      <c r="F3030" t="s">
        <v>4</v>
      </c>
      <c r="G3030" t="str">
        <f t="shared" si="47"/>
        <v>2023-08</v>
      </c>
    </row>
    <row r="3031" spans="1:7" x14ac:dyDescent="0.3">
      <c r="A3031">
        <v>4034</v>
      </c>
      <c r="B3031" t="s">
        <v>14</v>
      </c>
      <c r="C3031" s="7">
        <v>49</v>
      </c>
      <c r="D3031" s="1">
        <v>45144</v>
      </c>
      <c r="E3031" s="29">
        <v>1.9</v>
      </c>
      <c r="F3031" t="s">
        <v>1</v>
      </c>
      <c r="G3031" t="str">
        <f t="shared" si="47"/>
        <v>2023-08</v>
      </c>
    </row>
    <row r="3032" spans="1:7" x14ac:dyDescent="0.3">
      <c r="A3032">
        <v>4027</v>
      </c>
      <c r="B3032" t="s">
        <v>38</v>
      </c>
      <c r="C3032" s="7">
        <v>31</v>
      </c>
      <c r="D3032" s="1">
        <v>45181</v>
      </c>
      <c r="E3032" s="29">
        <v>1.2</v>
      </c>
      <c r="F3032" t="s">
        <v>1</v>
      </c>
      <c r="G3032" t="str">
        <f t="shared" si="47"/>
        <v>2023-09</v>
      </c>
    </row>
    <row r="3033" spans="1:7" x14ac:dyDescent="0.3">
      <c r="A3033">
        <v>4005</v>
      </c>
      <c r="B3033" t="s">
        <v>21</v>
      </c>
      <c r="C3033" s="7">
        <v>120.22</v>
      </c>
      <c r="D3033" s="1">
        <v>44949</v>
      </c>
      <c r="E3033" s="29">
        <v>1.2</v>
      </c>
      <c r="F3033" t="s">
        <v>4</v>
      </c>
      <c r="G3033" t="str">
        <f t="shared" si="47"/>
        <v>2023-01</v>
      </c>
    </row>
    <row r="3034" spans="1:7" x14ac:dyDescent="0.3">
      <c r="A3034">
        <v>4111</v>
      </c>
      <c r="B3034" t="s">
        <v>33</v>
      </c>
      <c r="C3034" s="7">
        <v>113.54098360655701</v>
      </c>
      <c r="D3034" s="1">
        <v>45100</v>
      </c>
      <c r="E3034" s="29">
        <v>4.9000000000000004</v>
      </c>
      <c r="F3034" t="s">
        <v>4</v>
      </c>
      <c r="G3034" t="str">
        <f t="shared" si="47"/>
        <v>2023-06</v>
      </c>
    </row>
    <row r="3035" spans="1:7" x14ac:dyDescent="0.3">
      <c r="A3035">
        <v>3992</v>
      </c>
      <c r="B3035" t="s">
        <v>21</v>
      </c>
      <c r="C3035" s="7">
        <v>47</v>
      </c>
      <c r="D3035" s="1">
        <v>44976</v>
      </c>
      <c r="E3035" s="29">
        <v>4.4000000000000004</v>
      </c>
      <c r="F3035" t="s">
        <v>1</v>
      </c>
      <c r="G3035" t="str">
        <f t="shared" si="47"/>
        <v>2023-02</v>
      </c>
    </row>
    <row r="3036" spans="1:7" x14ac:dyDescent="0.3">
      <c r="A3036">
        <v>4096</v>
      </c>
      <c r="B3036" t="s">
        <v>11</v>
      </c>
      <c r="C3036" s="7">
        <v>83</v>
      </c>
      <c r="D3036" s="1">
        <v>45199</v>
      </c>
      <c r="E3036" s="29">
        <v>3.0693548387096699</v>
      </c>
      <c r="F3036" t="s">
        <v>4</v>
      </c>
      <c r="G3036" t="str">
        <f t="shared" si="47"/>
        <v>2023-09</v>
      </c>
    </row>
    <row r="3037" spans="1:7" x14ac:dyDescent="0.3">
      <c r="A3037">
        <v>4023</v>
      </c>
      <c r="B3037" t="s">
        <v>0</v>
      </c>
      <c r="C3037" s="7">
        <v>112.145454545454</v>
      </c>
      <c r="D3037" s="1">
        <v>44979</v>
      </c>
      <c r="E3037" s="29">
        <v>1.5</v>
      </c>
      <c r="F3037" t="s">
        <v>4</v>
      </c>
      <c r="G3037" t="str">
        <f t="shared" si="47"/>
        <v>2023-02</v>
      </c>
    </row>
    <row r="3038" spans="1:7" x14ac:dyDescent="0.3">
      <c r="A3038">
        <v>3959</v>
      </c>
      <c r="B3038" t="s">
        <v>51</v>
      </c>
      <c r="C3038" s="7">
        <v>38</v>
      </c>
      <c r="D3038" s="1">
        <v>44970</v>
      </c>
      <c r="E3038" s="29">
        <v>3.6</v>
      </c>
      <c r="F3038" t="s">
        <v>1</v>
      </c>
      <c r="G3038" t="str">
        <f t="shared" si="47"/>
        <v>2023-02</v>
      </c>
    </row>
    <row r="3039" spans="1:7" x14ac:dyDescent="0.3">
      <c r="A3039">
        <v>4033</v>
      </c>
      <c r="B3039" t="s">
        <v>9</v>
      </c>
      <c r="C3039" s="7">
        <v>130</v>
      </c>
      <c r="D3039" s="1">
        <v>44858</v>
      </c>
      <c r="E3039" s="29">
        <v>2.4</v>
      </c>
      <c r="F3039" t="s">
        <v>1</v>
      </c>
      <c r="G3039" t="str">
        <f t="shared" si="47"/>
        <v>2022-10</v>
      </c>
    </row>
    <row r="3040" spans="1:7" x14ac:dyDescent="0.3">
      <c r="A3040">
        <v>4029</v>
      </c>
      <c r="B3040" t="s">
        <v>6</v>
      </c>
      <c r="C3040" s="7">
        <v>114.77966101694901</v>
      </c>
      <c r="D3040" s="1">
        <v>44995</v>
      </c>
      <c r="E3040" s="29">
        <v>4.5</v>
      </c>
      <c r="F3040" t="s">
        <v>1</v>
      </c>
      <c r="G3040" t="str">
        <f t="shared" si="47"/>
        <v>2023-03</v>
      </c>
    </row>
    <row r="3041" spans="1:7" x14ac:dyDescent="0.3">
      <c r="A3041">
        <v>4045</v>
      </c>
      <c r="B3041" t="s">
        <v>51</v>
      </c>
      <c r="C3041" s="7">
        <v>147</v>
      </c>
      <c r="D3041" s="1">
        <v>45024</v>
      </c>
      <c r="E3041" s="29">
        <v>3.7</v>
      </c>
      <c r="F3041" t="s">
        <v>4</v>
      </c>
      <c r="G3041" t="str">
        <f t="shared" si="47"/>
        <v>2023-04</v>
      </c>
    </row>
    <row r="3042" spans="1:7" x14ac:dyDescent="0.3">
      <c r="A3042">
        <v>4060</v>
      </c>
      <c r="B3042" t="s">
        <v>16</v>
      </c>
      <c r="C3042" s="7">
        <v>149</v>
      </c>
      <c r="D3042" s="1">
        <v>45096</v>
      </c>
      <c r="E3042" s="29">
        <v>1.9</v>
      </c>
      <c r="F3042" t="s">
        <v>1</v>
      </c>
      <c r="G3042" t="str">
        <f t="shared" si="47"/>
        <v>2023-06</v>
      </c>
    </row>
    <row r="3043" spans="1:7" x14ac:dyDescent="0.3">
      <c r="A3043">
        <v>4060</v>
      </c>
      <c r="B3043" t="s">
        <v>41</v>
      </c>
      <c r="C3043" s="7">
        <v>76</v>
      </c>
      <c r="D3043" s="1">
        <v>45111</v>
      </c>
      <c r="E3043" s="29">
        <v>2.1</v>
      </c>
      <c r="F3043" t="s">
        <v>1</v>
      </c>
      <c r="G3043" t="str">
        <f t="shared" si="47"/>
        <v>2023-07</v>
      </c>
    </row>
    <row r="3044" spans="1:7" x14ac:dyDescent="0.3">
      <c r="A3044">
        <v>4105</v>
      </c>
      <c r="B3044" t="s">
        <v>42</v>
      </c>
      <c r="C3044" s="7">
        <v>169</v>
      </c>
      <c r="D3044" s="1">
        <v>44943</v>
      </c>
      <c r="E3044" s="29">
        <v>1.5</v>
      </c>
      <c r="F3044" t="s">
        <v>4</v>
      </c>
      <c r="G3044" t="str">
        <f t="shared" si="47"/>
        <v>2023-01</v>
      </c>
    </row>
    <row r="3045" spans="1:7" x14ac:dyDescent="0.3">
      <c r="A3045">
        <v>3960</v>
      </c>
      <c r="B3045" t="s">
        <v>24</v>
      </c>
      <c r="C3045" s="7">
        <v>46</v>
      </c>
      <c r="D3045" s="1">
        <v>44889</v>
      </c>
      <c r="E3045" s="29">
        <v>4.5999999999999996</v>
      </c>
      <c r="F3045" t="s">
        <v>4</v>
      </c>
      <c r="G3045" t="str">
        <f t="shared" si="47"/>
        <v>2022-11</v>
      </c>
    </row>
    <row r="3046" spans="1:7" x14ac:dyDescent="0.3">
      <c r="A3046">
        <v>4077</v>
      </c>
      <c r="B3046" t="s">
        <v>9</v>
      </c>
      <c r="C3046" s="7">
        <v>181</v>
      </c>
      <c r="D3046" s="1">
        <v>44875</v>
      </c>
      <c r="E3046" s="29">
        <v>3</v>
      </c>
      <c r="F3046" t="s">
        <v>1</v>
      </c>
      <c r="G3046" t="str">
        <f t="shared" si="47"/>
        <v>2022-11</v>
      </c>
    </row>
    <row r="3047" spans="1:7" x14ac:dyDescent="0.3">
      <c r="A3047">
        <v>4088</v>
      </c>
      <c r="B3047" t="s">
        <v>21</v>
      </c>
      <c r="C3047" s="7">
        <v>120.22</v>
      </c>
      <c r="D3047" s="1">
        <v>44995</v>
      </c>
      <c r="E3047" s="29">
        <v>3.6</v>
      </c>
      <c r="F3047" t="s">
        <v>4</v>
      </c>
      <c r="G3047" t="str">
        <f t="shared" si="47"/>
        <v>2023-03</v>
      </c>
    </row>
    <row r="3048" spans="1:7" x14ac:dyDescent="0.3">
      <c r="A3048">
        <v>3995</v>
      </c>
      <c r="B3048" t="s">
        <v>48</v>
      </c>
      <c r="C3048" s="7">
        <v>179</v>
      </c>
      <c r="D3048" s="1">
        <v>44868</v>
      </c>
      <c r="E3048" s="29">
        <v>4.5999999999999996</v>
      </c>
      <c r="F3048" t="s">
        <v>4</v>
      </c>
      <c r="G3048" t="str">
        <f t="shared" si="47"/>
        <v>2022-11</v>
      </c>
    </row>
    <row r="3049" spans="1:7" x14ac:dyDescent="0.3">
      <c r="A3049">
        <v>4058</v>
      </c>
      <c r="B3049" t="s">
        <v>8</v>
      </c>
      <c r="C3049" s="7">
        <v>75</v>
      </c>
      <c r="D3049" s="1">
        <v>44993</v>
      </c>
      <c r="E3049" s="29">
        <v>1.3</v>
      </c>
      <c r="F3049" t="s">
        <v>1</v>
      </c>
      <c r="G3049" t="str">
        <f t="shared" si="47"/>
        <v>2023-03</v>
      </c>
    </row>
    <row r="3050" spans="1:7" x14ac:dyDescent="0.3">
      <c r="A3050">
        <v>4015</v>
      </c>
      <c r="B3050" t="s">
        <v>34</v>
      </c>
      <c r="C3050" s="7">
        <v>110.431818181818</v>
      </c>
      <c r="D3050" s="1">
        <v>45083</v>
      </c>
      <c r="E3050" s="29">
        <v>3.7</v>
      </c>
      <c r="F3050" t="s">
        <v>4</v>
      </c>
      <c r="G3050" t="str">
        <f t="shared" si="47"/>
        <v>2023-06</v>
      </c>
    </row>
    <row r="3051" spans="1:7" x14ac:dyDescent="0.3">
      <c r="A3051">
        <v>4015</v>
      </c>
      <c r="B3051" t="s">
        <v>23</v>
      </c>
      <c r="C3051" s="7">
        <v>188</v>
      </c>
      <c r="D3051" s="1">
        <v>44862</v>
      </c>
      <c r="E3051" s="29">
        <v>2.5</v>
      </c>
      <c r="F3051" t="s">
        <v>1</v>
      </c>
      <c r="G3051" t="str">
        <f t="shared" si="47"/>
        <v>2022-10</v>
      </c>
    </row>
    <row r="3052" spans="1:7" x14ac:dyDescent="0.3">
      <c r="A3052">
        <v>4010</v>
      </c>
      <c r="B3052" t="s">
        <v>36</v>
      </c>
      <c r="C3052" s="7">
        <v>23</v>
      </c>
      <c r="D3052" s="1">
        <v>45169</v>
      </c>
      <c r="E3052" s="29">
        <v>1.7</v>
      </c>
      <c r="F3052" t="s">
        <v>4</v>
      </c>
      <c r="G3052" t="str">
        <f t="shared" si="47"/>
        <v>2023-08</v>
      </c>
    </row>
    <row r="3053" spans="1:7" x14ac:dyDescent="0.3">
      <c r="A3053">
        <v>4078</v>
      </c>
      <c r="B3053" t="s">
        <v>8</v>
      </c>
      <c r="C3053" s="7">
        <v>12</v>
      </c>
      <c r="D3053" s="1">
        <v>45195</v>
      </c>
      <c r="E3053" s="29">
        <v>2.9</v>
      </c>
      <c r="F3053" t="s">
        <v>4</v>
      </c>
      <c r="G3053" t="str">
        <f t="shared" si="47"/>
        <v>2023-09</v>
      </c>
    </row>
    <row r="3054" spans="1:7" x14ac:dyDescent="0.3">
      <c r="A3054">
        <v>4016</v>
      </c>
      <c r="B3054" t="s">
        <v>47</v>
      </c>
      <c r="C3054" s="7">
        <v>106.297872340425</v>
      </c>
      <c r="D3054" s="1">
        <v>44888</v>
      </c>
      <c r="E3054" s="29">
        <v>4.3</v>
      </c>
      <c r="F3054" t="s">
        <v>1</v>
      </c>
      <c r="G3054" t="str">
        <f t="shared" si="47"/>
        <v>2022-11</v>
      </c>
    </row>
    <row r="3055" spans="1:7" x14ac:dyDescent="0.3">
      <c r="A3055">
        <v>4089</v>
      </c>
      <c r="B3055" t="s">
        <v>21</v>
      </c>
      <c r="C3055" s="7">
        <v>179</v>
      </c>
      <c r="D3055" s="1">
        <v>44914</v>
      </c>
      <c r="E3055" s="29">
        <v>2.7</v>
      </c>
      <c r="F3055" t="s">
        <v>4</v>
      </c>
      <c r="G3055" t="str">
        <f t="shared" si="47"/>
        <v>2022-12</v>
      </c>
    </row>
    <row r="3056" spans="1:7" x14ac:dyDescent="0.3">
      <c r="A3056">
        <v>4107</v>
      </c>
      <c r="B3056" t="s">
        <v>24</v>
      </c>
      <c r="C3056" s="7">
        <v>178</v>
      </c>
      <c r="D3056" s="1">
        <v>44952</v>
      </c>
      <c r="E3056" s="29">
        <v>3.2</v>
      </c>
      <c r="F3056" t="s">
        <v>4</v>
      </c>
      <c r="G3056" t="str">
        <f t="shared" si="47"/>
        <v>2023-01</v>
      </c>
    </row>
    <row r="3057" spans="1:7" x14ac:dyDescent="0.3">
      <c r="A3057">
        <v>4098</v>
      </c>
      <c r="B3057" t="s">
        <v>19</v>
      </c>
      <c r="C3057" s="7">
        <v>37</v>
      </c>
      <c r="D3057" s="1">
        <v>45167</v>
      </c>
      <c r="E3057" s="29">
        <v>4.2</v>
      </c>
      <c r="F3057" t="s">
        <v>1</v>
      </c>
      <c r="G3057" t="str">
        <f t="shared" si="47"/>
        <v>2023-08</v>
      </c>
    </row>
    <row r="3058" spans="1:7" x14ac:dyDescent="0.3">
      <c r="A3058">
        <v>4076</v>
      </c>
      <c r="B3058" t="s">
        <v>14</v>
      </c>
      <c r="C3058" s="7">
        <v>102.377358490566</v>
      </c>
      <c r="D3058" s="1">
        <v>45001</v>
      </c>
      <c r="E3058" s="29">
        <v>1.2</v>
      </c>
      <c r="F3058" t="s">
        <v>1</v>
      </c>
      <c r="G3058" t="str">
        <f t="shared" si="47"/>
        <v>2023-03</v>
      </c>
    </row>
    <row r="3059" spans="1:7" x14ac:dyDescent="0.3">
      <c r="A3059">
        <v>4075</v>
      </c>
      <c r="B3059" t="s">
        <v>32</v>
      </c>
      <c r="C3059" s="7">
        <v>176</v>
      </c>
      <c r="D3059" s="1">
        <v>44861</v>
      </c>
      <c r="E3059" s="29">
        <v>3.0542857142857098</v>
      </c>
      <c r="F3059" t="s">
        <v>4</v>
      </c>
      <c r="G3059" t="str">
        <f t="shared" si="47"/>
        <v>2022-10</v>
      </c>
    </row>
    <row r="3060" spans="1:7" x14ac:dyDescent="0.3">
      <c r="A3060">
        <v>4044</v>
      </c>
      <c r="B3060" t="s">
        <v>35</v>
      </c>
      <c r="C3060" s="7">
        <v>107</v>
      </c>
      <c r="D3060" s="1">
        <v>44937</v>
      </c>
      <c r="E3060" s="29">
        <v>4.2</v>
      </c>
      <c r="F3060" t="s">
        <v>1</v>
      </c>
      <c r="G3060" t="str">
        <f t="shared" si="47"/>
        <v>2023-01</v>
      </c>
    </row>
    <row r="3061" spans="1:7" x14ac:dyDescent="0.3">
      <c r="A3061">
        <v>3978</v>
      </c>
      <c r="B3061" t="s">
        <v>8</v>
      </c>
      <c r="C3061" s="7">
        <v>191</v>
      </c>
      <c r="D3061" s="1">
        <v>45041</v>
      </c>
      <c r="E3061" s="29">
        <v>1.4</v>
      </c>
      <c r="F3061" t="s">
        <v>1</v>
      </c>
      <c r="G3061" t="str">
        <f t="shared" si="47"/>
        <v>2023-04</v>
      </c>
    </row>
    <row r="3062" spans="1:7" x14ac:dyDescent="0.3">
      <c r="A3062">
        <v>4037</v>
      </c>
      <c r="B3062" t="s">
        <v>30</v>
      </c>
      <c r="C3062" s="7">
        <v>99.866666666666603</v>
      </c>
      <c r="D3062" s="1">
        <v>45110</v>
      </c>
      <c r="E3062" s="29">
        <v>4.0999999999999996</v>
      </c>
      <c r="F3062" t="s">
        <v>4</v>
      </c>
      <c r="G3062" t="str">
        <f t="shared" si="47"/>
        <v>2023-07</v>
      </c>
    </row>
    <row r="3063" spans="1:7" x14ac:dyDescent="0.3">
      <c r="A3063">
        <v>4005</v>
      </c>
      <c r="B3063" t="s">
        <v>10</v>
      </c>
      <c r="C3063" s="7">
        <v>162</v>
      </c>
      <c r="D3063" s="1">
        <v>45063</v>
      </c>
      <c r="E3063" s="29">
        <v>2.91904761904761</v>
      </c>
      <c r="F3063" t="s">
        <v>1</v>
      </c>
      <c r="G3063" t="str">
        <f t="shared" si="47"/>
        <v>2023-05</v>
      </c>
    </row>
    <row r="3064" spans="1:7" x14ac:dyDescent="0.3">
      <c r="A3064">
        <v>4066</v>
      </c>
      <c r="B3064" t="s">
        <v>18</v>
      </c>
      <c r="C3064" s="7">
        <v>57</v>
      </c>
      <c r="D3064" s="1">
        <v>44894</v>
      </c>
      <c r="E3064" s="29">
        <v>3.1</v>
      </c>
      <c r="F3064" t="s">
        <v>4</v>
      </c>
      <c r="G3064" t="str">
        <f t="shared" si="47"/>
        <v>2022-11</v>
      </c>
    </row>
    <row r="3065" spans="1:7" x14ac:dyDescent="0.3">
      <c r="A3065">
        <v>4063</v>
      </c>
      <c r="B3065" t="s">
        <v>23</v>
      </c>
      <c r="C3065" s="7">
        <v>107.68518518518501</v>
      </c>
      <c r="D3065" s="1">
        <v>45002</v>
      </c>
      <c r="E3065" s="29">
        <v>3.1</v>
      </c>
      <c r="F3065" t="s">
        <v>4</v>
      </c>
      <c r="G3065" t="str">
        <f t="shared" si="47"/>
        <v>2023-03</v>
      </c>
    </row>
    <row r="3066" spans="1:7" x14ac:dyDescent="0.3">
      <c r="A3066">
        <v>4010</v>
      </c>
      <c r="B3066" t="s">
        <v>27</v>
      </c>
      <c r="C3066" s="7">
        <v>153</v>
      </c>
      <c r="D3066" s="1">
        <v>45157</v>
      </c>
      <c r="E3066" s="29">
        <v>3.7</v>
      </c>
      <c r="F3066" t="s">
        <v>1</v>
      </c>
      <c r="G3066" t="str">
        <f t="shared" si="47"/>
        <v>2023-08</v>
      </c>
    </row>
    <row r="3067" spans="1:7" x14ac:dyDescent="0.3">
      <c r="A3067">
        <v>4069</v>
      </c>
      <c r="B3067" t="s">
        <v>32</v>
      </c>
      <c r="C3067" s="7">
        <v>15</v>
      </c>
      <c r="D3067" s="1">
        <v>45037</v>
      </c>
      <c r="E3067" s="29">
        <v>1.6</v>
      </c>
      <c r="F3067" t="s">
        <v>4</v>
      </c>
      <c r="G3067" t="str">
        <f t="shared" si="47"/>
        <v>2023-04</v>
      </c>
    </row>
    <row r="3068" spans="1:7" x14ac:dyDescent="0.3">
      <c r="A3068">
        <v>4072</v>
      </c>
      <c r="B3068" t="s">
        <v>39</v>
      </c>
      <c r="C3068" s="7">
        <v>108.54716981132</v>
      </c>
      <c r="D3068" s="1">
        <v>45109</v>
      </c>
      <c r="E3068" s="29">
        <v>3.0546875</v>
      </c>
      <c r="F3068" t="s">
        <v>4</v>
      </c>
      <c r="G3068" t="str">
        <f t="shared" si="47"/>
        <v>2023-07</v>
      </c>
    </row>
    <row r="3069" spans="1:7" x14ac:dyDescent="0.3">
      <c r="A3069">
        <v>4099</v>
      </c>
      <c r="B3069" t="s">
        <v>27</v>
      </c>
      <c r="C3069" s="7">
        <v>88</v>
      </c>
      <c r="D3069" s="1">
        <v>45144</v>
      </c>
      <c r="E3069" s="29">
        <v>4.9000000000000004</v>
      </c>
      <c r="F3069" t="s">
        <v>4</v>
      </c>
      <c r="G3069" t="str">
        <f t="shared" si="47"/>
        <v>2023-08</v>
      </c>
    </row>
    <row r="3070" spans="1:7" x14ac:dyDescent="0.3">
      <c r="A3070">
        <v>3964</v>
      </c>
      <c r="B3070" t="s">
        <v>39</v>
      </c>
      <c r="C3070" s="7">
        <v>110</v>
      </c>
      <c r="D3070" s="1">
        <v>44874</v>
      </c>
      <c r="E3070" s="29">
        <v>2.9</v>
      </c>
      <c r="F3070" t="s">
        <v>4</v>
      </c>
      <c r="G3070" t="str">
        <f t="shared" si="47"/>
        <v>2022-11</v>
      </c>
    </row>
    <row r="3071" spans="1:7" x14ac:dyDescent="0.3">
      <c r="A3071">
        <v>4052</v>
      </c>
      <c r="B3071" t="s">
        <v>5</v>
      </c>
      <c r="C3071" s="7">
        <v>14</v>
      </c>
      <c r="D3071" s="1">
        <v>44855</v>
      </c>
      <c r="E3071" s="29">
        <v>1.2</v>
      </c>
      <c r="F3071" t="s">
        <v>4</v>
      </c>
      <c r="G3071" t="str">
        <f t="shared" si="47"/>
        <v>2022-10</v>
      </c>
    </row>
    <row r="3072" spans="1:7" x14ac:dyDescent="0.3">
      <c r="A3072">
        <v>3992</v>
      </c>
      <c r="B3072" t="s">
        <v>28</v>
      </c>
      <c r="C3072" s="7">
        <v>100</v>
      </c>
      <c r="D3072" s="1">
        <v>45134</v>
      </c>
      <c r="E3072" s="29">
        <v>2</v>
      </c>
      <c r="F3072" t="s">
        <v>1</v>
      </c>
      <c r="G3072" t="str">
        <f t="shared" si="47"/>
        <v>2023-07</v>
      </c>
    </row>
    <row r="3073" spans="1:7" x14ac:dyDescent="0.3">
      <c r="A3073">
        <v>4104</v>
      </c>
      <c r="B3073" t="s">
        <v>30</v>
      </c>
      <c r="C3073" s="7">
        <v>87</v>
      </c>
      <c r="D3073" s="1">
        <v>45163</v>
      </c>
      <c r="E3073" s="29">
        <v>1.9</v>
      </c>
      <c r="F3073" t="s">
        <v>1</v>
      </c>
      <c r="G3073" t="str">
        <f t="shared" si="47"/>
        <v>2023-08</v>
      </c>
    </row>
    <row r="3074" spans="1:7" x14ac:dyDescent="0.3">
      <c r="A3074">
        <v>3989</v>
      </c>
      <c r="B3074" t="s">
        <v>45</v>
      </c>
      <c r="C3074" s="7">
        <v>138</v>
      </c>
      <c r="D3074" s="1">
        <v>45060</v>
      </c>
      <c r="E3074" s="29">
        <v>3.27111111111111</v>
      </c>
      <c r="F3074" t="s">
        <v>4</v>
      </c>
      <c r="G3074" t="str">
        <f t="shared" si="47"/>
        <v>2023-05</v>
      </c>
    </row>
    <row r="3075" spans="1:7" x14ac:dyDescent="0.3">
      <c r="A3075">
        <v>4035</v>
      </c>
      <c r="B3075" t="s">
        <v>24</v>
      </c>
      <c r="C3075" s="7">
        <v>25</v>
      </c>
      <c r="D3075" s="1">
        <v>45066</v>
      </c>
      <c r="E3075" s="29">
        <v>3.1712328767123199</v>
      </c>
      <c r="F3075" t="s">
        <v>1</v>
      </c>
      <c r="G3075" t="str">
        <f t="shared" ref="G3075:G3138" si="48">TEXT(D3075,"ГГГГ-ММ")</f>
        <v>2023-05</v>
      </c>
    </row>
    <row r="3076" spans="1:7" x14ac:dyDescent="0.3">
      <c r="A3076">
        <v>3959</v>
      </c>
      <c r="B3076" t="s">
        <v>31</v>
      </c>
      <c r="C3076" s="7">
        <v>109</v>
      </c>
      <c r="D3076" s="1">
        <v>45152</v>
      </c>
      <c r="E3076" s="29">
        <v>2.4</v>
      </c>
      <c r="F3076" t="s">
        <v>4</v>
      </c>
      <c r="G3076" t="str">
        <f t="shared" si="48"/>
        <v>2023-08</v>
      </c>
    </row>
    <row r="3077" spans="1:7" x14ac:dyDescent="0.3">
      <c r="A3077">
        <v>4084</v>
      </c>
      <c r="B3077" t="s">
        <v>48</v>
      </c>
      <c r="C3077" s="7">
        <v>17</v>
      </c>
      <c r="D3077" s="1">
        <v>45064</v>
      </c>
      <c r="E3077" s="29">
        <v>2.1</v>
      </c>
      <c r="F3077" t="s">
        <v>4</v>
      </c>
      <c r="G3077" t="str">
        <f t="shared" si="48"/>
        <v>2023-05</v>
      </c>
    </row>
    <row r="3078" spans="1:7" x14ac:dyDescent="0.3">
      <c r="A3078">
        <v>4047</v>
      </c>
      <c r="B3078" t="s">
        <v>29</v>
      </c>
      <c r="C3078" s="7">
        <v>81</v>
      </c>
      <c r="D3078" s="1">
        <v>45111</v>
      </c>
      <c r="E3078" s="29">
        <v>4.2</v>
      </c>
      <c r="F3078" t="s">
        <v>4</v>
      </c>
      <c r="G3078" t="str">
        <f t="shared" si="48"/>
        <v>2023-07</v>
      </c>
    </row>
    <row r="3079" spans="1:7" x14ac:dyDescent="0.3">
      <c r="A3079">
        <v>4043</v>
      </c>
      <c r="B3079" t="s">
        <v>28</v>
      </c>
      <c r="C3079" s="7">
        <v>97</v>
      </c>
      <c r="D3079" s="1">
        <v>44863</v>
      </c>
      <c r="E3079" s="29">
        <v>3.8</v>
      </c>
      <c r="F3079" t="s">
        <v>4</v>
      </c>
      <c r="G3079" t="str">
        <f t="shared" si="48"/>
        <v>2022-10</v>
      </c>
    </row>
    <row r="3080" spans="1:7" x14ac:dyDescent="0.3">
      <c r="A3080">
        <v>4014</v>
      </c>
      <c r="B3080" t="s">
        <v>32</v>
      </c>
      <c r="C3080" s="7">
        <v>178</v>
      </c>
      <c r="D3080" s="1">
        <v>44908</v>
      </c>
      <c r="E3080" s="29">
        <v>3.0542857142857098</v>
      </c>
      <c r="F3080" t="s">
        <v>4</v>
      </c>
      <c r="G3080" t="str">
        <f t="shared" si="48"/>
        <v>2022-12</v>
      </c>
    </row>
    <row r="3081" spans="1:7" x14ac:dyDescent="0.3">
      <c r="A3081">
        <v>4064</v>
      </c>
      <c r="B3081" t="s">
        <v>6</v>
      </c>
      <c r="C3081" s="7">
        <v>114.77966101694901</v>
      </c>
      <c r="D3081" s="1">
        <v>44954</v>
      </c>
      <c r="E3081" s="29">
        <v>1.7</v>
      </c>
      <c r="F3081" t="s">
        <v>4</v>
      </c>
      <c r="G3081" t="str">
        <f t="shared" si="48"/>
        <v>2023-01</v>
      </c>
    </row>
    <row r="3082" spans="1:7" x14ac:dyDescent="0.3">
      <c r="A3082">
        <v>4065</v>
      </c>
      <c r="B3082" t="s">
        <v>48</v>
      </c>
      <c r="C3082" s="7">
        <v>143</v>
      </c>
      <c r="D3082" s="1">
        <v>45163</v>
      </c>
      <c r="E3082" s="29">
        <v>3.1</v>
      </c>
      <c r="F3082" t="s">
        <v>4</v>
      </c>
      <c r="G3082" t="str">
        <f t="shared" si="48"/>
        <v>2023-08</v>
      </c>
    </row>
    <row r="3083" spans="1:7" x14ac:dyDescent="0.3">
      <c r="A3083">
        <v>4060</v>
      </c>
      <c r="B3083" t="s">
        <v>14</v>
      </c>
      <c r="C3083" s="7">
        <v>166</v>
      </c>
      <c r="D3083" s="1">
        <v>44990</v>
      </c>
      <c r="E3083" s="29">
        <v>2.7</v>
      </c>
      <c r="F3083" t="s">
        <v>1</v>
      </c>
      <c r="G3083" t="str">
        <f t="shared" si="48"/>
        <v>2023-03</v>
      </c>
    </row>
    <row r="3084" spans="1:7" x14ac:dyDescent="0.3">
      <c r="A3084">
        <v>4094</v>
      </c>
      <c r="B3084" t="s">
        <v>51</v>
      </c>
      <c r="C3084" s="7">
        <v>185</v>
      </c>
      <c r="D3084" s="1">
        <v>45157</v>
      </c>
      <c r="E3084" s="29">
        <v>2</v>
      </c>
      <c r="F3084" t="s">
        <v>1</v>
      </c>
      <c r="G3084" t="str">
        <f t="shared" si="48"/>
        <v>2023-08</v>
      </c>
    </row>
    <row r="3085" spans="1:7" x14ac:dyDescent="0.3">
      <c r="A3085">
        <v>4033</v>
      </c>
      <c r="B3085" t="s">
        <v>3</v>
      </c>
      <c r="C3085" s="7">
        <v>71</v>
      </c>
      <c r="D3085" s="1">
        <v>44972</v>
      </c>
      <c r="E3085" s="29">
        <v>3.2285714285714202</v>
      </c>
      <c r="F3085" t="s">
        <v>1</v>
      </c>
      <c r="G3085" t="str">
        <f t="shared" si="48"/>
        <v>2023-02</v>
      </c>
    </row>
    <row r="3086" spans="1:7" x14ac:dyDescent="0.3">
      <c r="A3086">
        <v>4040</v>
      </c>
      <c r="B3086" t="s">
        <v>19</v>
      </c>
      <c r="C3086" s="7">
        <v>119</v>
      </c>
      <c r="D3086" s="1">
        <v>45018</v>
      </c>
      <c r="E3086" s="29">
        <v>1</v>
      </c>
      <c r="F3086" t="s">
        <v>1</v>
      </c>
      <c r="G3086" t="str">
        <f t="shared" si="48"/>
        <v>2023-04</v>
      </c>
    </row>
    <row r="3087" spans="1:7" x14ac:dyDescent="0.3">
      <c r="A3087">
        <v>4107</v>
      </c>
      <c r="B3087" t="s">
        <v>51</v>
      </c>
      <c r="C3087" s="7">
        <v>164</v>
      </c>
      <c r="D3087" s="1">
        <v>45054</v>
      </c>
      <c r="E3087" s="29">
        <v>3.7</v>
      </c>
      <c r="F3087" t="s">
        <v>4</v>
      </c>
      <c r="G3087" t="str">
        <f t="shared" si="48"/>
        <v>2023-05</v>
      </c>
    </row>
    <row r="3088" spans="1:7" x14ac:dyDescent="0.3">
      <c r="A3088">
        <v>3962</v>
      </c>
      <c r="B3088" t="s">
        <v>42</v>
      </c>
      <c r="C3088" s="7">
        <v>148</v>
      </c>
      <c r="D3088" s="1">
        <v>45098</v>
      </c>
      <c r="E3088" s="29">
        <v>1.8</v>
      </c>
      <c r="F3088" t="s">
        <v>1</v>
      </c>
      <c r="G3088" t="str">
        <f t="shared" si="48"/>
        <v>2023-06</v>
      </c>
    </row>
    <row r="3089" spans="1:7" x14ac:dyDescent="0.3">
      <c r="A3089">
        <v>4102</v>
      </c>
      <c r="B3089" t="s">
        <v>17</v>
      </c>
      <c r="C3089" s="7">
        <v>119.195652173913</v>
      </c>
      <c r="D3089" s="1">
        <v>44985</v>
      </c>
      <c r="E3089" s="29">
        <v>4.3</v>
      </c>
      <c r="F3089" t="s">
        <v>1</v>
      </c>
      <c r="G3089" t="str">
        <f t="shared" si="48"/>
        <v>2023-02</v>
      </c>
    </row>
    <row r="3090" spans="1:7" x14ac:dyDescent="0.3">
      <c r="A3090">
        <v>3965</v>
      </c>
      <c r="B3090" t="s">
        <v>36</v>
      </c>
      <c r="C3090" s="7">
        <v>158</v>
      </c>
      <c r="D3090" s="1">
        <v>44970</v>
      </c>
      <c r="E3090" s="29">
        <v>2.8</v>
      </c>
      <c r="F3090" t="s">
        <v>4</v>
      </c>
      <c r="G3090" t="str">
        <f t="shared" si="48"/>
        <v>2023-02</v>
      </c>
    </row>
    <row r="3091" spans="1:7" x14ac:dyDescent="0.3">
      <c r="A3091">
        <v>3992</v>
      </c>
      <c r="B3091" t="s">
        <v>7</v>
      </c>
      <c r="C3091" s="7">
        <v>61</v>
      </c>
      <c r="D3091" s="1">
        <v>45046</v>
      </c>
      <c r="E3091" s="29">
        <v>2.7</v>
      </c>
      <c r="F3091" t="s">
        <v>1</v>
      </c>
      <c r="G3091" t="str">
        <f t="shared" si="48"/>
        <v>2023-04</v>
      </c>
    </row>
    <row r="3092" spans="1:7" x14ac:dyDescent="0.3">
      <c r="A3092">
        <v>3996</v>
      </c>
      <c r="B3092" t="s">
        <v>44</v>
      </c>
      <c r="C3092" s="7">
        <v>89</v>
      </c>
      <c r="D3092" s="1">
        <v>45078</v>
      </c>
      <c r="E3092" s="29">
        <v>4.3</v>
      </c>
      <c r="F3092" t="s">
        <v>4</v>
      </c>
      <c r="G3092" t="str">
        <f t="shared" si="48"/>
        <v>2023-06</v>
      </c>
    </row>
    <row r="3093" spans="1:7" x14ac:dyDescent="0.3">
      <c r="A3093">
        <v>4041</v>
      </c>
      <c r="B3093" t="s">
        <v>21</v>
      </c>
      <c r="C3093" s="7">
        <v>144</v>
      </c>
      <c r="D3093" s="1">
        <v>45130</v>
      </c>
      <c r="E3093" s="29">
        <v>3.02830188679245</v>
      </c>
      <c r="F3093" t="s">
        <v>4</v>
      </c>
      <c r="G3093" t="str">
        <f t="shared" si="48"/>
        <v>2023-07</v>
      </c>
    </row>
    <row r="3094" spans="1:7" x14ac:dyDescent="0.3">
      <c r="A3094">
        <v>4102</v>
      </c>
      <c r="B3094" t="s">
        <v>48</v>
      </c>
      <c r="C3094" s="7">
        <v>120</v>
      </c>
      <c r="D3094" s="1">
        <v>44986</v>
      </c>
      <c r="E3094" s="29">
        <v>3.1</v>
      </c>
      <c r="F3094" t="s">
        <v>4</v>
      </c>
      <c r="G3094" t="str">
        <f t="shared" si="48"/>
        <v>2023-03</v>
      </c>
    </row>
    <row r="3095" spans="1:7" x14ac:dyDescent="0.3">
      <c r="A3095">
        <v>4118</v>
      </c>
      <c r="B3095" t="s">
        <v>39</v>
      </c>
      <c r="C3095" s="7">
        <v>47</v>
      </c>
      <c r="D3095" s="1">
        <v>44848</v>
      </c>
      <c r="E3095" s="29">
        <v>3.8</v>
      </c>
      <c r="F3095" t="s">
        <v>1</v>
      </c>
      <c r="G3095" t="str">
        <f t="shared" si="48"/>
        <v>2022-10</v>
      </c>
    </row>
    <row r="3096" spans="1:7" x14ac:dyDescent="0.3">
      <c r="A3096">
        <v>4111</v>
      </c>
      <c r="B3096" t="s">
        <v>44</v>
      </c>
      <c r="C3096" s="7">
        <v>154</v>
      </c>
      <c r="D3096" s="1">
        <v>44954</v>
      </c>
      <c r="E3096" s="29">
        <v>1.1000000000000001</v>
      </c>
      <c r="F3096" t="s">
        <v>1</v>
      </c>
      <c r="G3096" t="str">
        <f t="shared" si="48"/>
        <v>2023-01</v>
      </c>
    </row>
    <row r="3097" spans="1:7" x14ac:dyDescent="0.3">
      <c r="A3097">
        <v>4112</v>
      </c>
      <c r="B3097" t="s">
        <v>42</v>
      </c>
      <c r="C3097" s="7">
        <v>91</v>
      </c>
      <c r="D3097" s="1">
        <v>45052</v>
      </c>
      <c r="E3097" s="29">
        <v>2.6</v>
      </c>
      <c r="F3097" t="s">
        <v>1</v>
      </c>
      <c r="G3097" t="str">
        <f t="shared" si="48"/>
        <v>2023-05</v>
      </c>
    </row>
    <row r="3098" spans="1:7" x14ac:dyDescent="0.3">
      <c r="A3098">
        <v>4103</v>
      </c>
      <c r="B3098" t="s">
        <v>26</v>
      </c>
      <c r="C3098" s="7">
        <v>103.267857142857</v>
      </c>
      <c r="D3098" s="1">
        <v>45054</v>
      </c>
      <c r="E3098" s="29">
        <v>2.2000000000000002</v>
      </c>
      <c r="F3098" t="s">
        <v>4</v>
      </c>
      <c r="G3098" t="str">
        <f t="shared" si="48"/>
        <v>2023-05</v>
      </c>
    </row>
    <row r="3099" spans="1:7" x14ac:dyDescent="0.3">
      <c r="A3099">
        <v>4057</v>
      </c>
      <c r="B3099" t="s">
        <v>3</v>
      </c>
      <c r="C3099" s="7">
        <v>194</v>
      </c>
      <c r="D3099" s="1">
        <v>44988</v>
      </c>
      <c r="E3099" s="29">
        <v>3.4</v>
      </c>
      <c r="F3099" t="s">
        <v>4</v>
      </c>
      <c r="G3099" t="str">
        <f t="shared" si="48"/>
        <v>2023-03</v>
      </c>
    </row>
    <row r="3100" spans="1:7" x14ac:dyDescent="0.3">
      <c r="A3100">
        <v>4054</v>
      </c>
      <c r="B3100" t="s">
        <v>20</v>
      </c>
      <c r="C3100" s="7">
        <v>105.95348837209301</v>
      </c>
      <c r="D3100" s="1">
        <v>44847</v>
      </c>
      <c r="E3100" s="29">
        <v>4.2</v>
      </c>
      <c r="F3100" t="s">
        <v>1</v>
      </c>
      <c r="G3100" t="str">
        <f t="shared" si="48"/>
        <v>2022-10</v>
      </c>
    </row>
    <row r="3101" spans="1:7" x14ac:dyDescent="0.3">
      <c r="A3101">
        <v>4009</v>
      </c>
      <c r="B3101" t="s">
        <v>46</v>
      </c>
      <c r="C3101" s="7">
        <v>47</v>
      </c>
      <c r="D3101" s="1">
        <v>44869</v>
      </c>
      <c r="E3101" s="29">
        <v>3.262</v>
      </c>
      <c r="F3101" t="s">
        <v>4</v>
      </c>
      <c r="G3101" t="str">
        <f t="shared" si="48"/>
        <v>2022-11</v>
      </c>
    </row>
    <row r="3102" spans="1:7" x14ac:dyDescent="0.3">
      <c r="A3102">
        <v>4057</v>
      </c>
      <c r="B3102" t="s">
        <v>45</v>
      </c>
      <c r="C3102" s="7">
        <v>91</v>
      </c>
      <c r="D3102" s="1">
        <v>45057</v>
      </c>
      <c r="E3102" s="29">
        <v>3.7</v>
      </c>
      <c r="F3102" t="s">
        <v>1</v>
      </c>
      <c r="G3102" t="str">
        <f t="shared" si="48"/>
        <v>2023-05</v>
      </c>
    </row>
    <row r="3103" spans="1:7" x14ac:dyDescent="0.3">
      <c r="A3103">
        <v>3973</v>
      </c>
      <c r="B3103" t="s">
        <v>23</v>
      </c>
      <c r="C3103" s="7">
        <v>115</v>
      </c>
      <c r="D3103" s="1">
        <v>44947</v>
      </c>
      <c r="E3103" s="29">
        <v>2</v>
      </c>
      <c r="F3103" t="s">
        <v>4</v>
      </c>
      <c r="G3103" t="str">
        <f t="shared" si="48"/>
        <v>2023-01</v>
      </c>
    </row>
    <row r="3104" spans="1:7" x14ac:dyDescent="0.3">
      <c r="A3104">
        <v>4093</v>
      </c>
      <c r="B3104" t="s">
        <v>7</v>
      </c>
      <c r="C3104" s="7">
        <v>87</v>
      </c>
      <c r="D3104" s="1">
        <v>44904</v>
      </c>
      <c r="E3104" s="29">
        <v>2.8953488372092999</v>
      </c>
      <c r="F3104" t="s">
        <v>4</v>
      </c>
      <c r="G3104" t="str">
        <f t="shared" si="48"/>
        <v>2022-12</v>
      </c>
    </row>
    <row r="3105" spans="1:7" x14ac:dyDescent="0.3">
      <c r="A3105">
        <v>4055</v>
      </c>
      <c r="B3105" t="s">
        <v>22</v>
      </c>
      <c r="C3105" s="7">
        <v>173</v>
      </c>
      <c r="D3105" s="1">
        <v>45149</v>
      </c>
      <c r="E3105" s="29">
        <v>3.3</v>
      </c>
      <c r="F3105" t="s">
        <v>4</v>
      </c>
      <c r="G3105" t="str">
        <f t="shared" si="48"/>
        <v>2023-08</v>
      </c>
    </row>
    <row r="3106" spans="1:7" x14ac:dyDescent="0.3">
      <c r="A3106">
        <v>4005</v>
      </c>
      <c r="B3106" t="s">
        <v>45</v>
      </c>
      <c r="C3106" s="7">
        <v>80</v>
      </c>
      <c r="D3106" s="1">
        <v>44999</v>
      </c>
      <c r="E3106" s="29">
        <v>4.8</v>
      </c>
      <c r="F3106" t="s">
        <v>1</v>
      </c>
      <c r="G3106" t="str">
        <f t="shared" si="48"/>
        <v>2023-03</v>
      </c>
    </row>
    <row r="3107" spans="1:7" x14ac:dyDescent="0.3">
      <c r="A3107">
        <v>4078</v>
      </c>
      <c r="B3107" t="s">
        <v>48</v>
      </c>
      <c r="C3107" s="7">
        <v>107.26027397260199</v>
      </c>
      <c r="D3107" s="1">
        <v>45081</v>
      </c>
      <c r="E3107" s="29">
        <v>2.9</v>
      </c>
      <c r="F3107" t="s">
        <v>1</v>
      </c>
      <c r="G3107" t="str">
        <f t="shared" si="48"/>
        <v>2023-06</v>
      </c>
    </row>
    <row r="3108" spans="1:7" x14ac:dyDescent="0.3">
      <c r="A3108">
        <v>3984</v>
      </c>
      <c r="B3108" t="s">
        <v>37</v>
      </c>
      <c r="C3108" s="7">
        <v>97.720588235294102</v>
      </c>
      <c r="D3108" s="1">
        <v>44947</v>
      </c>
      <c r="E3108" s="29">
        <v>4</v>
      </c>
      <c r="F3108" t="s">
        <v>1</v>
      </c>
      <c r="G3108" t="str">
        <f t="shared" si="48"/>
        <v>2023-01</v>
      </c>
    </row>
    <row r="3109" spans="1:7" x14ac:dyDescent="0.3">
      <c r="A3109">
        <v>4041</v>
      </c>
      <c r="B3109" t="s">
        <v>32</v>
      </c>
      <c r="C3109" s="7">
        <v>84.528571428571396</v>
      </c>
      <c r="D3109" s="1">
        <v>45091</v>
      </c>
      <c r="E3109" s="29">
        <v>3.5</v>
      </c>
      <c r="F3109" t="s">
        <v>1</v>
      </c>
      <c r="G3109" t="str">
        <f t="shared" si="48"/>
        <v>2023-06</v>
      </c>
    </row>
    <row r="3110" spans="1:7" x14ac:dyDescent="0.3">
      <c r="A3110">
        <v>4102</v>
      </c>
      <c r="B3110" t="s">
        <v>27</v>
      </c>
      <c r="C3110" s="7">
        <v>103.98245614035</v>
      </c>
      <c r="D3110" s="1">
        <v>45095</v>
      </c>
      <c r="E3110" s="29">
        <v>1</v>
      </c>
      <c r="F3110" t="s">
        <v>4</v>
      </c>
      <c r="G3110" t="str">
        <f t="shared" si="48"/>
        <v>2023-06</v>
      </c>
    </row>
    <row r="3111" spans="1:7" x14ac:dyDescent="0.3">
      <c r="A3111">
        <v>4072</v>
      </c>
      <c r="B3111" t="s">
        <v>17</v>
      </c>
      <c r="C3111" s="7">
        <v>167</v>
      </c>
      <c r="D3111" s="1">
        <v>45174</v>
      </c>
      <c r="E3111" s="29">
        <v>5</v>
      </c>
      <c r="F3111" t="s">
        <v>4</v>
      </c>
      <c r="G3111" t="str">
        <f t="shared" si="48"/>
        <v>2023-09</v>
      </c>
    </row>
    <row r="3112" spans="1:7" x14ac:dyDescent="0.3">
      <c r="A3112">
        <v>4120</v>
      </c>
      <c r="B3112" t="s">
        <v>26</v>
      </c>
      <c r="C3112" s="7">
        <v>155</v>
      </c>
      <c r="D3112" s="1">
        <v>44942</v>
      </c>
      <c r="E3112" s="29">
        <v>2.88305084745762</v>
      </c>
      <c r="F3112" t="s">
        <v>4</v>
      </c>
      <c r="G3112" t="str">
        <f t="shared" si="48"/>
        <v>2023-01</v>
      </c>
    </row>
    <row r="3113" spans="1:7" x14ac:dyDescent="0.3">
      <c r="A3113">
        <v>4034</v>
      </c>
      <c r="B3113" t="s">
        <v>32</v>
      </c>
      <c r="C3113" s="7">
        <v>162</v>
      </c>
      <c r="D3113" s="1">
        <v>44896</v>
      </c>
      <c r="E3113" s="29">
        <v>1.2</v>
      </c>
      <c r="F3113" t="s">
        <v>4</v>
      </c>
      <c r="G3113" t="str">
        <f t="shared" si="48"/>
        <v>2022-12</v>
      </c>
    </row>
    <row r="3114" spans="1:7" x14ac:dyDescent="0.3">
      <c r="A3114">
        <v>3980</v>
      </c>
      <c r="B3114" t="s">
        <v>8</v>
      </c>
      <c r="C3114" s="7">
        <v>185</v>
      </c>
      <c r="D3114" s="1">
        <v>45017</v>
      </c>
      <c r="E3114" s="29">
        <v>3</v>
      </c>
      <c r="F3114" t="s">
        <v>1</v>
      </c>
      <c r="G3114" t="str">
        <f t="shared" si="48"/>
        <v>2023-04</v>
      </c>
    </row>
    <row r="3115" spans="1:7" x14ac:dyDescent="0.3">
      <c r="A3115">
        <v>4000</v>
      </c>
      <c r="B3115" t="s">
        <v>22</v>
      </c>
      <c r="C3115" s="7">
        <v>107.949152542372</v>
      </c>
      <c r="D3115" s="1">
        <v>45134</v>
      </c>
      <c r="E3115" s="29">
        <v>2.2000000000000002</v>
      </c>
      <c r="F3115" t="s">
        <v>4</v>
      </c>
      <c r="G3115" t="str">
        <f t="shared" si="48"/>
        <v>2023-07</v>
      </c>
    </row>
    <row r="3116" spans="1:7" x14ac:dyDescent="0.3">
      <c r="A3116">
        <v>3983</v>
      </c>
      <c r="B3116" t="s">
        <v>3</v>
      </c>
      <c r="C3116" s="7">
        <v>100.679999999999</v>
      </c>
      <c r="D3116" s="1">
        <v>45091</v>
      </c>
      <c r="E3116" s="29">
        <v>4.3</v>
      </c>
      <c r="F3116" t="s">
        <v>4</v>
      </c>
      <c r="G3116" t="str">
        <f t="shared" si="48"/>
        <v>2023-06</v>
      </c>
    </row>
    <row r="3117" spans="1:7" x14ac:dyDescent="0.3">
      <c r="A3117">
        <v>4098</v>
      </c>
      <c r="B3117" t="s">
        <v>40</v>
      </c>
      <c r="C3117" s="7">
        <v>44</v>
      </c>
      <c r="D3117" s="1">
        <v>45023</v>
      </c>
      <c r="E3117" s="29">
        <v>2.6</v>
      </c>
      <c r="F3117" t="s">
        <v>1</v>
      </c>
      <c r="G3117" t="str">
        <f t="shared" si="48"/>
        <v>2023-04</v>
      </c>
    </row>
    <row r="3118" spans="1:7" x14ac:dyDescent="0.3">
      <c r="A3118">
        <v>4002</v>
      </c>
      <c r="B3118" t="s">
        <v>36</v>
      </c>
      <c r="C3118" s="7">
        <v>164</v>
      </c>
      <c r="D3118" s="1">
        <v>45067</v>
      </c>
      <c r="E3118" s="29">
        <v>5</v>
      </c>
      <c r="F3118" t="s">
        <v>1</v>
      </c>
      <c r="G3118" t="str">
        <f t="shared" si="48"/>
        <v>2023-05</v>
      </c>
    </row>
    <row r="3119" spans="1:7" x14ac:dyDescent="0.3">
      <c r="A3119">
        <v>3965</v>
      </c>
      <c r="B3119" t="s">
        <v>8</v>
      </c>
      <c r="C3119" s="7">
        <v>176</v>
      </c>
      <c r="D3119" s="1">
        <v>45197</v>
      </c>
      <c r="E3119" s="29">
        <v>3.6</v>
      </c>
      <c r="F3119" t="s">
        <v>4</v>
      </c>
      <c r="G3119" t="str">
        <f t="shared" si="48"/>
        <v>2023-09</v>
      </c>
    </row>
    <row r="3120" spans="1:7" x14ac:dyDescent="0.3">
      <c r="A3120">
        <v>4111</v>
      </c>
      <c r="B3120" t="s">
        <v>24</v>
      </c>
      <c r="C3120" s="7">
        <v>109</v>
      </c>
      <c r="D3120" s="1">
        <v>44918</v>
      </c>
      <c r="E3120" s="29">
        <v>3.4</v>
      </c>
      <c r="F3120" t="s">
        <v>4</v>
      </c>
      <c r="G3120" t="str">
        <f t="shared" si="48"/>
        <v>2022-12</v>
      </c>
    </row>
    <row r="3121" spans="1:7" x14ac:dyDescent="0.3">
      <c r="A3121">
        <v>4082</v>
      </c>
      <c r="B3121" t="s">
        <v>20</v>
      </c>
      <c r="C3121" s="7">
        <v>45</v>
      </c>
      <c r="D3121" s="1">
        <v>45143</v>
      </c>
      <c r="E3121" s="29">
        <v>4.3</v>
      </c>
      <c r="F3121" t="s">
        <v>4</v>
      </c>
      <c r="G3121" t="str">
        <f t="shared" si="48"/>
        <v>2023-08</v>
      </c>
    </row>
    <row r="3122" spans="1:7" x14ac:dyDescent="0.3">
      <c r="A3122">
        <v>3963</v>
      </c>
      <c r="B3122" t="s">
        <v>31</v>
      </c>
      <c r="C3122" s="7">
        <v>88.827586206896498</v>
      </c>
      <c r="D3122" s="1">
        <v>45196</v>
      </c>
      <c r="E3122" s="29">
        <v>3.2</v>
      </c>
      <c r="F3122" t="s">
        <v>1</v>
      </c>
      <c r="G3122" t="str">
        <f t="shared" si="48"/>
        <v>2023-09</v>
      </c>
    </row>
    <row r="3123" spans="1:7" x14ac:dyDescent="0.3">
      <c r="A3123">
        <v>4004</v>
      </c>
      <c r="B3123" t="s">
        <v>42</v>
      </c>
      <c r="C3123" s="7">
        <v>114</v>
      </c>
      <c r="D3123" s="1">
        <v>45178</v>
      </c>
      <c r="E3123" s="29">
        <v>2.6</v>
      </c>
      <c r="F3123" t="s">
        <v>1</v>
      </c>
      <c r="G3123" t="str">
        <f t="shared" si="48"/>
        <v>2023-09</v>
      </c>
    </row>
    <row r="3124" spans="1:7" x14ac:dyDescent="0.3">
      <c r="A3124">
        <v>4007</v>
      </c>
      <c r="B3124" t="s">
        <v>42</v>
      </c>
      <c r="C3124" s="7">
        <v>13</v>
      </c>
      <c r="D3124" s="1">
        <v>44911</v>
      </c>
      <c r="E3124" s="29">
        <v>1.4</v>
      </c>
      <c r="F3124" t="s">
        <v>1</v>
      </c>
      <c r="G3124" t="str">
        <f t="shared" si="48"/>
        <v>2022-12</v>
      </c>
    </row>
    <row r="3125" spans="1:7" x14ac:dyDescent="0.3">
      <c r="A3125">
        <v>3974</v>
      </c>
      <c r="B3125" t="s">
        <v>16</v>
      </c>
      <c r="C3125" s="7">
        <v>115</v>
      </c>
      <c r="D3125" s="1">
        <v>45175</v>
      </c>
      <c r="E3125" s="29">
        <v>2.1</v>
      </c>
      <c r="F3125" t="s">
        <v>4</v>
      </c>
      <c r="G3125" t="str">
        <f t="shared" si="48"/>
        <v>2023-09</v>
      </c>
    </row>
    <row r="3126" spans="1:7" x14ac:dyDescent="0.3">
      <c r="A3126">
        <v>4055</v>
      </c>
      <c r="B3126" t="s">
        <v>16</v>
      </c>
      <c r="C3126" s="7">
        <v>181</v>
      </c>
      <c r="D3126" s="1">
        <v>45060</v>
      </c>
      <c r="E3126" s="29">
        <v>3.05820895522388</v>
      </c>
      <c r="F3126" t="s">
        <v>1</v>
      </c>
      <c r="G3126" t="str">
        <f t="shared" si="48"/>
        <v>2023-05</v>
      </c>
    </row>
    <row r="3127" spans="1:7" x14ac:dyDescent="0.3">
      <c r="A3127">
        <v>4029</v>
      </c>
      <c r="B3127" t="s">
        <v>22</v>
      </c>
      <c r="C3127" s="7">
        <v>62</v>
      </c>
      <c r="D3127" s="1">
        <v>44955</v>
      </c>
      <c r="E3127" s="29">
        <v>2.1</v>
      </c>
      <c r="F3127" t="s">
        <v>1</v>
      </c>
      <c r="G3127" t="str">
        <f t="shared" si="48"/>
        <v>2023-01</v>
      </c>
    </row>
    <row r="3128" spans="1:7" x14ac:dyDescent="0.3">
      <c r="A3128">
        <v>4009</v>
      </c>
      <c r="B3128" t="s">
        <v>51</v>
      </c>
      <c r="C3128" s="7">
        <v>105.1</v>
      </c>
      <c r="D3128" s="1">
        <v>44889</v>
      </c>
      <c r="E3128" s="29">
        <v>1.7</v>
      </c>
      <c r="F3128" t="s">
        <v>1</v>
      </c>
      <c r="G3128" t="str">
        <f t="shared" si="48"/>
        <v>2022-11</v>
      </c>
    </row>
    <row r="3129" spans="1:7" x14ac:dyDescent="0.3">
      <c r="A3129">
        <v>4016</v>
      </c>
      <c r="B3129" t="s">
        <v>34</v>
      </c>
      <c r="C3129" s="7">
        <v>122</v>
      </c>
      <c r="D3129" s="1">
        <v>45096</v>
      </c>
      <c r="E3129" s="29">
        <v>1.7</v>
      </c>
      <c r="F3129" t="s">
        <v>4</v>
      </c>
      <c r="G3129" t="str">
        <f t="shared" si="48"/>
        <v>2023-06</v>
      </c>
    </row>
    <row r="3130" spans="1:7" x14ac:dyDescent="0.3">
      <c r="A3130">
        <v>4031</v>
      </c>
      <c r="B3130" t="s">
        <v>30</v>
      </c>
      <c r="C3130" s="7">
        <v>135</v>
      </c>
      <c r="D3130" s="1">
        <v>45037</v>
      </c>
      <c r="E3130" s="29">
        <v>4.9000000000000004</v>
      </c>
      <c r="F3130" t="s">
        <v>1</v>
      </c>
      <c r="G3130" t="str">
        <f t="shared" si="48"/>
        <v>2023-04</v>
      </c>
    </row>
    <row r="3131" spans="1:7" x14ac:dyDescent="0.3">
      <c r="A3131">
        <v>4091</v>
      </c>
      <c r="B3131" t="s">
        <v>43</v>
      </c>
      <c r="C3131" s="7">
        <v>127</v>
      </c>
      <c r="D3131" s="1">
        <v>45122</v>
      </c>
      <c r="E3131" s="29">
        <v>3.4</v>
      </c>
      <c r="F3131" t="s">
        <v>1</v>
      </c>
      <c r="G3131" t="str">
        <f t="shared" si="48"/>
        <v>2023-07</v>
      </c>
    </row>
    <row r="3132" spans="1:7" x14ac:dyDescent="0.3">
      <c r="A3132">
        <v>3974</v>
      </c>
      <c r="B3132" t="s">
        <v>22</v>
      </c>
      <c r="C3132" s="7">
        <v>119</v>
      </c>
      <c r="D3132" s="1">
        <v>44942</v>
      </c>
      <c r="E3132" s="29">
        <v>4.5999999999999996</v>
      </c>
      <c r="F3132" t="s">
        <v>4</v>
      </c>
      <c r="G3132" t="str">
        <f t="shared" si="48"/>
        <v>2023-01</v>
      </c>
    </row>
    <row r="3133" spans="1:7" x14ac:dyDescent="0.3">
      <c r="A3133">
        <v>4073</v>
      </c>
      <c r="B3133" t="s">
        <v>11</v>
      </c>
      <c r="C3133" s="7">
        <v>20</v>
      </c>
      <c r="D3133" s="1">
        <v>45199</v>
      </c>
      <c r="E3133" s="29">
        <v>2.8</v>
      </c>
      <c r="F3133" t="s">
        <v>1</v>
      </c>
      <c r="G3133" t="str">
        <f t="shared" si="48"/>
        <v>2023-09</v>
      </c>
    </row>
    <row r="3134" spans="1:7" x14ac:dyDescent="0.3">
      <c r="A3134">
        <v>3971</v>
      </c>
      <c r="B3134" t="s">
        <v>44</v>
      </c>
      <c r="C3134" s="7">
        <v>107</v>
      </c>
      <c r="D3134" s="1">
        <v>44855</v>
      </c>
      <c r="E3134" s="29">
        <v>2.92063492063492</v>
      </c>
      <c r="F3134" t="s">
        <v>4</v>
      </c>
      <c r="G3134" t="str">
        <f t="shared" si="48"/>
        <v>2022-10</v>
      </c>
    </row>
    <row r="3135" spans="1:7" x14ac:dyDescent="0.3">
      <c r="A3135">
        <v>4051</v>
      </c>
      <c r="B3135" t="s">
        <v>25</v>
      </c>
      <c r="C3135" s="7">
        <v>110</v>
      </c>
      <c r="D3135" s="1">
        <v>44905</v>
      </c>
      <c r="E3135" s="29">
        <v>4.5999999999999996</v>
      </c>
      <c r="F3135" t="s">
        <v>1</v>
      </c>
      <c r="G3135" t="str">
        <f t="shared" si="48"/>
        <v>2022-12</v>
      </c>
    </row>
    <row r="3136" spans="1:7" x14ac:dyDescent="0.3">
      <c r="A3136">
        <v>4089</v>
      </c>
      <c r="B3136" t="s">
        <v>24</v>
      </c>
      <c r="C3136" s="7">
        <v>200</v>
      </c>
      <c r="D3136" s="1">
        <v>45125</v>
      </c>
      <c r="E3136" s="29">
        <v>2.7</v>
      </c>
      <c r="F3136" t="s">
        <v>4</v>
      </c>
      <c r="G3136" t="str">
        <f t="shared" si="48"/>
        <v>2023-07</v>
      </c>
    </row>
    <row r="3137" spans="1:7" x14ac:dyDescent="0.3">
      <c r="A3137">
        <v>3959</v>
      </c>
      <c r="B3137" t="s">
        <v>51</v>
      </c>
      <c r="C3137" s="7">
        <v>147</v>
      </c>
      <c r="D3137" s="1">
        <v>44881</v>
      </c>
      <c r="E3137" s="29">
        <v>3.6</v>
      </c>
      <c r="F3137" t="s">
        <v>4</v>
      </c>
      <c r="G3137" t="str">
        <f t="shared" si="48"/>
        <v>2022-11</v>
      </c>
    </row>
    <row r="3138" spans="1:7" x14ac:dyDescent="0.3">
      <c r="A3138">
        <v>4000</v>
      </c>
      <c r="B3138" t="s">
        <v>38</v>
      </c>
      <c r="C3138" s="7">
        <v>190</v>
      </c>
      <c r="D3138" s="1">
        <v>45005</v>
      </c>
      <c r="E3138" s="29">
        <v>3.0230769230769199</v>
      </c>
      <c r="F3138" t="s">
        <v>1</v>
      </c>
      <c r="G3138" t="str">
        <f t="shared" si="48"/>
        <v>2023-03</v>
      </c>
    </row>
    <row r="3139" spans="1:7" x14ac:dyDescent="0.3">
      <c r="A3139">
        <v>4040</v>
      </c>
      <c r="B3139" t="s">
        <v>15</v>
      </c>
      <c r="C3139" s="7">
        <v>143</v>
      </c>
      <c r="D3139" s="1">
        <v>45122</v>
      </c>
      <c r="E3139" s="29">
        <v>3.1</v>
      </c>
      <c r="F3139" t="s">
        <v>1</v>
      </c>
      <c r="G3139" t="str">
        <f t="shared" ref="G3139:G3202" si="49">TEXT(D3139,"ГГГГ-ММ")</f>
        <v>2023-07</v>
      </c>
    </row>
    <row r="3140" spans="1:7" x14ac:dyDescent="0.3">
      <c r="A3140">
        <v>4062</v>
      </c>
      <c r="B3140" t="s">
        <v>37</v>
      </c>
      <c r="C3140" s="7">
        <v>97.720588235294102</v>
      </c>
      <c r="D3140" s="1">
        <v>45024</v>
      </c>
      <c r="E3140" s="29">
        <v>3.2</v>
      </c>
      <c r="F3140" t="s">
        <v>4</v>
      </c>
      <c r="G3140" t="str">
        <f t="shared" si="49"/>
        <v>2023-04</v>
      </c>
    </row>
    <row r="3141" spans="1:7" x14ac:dyDescent="0.3">
      <c r="A3141">
        <v>4057</v>
      </c>
      <c r="B3141" t="s">
        <v>32</v>
      </c>
      <c r="C3141" s="7">
        <v>20</v>
      </c>
      <c r="D3141" s="1">
        <v>45197</v>
      </c>
      <c r="E3141" s="29">
        <v>1.4</v>
      </c>
      <c r="F3141" t="s">
        <v>4</v>
      </c>
      <c r="G3141" t="str">
        <f t="shared" si="49"/>
        <v>2023-09</v>
      </c>
    </row>
    <row r="3142" spans="1:7" x14ac:dyDescent="0.3">
      <c r="A3142">
        <v>3997</v>
      </c>
      <c r="B3142" t="s">
        <v>17</v>
      </c>
      <c r="C3142" s="7">
        <v>72</v>
      </c>
      <c r="D3142" s="1">
        <v>45174</v>
      </c>
      <c r="E3142" s="29">
        <v>3.22399999999999</v>
      </c>
      <c r="F3142" t="s">
        <v>1</v>
      </c>
      <c r="G3142" t="str">
        <f t="shared" si="49"/>
        <v>2023-09</v>
      </c>
    </row>
    <row r="3143" spans="1:7" x14ac:dyDescent="0.3">
      <c r="A3143">
        <v>3985</v>
      </c>
      <c r="B3143" t="s">
        <v>16</v>
      </c>
      <c r="C3143" s="7">
        <v>111</v>
      </c>
      <c r="D3143" s="1">
        <v>44991</v>
      </c>
      <c r="E3143" s="29">
        <v>3.7</v>
      </c>
      <c r="F3143" t="s">
        <v>4</v>
      </c>
      <c r="G3143" t="str">
        <f t="shared" si="49"/>
        <v>2023-03</v>
      </c>
    </row>
    <row r="3144" spans="1:7" x14ac:dyDescent="0.3">
      <c r="A3144">
        <v>3990</v>
      </c>
      <c r="B3144" t="s">
        <v>38</v>
      </c>
      <c r="C3144" s="7">
        <v>20</v>
      </c>
      <c r="D3144" s="1">
        <v>45164</v>
      </c>
      <c r="E3144" s="29">
        <v>3.0230769230769199</v>
      </c>
      <c r="F3144" t="s">
        <v>4</v>
      </c>
      <c r="G3144" t="str">
        <f t="shared" si="49"/>
        <v>2023-08</v>
      </c>
    </row>
    <row r="3145" spans="1:7" x14ac:dyDescent="0.3">
      <c r="A3145">
        <v>4094</v>
      </c>
      <c r="B3145" t="s">
        <v>48</v>
      </c>
      <c r="C3145" s="7">
        <v>142</v>
      </c>
      <c r="D3145" s="1">
        <v>44919</v>
      </c>
      <c r="E3145" s="29">
        <v>3.5</v>
      </c>
      <c r="F3145" t="s">
        <v>4</v>
      </c>
      <c r="G3145" t="str">
        <f t="shared" si="49"/>
        <v>2022-12</v>
      </c>
    </row>
    <row r="3146" spans="1:7" x14ac:dyDescent="0.3">
      <c r="A3146">
        <v>4064</v>
      </c>
      <c r="B3146" t="s">
        <v>41</v>
      </c>
      <c r="C3146" s="7">
        <v>22</v>
      </c>
      <c r="D3146" s="1">
        <v>44952</v>
      </c>
      <c r="E3146" s="29">
        <v>2.70806451612903</v>
      </c>
      <c r="F3146" t="s">
        <v>1</v>
      </c>
      <c r="G3146" t="str">
        <f t="shared" si="49"/>
        <v>2023-01</v>
      </c>
    </row>
    <row r="3147" spans="1:7" x14ac:dyDescent="0.3">
      <c r="A3147">
        <v>4079</v>
      </c>
      <c r="B3147" t="s">
        <v>25</v>
      </c>
      <c r="C3147" s="7">
        <v>112.745762711864</v>
      </c>
      <c r="D3147" s="1">
        <v>44952</v>
      </c>
      <c r="E3147" s="29">
        <v>4.7</v>
      </c>
      <c r="F3147" t="s">
        <v>4</v>
      </c>
      <c r="G3147" t="str">
        <f t="shared" si="49"/>
        <v>2023-01</v>
      </c>
    </row>
    <row r="3148" spans="1:7" x14ac:dyDescent="0.3">
      <c r="A3148">
        <v>3974</v>
      </c>
      <c r="B3148" t="s">
        <v>28</v>
      </c>
      <c r="C3148" s="7">
        <v>87</v>
      </c>
      <c r="D3148" s="1">
        <v>44925</v>
      </c>
      <c r="E3148" s="29">
        <v>4.2</v>
      </c>
      <c r="F3148" t="s">
        <v>1</v>
      </c>
      <c r="G3148" t="str">
        <f t="shared" si="49"/>
        <v>2022-12</v>
      </c>
    </row>
    <row r="3149" spans="1:7" x14ac:dyDescent="0.3">
      <c r="A3149">
        <v>4056</v>
      </c>
      <c r="B3149" t="s">
        <v>34</v>
      </c>
      <c r="C3149" s="7">
        <v>83</v>
      </c>
      <c r="D3149" s="1">
        <v>44989</v>
      </c>
      <c r="E3149" s="29">
        <v>3.7</v>
      </c>
      <c r="F3149" t="s">
        <v>1</v>
      </c>
      <c r="G3149" t="str">
        <f t="shared" si="49"/>
        <v>2023-03</v>
      </c>
    </row>
    <row r="3150" spans="1:7" x14ac:dyDescent="0.3">
      <c r="A3150">
        <v>4009</v>
      </c>
      <c r="B3150" t="s">
        <v>39</v>
      </c>
      <c r="C3150" s="7">
        <v>118</v>
      </c>
      <c r="D3150" s="1">
        <v>44882</v>
      </c>
      <c r="E3150" s="29">
        <v>3.3</v>
      </c>
      <c r="F3150" t="s">
        <v>1</v>
      </c>
      <c r="G3150" t="str">
        <f t="shared" si="49"/>
        <v>2022-11</v>
      </c>
    </row>
    <row r="3151" spans="1:7" x14ac:dyDescent="0.3">
      <c r="A3151">
        <v>3990</v>
      </c>
      <c r="B3151" t="s">
        <v>2</v>
      </c>
      <c r="C3151" s="7">
        <v>23</v>
      </c>
      <c r="D3151" s="1">
        <v>45028</v>
      </c>
      <c r="E3151" s="29">
        <v>4.5</v>
      </c>
      <c r="F3151" t="s">
        <v>1</v>
      </c>
      <c r="G3151" t="str">
        <f t="shared" si="49"/>
        <v>2023-04</v>
      </c>
    </row>
    <row r="3152" spans="1:7" x14ac:dyDescent="0.3">
      <c r="A3152">
        <v>4009</v>
      </c>
      <c r="B3152" t="s">
        <v>0</v>
      </c>
      <c r="C3152" s="7">
        <v>46</v>
      </c>
      <c r="D3152" s="1">
        <v>45026</v>
      </c>
      <c r="E3152" s="29">
        <v>2.8</v>
      </c>
      <c r="F3152" t="s">
        <v>1</v>
      </c>
      <c r="G3152" t="str">
        <f t="shared" si="49"/>
        <v>2023-04</v>
      </c>
    </row>
    <row r="3153" spans="1:7" x14ac:dyDescent="0.3">
      <c r="A3153">
        <v>4036</v>
      </c>
      <c r="B3153" t="s">
        <v>0</v>
      </c>
      <c r="C3153" s="7">
        <v>175</v>
      </c>
      <c r="D3153" s="1">
        <v>44871</v>
      </c>
      <c r="E3153" s="29">
        <v>1.4</v>
      </c>
      <c r="F3153" t="s">
        <v>1</v>
      </c>
      <c r="G3153" t="str">
        <f t="shared" si="49"/>
        <v>2022-11</v>
      </c>
    </row>
    <row r="3154" spans="1:7" x14ac:dyDescent="0.3">
      <c r="A3154">
        <v>4067</v>
      </c>
      <c r="B3154" t="s">
        <v>22</v>
      </c>
      <c r="C3154" s="7">
        <v>194</v>
      </c>
      <c r="D3154" s="1">
        <v>45117</v>
      </c>
      <c r="E3154" s="29">
        <v>4.9000000000000004</v>
      </c>
      <c r="F3154" t="s">
        <v>4</v>
      </c>
      <c r="G3154" t="str">
        <f t="shared" si="49"/>
        <v>2023-07</v>
      </c>
    </row>
    <row r="3155" spans="1:7" x14ac:dyDescent="0.3">
      <c r="A3155">
        <v>4078</v>
      </c>
      <c r="B3155" t="s">
        <v>45</v>
      </c>
      <c r="C3155" s="7">
        <v>56</v>
      </c>
      <c r="D3155" s="1">
        <v>45013</v>
      </c>
      <c r="E3155" s="29">
        <v>3.2</v>
      </c>
      <c r="F3155" t="s">
        <v>4</v>
      </c>
      <c r="G3155" t="str">
        <f t="shared" si="49"/>
        <v>2023-03</v>
      </c>
    </row>
    <row r="3156" spans="1:7" x14ac:dyDescent="0.3">
      <c r="A3156">
        <v>3997</v>
      </c>
      <c r="B3156" t="s">
        <v>7</v>
      </c>
      <c r="C3156" s="7">
        <v>188</v>
      </c>
      <c r="D3156" s="1">
        <v>45156</v>
      </c>
      <c r="E3156" s="29">
        <v>4.9000000000000004</v>
      </c>
      <c r="F3156" t="s">
        <v>1</v>
      </c>
      <c r="G3156" t="str">
        <f t="shared" si="49"/>
        <v>2023-08</v>
      </c>
    </row>
    <row r="3157" spans="1:7" x14ac:dyDescent="0.3">
      <c r="A3157">
        <v>4111</v>
      </c>
      <c r="B3157" t="s">
        <v>2</v>
      </c>
      <c r="C3157" s="7">
        <v>110</v>
      </c>
      <c r="D3157" s="1">
        <v>44966</v>
      </c>
      <c r="E3157" s="29">
        <v>3</v>
      </c>
      <c r="F3157" t="s">
        <v>4</v>
      </c>
      <c r="G3157" t="str">
        <f t="shared" si="49"/>
        <v>2023-02</v>
      </c>
    </row>
    <row r="3158" spans="1:7" x14ac:dyDescent="0.3">
      <c r="A3158">
        <v>4104</v>
      </c>
      <c r="B3158" t="s">
        <v>50</v>
      </c>
      <c r="C3158" s="7">
        <v>125</v>
      </c>
      <c r="D3158" s="1">
        <v>45111</v>
      </c>
      <c r="E3158" s="29">
        <v>4.4000000000000004</v>
      </c>
      <c r="F3158" t="s">
        <v>1</v>
      </c>
      <c r="G3158" t="str">
        <f t="shared" si="49"/>
        <v>2023-07</v>
      </c>
    </row>
    <row r="3159" spans="1:7" x14ac:dyDescent="0.3">
      <c r="A3159">
        <v>4036</v>
      </c>
      <c r="B3159" t="s">
        <v>10</v>
      </c>
      <c r="C3159" s="7">
        <v>120.375</v>
      </c>
      <c r="D3159" s="1">
        <v>44962</v>
      </c>
      <c r="E3159" s="29">
        <v>4.7</v>
      </c>
      <c r="F3159" t="s">
        <v>1</v>
      </c>
      <c r="G3159" t="str">
        <f t="shared" si="49"/>
        <v>2023-02</v>
      </c>
    </row>
    <row r="3160" spans="1:7" x14ac:dyDescent="0.3">
      <c r="A3160">
        <v>4107</v>
      </c>
      <c r="B3160" t="s">
        <v>38</v>
      </c>
      <c r="C3160" s="7">
        <v>192</v>
      </c>
      <c r="D3160" s="1">
        <v>45134</v>
      </c>
      <c r="E3160" s="29">
        <v>2.2000000000000002</v>
      </c>
      <c r="F3160" t="s">
        <v>1</v>
      </c>
      <c r="G3160" t="str">
        <f t="shared" si="49"/>
        <v>2023-07</v>
      </c>
    </row>
    <row r="3161" spans="1:7" x14ac:dyDescent="0.3">
      <c r="A3161">
        <v>4008</v>
      </c>
      <c r="B3161" t="s">
        <v>5</v>
      </c>
      <c r="C3161" s="7">
        <v>126</v>
      </c>
      <c r="D3161" s="1">
        <v>45057</v>
      </c>
      <c r="E3161" s="29">
        <v>4</v>
      </c>
      <c r="F3161" t="s">
        <v>1</v>
      </c>
      <c r="G3161" t="str">
        <f t="shared" si="49"/>
        <v>2023-05</v>
      </c>
    </row>
    <row r="3162" spans="1:7" x14ac:dyDescent="0.3">
      <c r="A3162">
        <v>4085</v>
      </c>
      <c r="B3162" t="s">
        <v>38</v>
      </c>
      <c r="C3162" s="7">
        <v>103.222222222222</v>
      </c>
      <c r="D3162" s="1">
        <v>45035</v>
      </c>
      <c r="E3162" s="29">
        <v>4.5</v>
      </c>
      <c r="F3162" t="s">
        <v>1</v>
      </c>
      <c r="G3162" t="str">
        <f t="shared" si="49"/>
        <v>2023-04</v>
      </c>
    </row>
    <row r="3163" spans="1:7" x14ac:dyDescent="0.3">
      <c r="A3163">
        <v>4074</v>
      </c>
      <c r="B3163" t="s">
        <v>11</v>
      </c>
      <c r="C3163" s="7">
        <v>176</v>
      </c>
      <c r="D3163" s="1">
        <v>44848</v>
      </c>
      <c r="E3163" s="29">
        <v>3.1</v>
      </c>
      <c r="F3163" t="s">
        <v>4</v>
      </c>
      <c r="G3163" t="str">
        <f t="shared" si="49"/>
        <v>2022-10</v>
      </c>
    </row>
    <row r="3164" spans="1:7" x14ac:dyDescent="0.3">
      <c r="A3164">
        <v>4027</v>
      </c>
      <c r="B3164" t="s">
        <v>28</v>
      </c>
      <c r="C3164" s="7">
        <v>51</v>
      </c>
      <c r="D3164" s="1">
        <v>45074</v>
      </c>
      <c r="E3164" s="29">
        <v>3.3</v>
      </c>
      <c r="F3164" t="s">
        <v>1</v>
      </c>
      <c r="G3164" t="str">
        <f t="shared" si="49"/>
        <v>2023-05</v>
      </c>
    </row>
    <row r="3165" spans="1:7" x14ac:dyDescent="0.3">
      <c r="A3165">
        <v>4008</v>
      </c>
      <c r="B3165" t="s">
        <v>40</v>
      </c>
      <c r="C3165" s="7">
        <v>41</v>
      </c>
      <c r="D3165" s="1">
        <v>44942</v>
      </c>
      <c r="E3165" s="29">
        <v>3</v>
      </c>
      <c r="F3165" t="s">
        <v>4</v>
      </c>
      <c r="G3165" t="str">
        <f t="shared" si="49"/>
        <v>2023-01</v>
      </c>
    </row>
    <row r="3166" spans="1:7" x14ac:dyDescent="0.3">
      <c r="A3166">
        <v>3958</v>
      </c>
      <c r="B3166" t="s">
        <v>50</v>
      </c>
      <c r="C3166" s="7">
        <v>123.21818181818099</v>
      </c>
      <c r="D3166" s="1">
        <v>44989</v>
      </c>
      <c r="E3166" s="29">
        <v>1</v>
      </c>
      <c r="F3166" t="s">
        <v>4</v>
      </c>
      <c r="G3166" t="str">
        <f t="shared" si="49"/>
        <v>2023-03</v>
      </c>
    </row>
    <row r="3167" spans="1:7" x14ac:dyDescent="0.3">
      <c r="A3167">
        <v>3993</v>
      </c>
      <c r="B3167" t="s">
        <v>36</v>
      </c>
      <c r="C3167" s="7">
        <v>172</v>
      </c>
      <c r="D3167" s="1">
        <v>44985</v>
      </c>
      <c r="E3167" s="29">
        <v>4.2</v>
      </c>
      <c r="F3167" t="s">
        <v>1</v>
      </c>
      <c r="G3167" t="str">
        <f t="shared" si="49"/>
        <v>2023-02</v>
      </c>
    </row>
    <row r="3168" spans="1:7" x14ac:dyDescent="0.3">
      <c r="A3168">
        <v>4071</v>
      </c>
      <c r="B3168" t="s">
        <v>36</v>
      </c>
      <c r="C3168" s="7">
        <v>144</v>
      </c>
      <c r="D3168" s="1">
        <v>45032</v>
      </c>
      <c r="E3168" s="29">
        <v>1.2</v>
      </c>
      <c r="F3168" t="s">
        <v>1</v>
      </c>
      <c r="G3168" t="str">
        <f t="shared" si="49"/>
        <v>2023-04</v>
      </c>
    </row>
    <row r="3169" spans="1:7" x14ac:dyDescent="0.3">
      <c r="A3169">
        <v>3973</v>
      </c>
      <c r="B3169" t="s">
        <v>19</v>
      </c>
      <c r="C3169" s="7">
        <v>196</v>
      </c>
      <c r="D3169" s="1">
        <v>45077</v>
      </c>
      <c r="E3169" s="29">
        <v>2.9</v>
      </c>
      <c r="F3169" t="s">
        <v>4</v>
      </c>
      <c r="G3169" t="str">
        <f t="shared" si="49"/>
        <v>2023-05</v>
      </c>
    </row>
    <row r="3170" spans="1:7" x14ac:dyDescent="0.3">
      <c r="A3170">
        <v>4059</v>
      </c>
      <c r="B3170" t="s">
        <v>50</v>
      </c>
      <c r="C3170" s="7">
        <v>140</v>
      </c>
      <c r="D3170" s="1">
        <v>45199</v>
      </c>
      <c r="E3170" s="29">
        <v>3</v>
      </c>
      <c r="F3170" t="s">
        <v>1</v>
      </c>
      <c r="G3170" t="str">
        <f t="shared" si="49"/>
        <v>2023-09</v>
      </c>
    </row>
    <row r="3171" spans="1:7" x14ac:dyDescent="0.3">
      <c r="A3171">
        <v>4111</v>
      </c>
      <c r="B3171" t="s">
        <v>47</v>
      </c>
      <c r="C3171" s="7">
        <v>50</v>
      </c>
      <c r="D3171" s="1">
        <v>44966</v>
      </c>
      <c r="E3171" s="29">
        <v>4.4000000000000004</v>
      </c>
      <c r="F3171" t="s">
        <v>1</v>
      </c>
      <c r="G3171" t="str">
        <f t="shared" si="49"/>
        <v>2023-02</v>
      </c>
    </row>
    <row r="3172" spans="1:7" x14ac:dyDescent="0.3">
      <c r="A3172">
        <v>4020</v>
      </c>
      <c r="B3172" t="s">
        <v>14</v>
      </c>
      <c r="C3172" s="7">
        <v>107</v>
      </c>
      <c r="D3172" s="1">
        <v>45035</v>
      </c>
      <c r="E3172" s="29">
        <v>1.3</v>
      </c>
      <c r="F3172" t="s">
        <v>4</v>
      </c>
      <c r="G3172" t="str">
        <f t="shared" si="49"/>
        <v>2023-04</v>
      </c>
    </row>
    <row r="3173" spans="1:7" x14ac:dyDescent="0.3">
      <c r="A3173">
        <v>4091</v>
      </c>
      <c r="B3173" t="s">
        <v>25</v>
      </c>
      <c r="C3173" s="7">
        <v>112.745762711864</v>
      </c>
      <c r="D3173" s="1">
        <v>44926</v>
      </c>
      <c r="E3173" s="29">
        <v>1.4</v>
      </c>
      <c r="F3173" t="s">
        <v>1</v>
      </c>
      <c r="G3173" t="str">
        <f t="shared" si="49"/>
        <v>2022-12</v>
      </c>
    </row>
    <row r="3174" spans="1:7" x14ac:dyDescent="0.3">
      <c r="A3174">
        <v>4041</v>
      </c>
      <c r="B3174" t="s">
        <v>36</v>
      </c>
      <c r="C3174" s="7">
        <v>90.925925925925895</v>
      </c>
      <c r="D3174" s="1">
        <v>44898</v>
      </c>
      <c r="E3174" s="29">
        <v>1.3</v>
      </c>
      <c r="F3174" t="s">
        <v>1</v>
      </c>
      <c r="G3174" t="str">
        <f t="shared" si="49"/>
        <v>2022-12</v>
      </c>
    </row>
    <row r="3175" spans="1:7" x14ac:dyDescent="0.3">
      <c r="A3175">
        <v>4102</v>
      </c>
      <c r="B3175" t="s">
        <v>29</v>
      </c>
      <c r="C3175" s="7">
        <v>178</v>
      </c>
      <c r="D3175" s="1">
        <v>45012</v>
      </c>
      <c r="E3175" s="29">
        <v>4.5999999999999996</v>
      </c>
      <c r="F3175" t="s">
        <v>1</v>
      </c>
      <c r="G3175" t="str">
        <f t="shared" si="49"/>
        <v>2023-03</v>
      </c>
    </row>
    <row r="3176" spans="1:7" x14ac:dyDescent="0.3">
      <c r="A3176">
        <v>4082</v>
      </c>
      <c r="B3176" t="s">
        <v>26</v>
      </c>
      <c r="C3176" s="7">
        <v>51</v>
      </c>
      <c r="D3176" s="1">
        <v>45159</v>
      </c>
      <c r="E3176" s="29">
        <v>3.4</v>
      </c>
      <c r="F3176" t="s">
        <v>1</v>
      </c>
      <c r="G3176" t="str">
        <f t="shared" si="49"/>
        <v>2023-08</v>
      </c>
    </row>
    <row r="3177" spans="1:7" x14ac:dyDescent="0.3">
      <c r="A3177">
        <v>4074</v>
      </c>
      <c r="B3177" t="s">
        <v>0</v>
      </c>
      <c r="C3177" s="7">
        <v>55</v>
      </c>
      <c r="D3177" s="1">
        <v>45129</v>
      </c>
      <c r="E3177" s="29">
        <v>3.4</v>
      </c>
      <c r="F3177" t="s">
        <v>1</v>
      </c>
      <c r="G3177" t="str">
        <f t="shared" si="49"/>
        <v>2023-07</v>
      </c>
    </row>
    <row r="3178" spans="1:7" x14ac:dyDescent="0.3">
      <c r="A3178">
        <v>4075</v>
      </c>
      <c r="B3178" t="s">
        <v>32</v>
      </c>
      <c r="C3178" s="7">
        <v>23</v>
      </c>
      <c r="D3178" s="1">
        <v>45018</v>
      </c>
      <c r="E3178" s="29">
        <v>4.5999999999999996</v>
      </c>
      <c r="F3178" t="s">
        <v>1</v>
      </c>
      <c r="G3178" t="str">
        <f t="shared" si="49"/>
        <v>2023-04</v>
      </c>
    </row>
    <row r="3179" spans="1:7" x14ac:dyDescent="0.3">
      <c r="A3179">
        <v>4104</v>
      </c>
      <c r="B3179" t="s">
        <v>50</v>
      </c>
      <c r="C3179" s="7">
        <v>89</v>
      </c>
      <c r="D3179" s="1">
        <v>45114</v>
      </c>
      <c r="E3179" s="29">
        <v>3.9</v>
      </c>
      <c r="F3179" t="s">
        <v>1</v>
      </c>
      <c r="G3179" t="str">
        <f t="shared" si="49"/>
        <v>2023-07</v>
      </c>
    </row>
    <row r="3180" spans="1:7" x14ac:dyDescent="0.3">
      <c r="A3180">
        <v>3967</v>
      </c>
      <c r="B3180" t="s">
        <v>0</v>
      </c>
      <c r="C3180" s="7">
        <v>124</v>
      </c>
      <c r="D3180" s="1">
        <v>44981</v>
      </c>
      <c r="E3180" s="29">
        <v>4.8</v>
      </c>
      <c r="F3180" t="s">
        <v>4</v>
      </c>
      <c r="G3180" t="str">
        <f t="shared" si="49"/>
        <v>2023-02</v>
      </c>
    </row>
    <row r="3181" spans="1:7" x14ac:dyDescent="0.3">
      <c r="A3181">
        <v>3980</v>
      </c>
      <c r="B3181" t="s">
        <v>5</v>
      </c>
      <c r="C3181" s="7">
        <v>56</v>
      </c>
      <c r="D3181" s="1">
        <v>45168</v>
      </c>
      <c r="E3181" s="29">
        <v>4.4000000000000004</v>
      </c>
      <c r="F3181" t="s">
        <v>1</v>
      </c>
      <c r="G3181" t="str">
        <f t="shared" si="49"/>
        <v>2023-08</v>
      </c>
    </row>
    <row r="3182" spans="1:7" x14ac:dyDescent="0.3">
      <c r="A3182">
        <v>4030</v>
      </c>
      <c r="B3182" t="s">
        <v>41</v>
      </c>
      <c r="C3182" s="7">
        <v>93.135593220338905</v>
      </c>
      <c r="D3182" s="1">
        <v>44878</v>
      </c>
      <c r="E3182" s="29">
        <v>1.2</v>
      </c>
      <c r="F3182" t="s">
        <v>1</v>
      </c>
      <c r="G3182" t="str">
        <f t="shared" si="49"/>
        <v>2022-11</v>
      </c>
    </row>
    <row r="3183" spans="1:7" x14ac:dyDescent="0.3">
      <c r="A3183">
        <v>4122</v>
      </c>
      <c r="B3183" t="s">
        <v>9</v>
      </c>
      <c r="C3183" s="7">
        <v>103.564102564102</v>
      </c>
      <c r="D3183" s="1">
        <v>45157</v>
      </c>
      <c r="E3183" s="29">
        <v>2.8381818181818099</v>
      </c>
      <c r="F3183" t="s">
        <v>1</v>
      </c>
      <c r="G3183" t="str">
        <f t="shared" si="49"/>
        <v>2023-08</v>
      </c>
    </row>
    <row r="3184" spans="1:7" x14ac:dyDescent="0.3">
      <c r="A3184">
        <v>4073</v>
      </c>
      <c r="B3184" t="s">
        <v>38</v>
      </c>
      <c r="C3184" s="7">
        <v>169</v>
      </c>
      <c r="D3184" s="1">
        <v>45085</v>
      </c>
      <c r="E3184" s="29">
        <v>3.9</v>
      </c>
      <c r="F3184" t="s">
        <v>4</v>
      </c>
      <c r="G3184" t="str">
        <f t="shared" si="49"/>
        <v>2023-06</v>
      </c>
    </row>
    <row r="3185" spans="1:7" x14ac:dyDescent="0.3">
      <c r="A3185">
        <v>4045</v>
      </c>
      <c r="B3185" t="s">
        <v>47</v>
      </c>
      <c r="C3185" s="7">
        <v>13</v>
      </c>
      <c r="D3185" s="1">
        <v>44973</v>
      </c>
      <c r="E3185" s="29">
        <v>4.2</v>
      </c>
      <c r="F3185" t="s">
        <v>1</v>
      </c>
      <c r="G3185" t="str">
        <f t="shared" si="49"/>
        <v>2023-02</v>
      </c>
    </row>
    <row r="3186" spans="1:7" x14ac:dyDescent="0.3">
      <c r="A3186">
        <v>4033</v>
      </c>
      <c r="B3186" t="s">
        <v>10</v>
      </c>
      <c r="C3186" s="7">
        <v>137</v>
      </c>
      <c r="D3186" s="1">
        <v>45148</v>
      </c>
      <c r="E3186" s="29">
        <v>2.7</v>
      </c>
      <c r="F3186" t="s">
        <v>1</v>
      </c>
      <c r="G3186" t="str">
        <f t="shared" si="49"/>
        <v>2023-08</v>
      </c>
    </row>
    <row r="3187" spans="1:7" x14ac:dyDescent="0.3">
      <c r="A3187">
        <v>4057</v>
      </c>
      <c r="B3187" t="s">
        <v>11</v>
      </c>
      <c r="C3187" s="7">
        <v>11</v>
      </c>
      <c r="D3187" s="1">
        <v>44894</v>
      </c>
      <c r="E3187" s="29">
        <v>1.2</v>
      </c>
      <c r="F3187" t="s">
        <v>1</v>
      </c>
      <c r="G3187" t="str">
        <f t="shared" si="49"/>
        <v>2022-11</v>
      </c>
    </row>
    <row r="3188" spans="1:7" x14ac:dyDescent="0.3">
      <c r="A3188">
        <v>4113</v>
      </c>
      <c r="B3188" t="s">
        <v>13</v>
      </c>
      <c r="C3188" s="7">
        <v>136</v>
      </c>
      <c r="D3188" s="1">
        <v>45053</v>
      </c>
      <c r="E3188" s="29">
        <v>3.6</v>
      </c>
      <c r="F3188" t="s">
        <v>4</v>
      </c>
      <c r="G3188" t="str">
        <f t="shared" si="49"/>
        <v>2023-05</v>
      </c>
    </row>
    <row r="3189" spans="1:7" x14ac:dyDescent="0.3">
      <c r="A3189">
        <v>4001</v>
      </c>
      <c r="B3189" t="s">
        <v>22</v>
      </c>
      <c r="C3189" s="7">
        <v>160</v>
      </c>
      <c r="D3189" s="1">
        <v>44868</v>
      </c>
      <c r="E3189" s="29">
        <v>2.1</v>
      </c>
      <c r="F3189" t="s">
        <v>4</v>
      </c>
      <c r="G3189" t="str">
        <f t="shared" si="49"/>
        <v>2022-11</v>
      </c>
    </row>
    <row r="3190" spans="1:7" x14ac:dyDescent="0.3">
      <c r="A3190">
        <v>4063</v>
      </c>
      <c r="B3190" t="s">
        <v>39</v>
      </c>
      <c r="C3190" s="7">
        <v>126</v>
      </c>
      <c r="D3190" s="1">
        <v>45062</v>
      </c>
      <c r="E3190" s="29">
        <v>3.8</v>
      </c>
      <c r="F3190" t="s">
        <v>1</v>
      </c>
      <c r="G3190" t="str">
        <f t="shared" si="49"/>
        <v>2023-05</v>
      </c>
    </row>
    <row r="3191" spans="1:7" x14ac:dyDescent="0.3">
      <c r="A3191">
        <v>4020</v>
      </c>
      <c r="B3191" t="s">
        <v>44</v>
      </c>
      <c r="C3191" s="7">
        <v>30</v>
      </c>
      <c r="D3191" s="1">
        <v>44837</v>
      </c>
      <c r="E3191" s="29">
        <v>2.2999999999999998</v>
      </c>
      <c r="F3191" t="s">
        <v>1</v>
      </c>
      <c r="G3191" t="str">
        <f t="shared" si="49"/>
        <v>2022-10</v>
      </c>
    </row>
    <row r="3192" spans="1:7" x14ac:dyDescent="0.3">
      <c r="A3192">
        <v>4002</v>
      </c>
      <c r="B3192" t="s">
        <v>29</v>
      </c>
      <c r="C3192" s="7">
        <v>11</v>
      </c>
      <c r="D3192" s="1">
        <v>45008</v>
      </c>
      <c r="E3192" s="29">
        <v>1.4</v>
      </c>
      <c r="F3192" t="s">
        <v>1</v>
      </c>
      <c r="G3192" t="str">
        <f t="shared" si="49"/>
        <v>2023-03</v>
      </c>
    </row>
    <row r="3193" spans="1:7" x14ac:dyDescent="0.3">
      <c r="A3193">
        <v>4115</v>
      </c>
      <c r="B3193" t="s">
        <v>0</v>
      </c>
      <c r="C3193" s="7">
        <v>150</v>
      </c>
      <c r="D3193" s="1">
        <v>44842</v>
      </c>
      <c r="E3193" s="29">
        <v>3.3</v>
      </c>
      <c r="F3193" t="s">
        <v>4</v>
      </c>
      <c r="G3193" t="str">
        <f t="shared" si="49"/>
        <v>2022-10</v>
      </c>
    </row>
    <row r="3194" spans="1:7" x14ac:dyDescent="0.3">
      <c r="A3194">
        <v>4067</v>
      </c>
      <c r="B3194" t="s">
        <v>42</v>
      </c>
      <c r="C3194" s="7">
        <v>170</v>
      </c>
      <c r="D3194" s="1">
        <v>44918</v>
      </c>
      <c r="E3194" s="29">
        <v>3.6</v>
      </c>
      <c r="F3194" t="s">
        <v>1</v>
      </c>
      <c r="G3194" t="str">
        <f t="shared" si="49"/>
        <v>2022-12</v>
      </c>
    </row>
    <row r="3195" spans="1:7" x14ac:dyDescent="0.3">
      <c r="A3195">
        <v>4074</v>
      </c>
      <c r="B3195" t="s">
        <v>25</v>
      </c>
      <c r="C3195" s="7">
        <v>63</v>
      </c>
      <c r="D3195" s="1">
        <v>44920</v>
      </c>
      <c r="E3195" s="29">
        <v>1.7</v>
      </c>
      <c r="F3195" t="s">
        <v>4</v>
      </c>
      <c r="G3195" t="str">
        <f t="shared" si="49"/>
        <v>2022-12</v>
      </c>
    </row>
    <row r="3196" spans="1:7" x14ac:dyDescent="0.3">
      <c r="A3196">
        <v>4055</v>
      </c>
      <c r="B3196" t="s">
        <v>42</v>
      </c>
      <c r="C3196" s="7">
        <v>114.396551724137</v>
      </c>
      <c r="D3196" s="1">
        <v>44875</v>
      </c>
      <c r="E3196" s="29">
        <v>4.5</v>
      </c>
      <c r="F3196" t="s">
        <v>4</v>
      </c>
      <c r="G3196" t="str">
        <f t="shared" si="49"/>
        <v>2022-11</v>
      </c>
    </row>
    <row r="3197" spans="1:7" x14ac:dyDescent="0.3">
      <c r="A3197">
        <v>4003</v>
      </c>
      <c r="B3197" t="s">
        <v>6</v>
      </c>
      <c r="C3197" s="7">
        <v>114.77966101694901</v>
      </c>
      <c r="D3197" s="1">
        <v>45098</v>
      </c>
      <c r="E3197" s="29">
        <v>3.8</v>
      </c>
      <c r="F3197" t="s">
        <v>1</v>
      </c>
      <c r="G3197" t="str">
        <f t="shared" si="49"/>
        <v>2023-06</v>
      </c>
    </row>
    <row r="3198" spans="1:7" x14ac:dyDescent="0.3">
      <c r="A3198">
        <v>4102</v>
      </c>
      <c r="B3198" t="s">
        <v>22</v>
      </c>
      <c r="C3198" s="7">
        <v>19</v>
      </c>
      <c r="D3198" s="1">
        <v>45176</v>
      </c>
      <c r="E3198" s="29">
        <v>3.4</v>
      </c>
      <c r="F3198" t="s">
        <v>1</v>
      </c>
      <c r="G3198" t="str">
        <f t="shared" si="49"/>
        <v>2023-09</v>
      </c>
    </row>
    <row r="3199" spans="1:7" x14ac:dyDescent="0.3">
      <c r="A3199">
        <v>3981</v>
      </c>
      <c r="B3199" t="s">
        <v>26</v>
      </c>
      <c r="C3199" s="7">
        <v>103.267857142857</v>
      </c>
      <c r="D3199" s="1">
        <v>44884</v>
      </c>
      <c r="E3199" s="29">
        <v>2</v>
      </c>
      <c r="F3199" t="s">
        <v>4</v>
      </c>
      <c r="G3199" t="str">
        <f t="shared" si="49"/>
        <v>2022-11</v>
      </c>
    </row>
    <row r="3200" spans="1:7" x14ac:dyDescent="0.3">
      <c r="A3200">
        <v>4057</v>
      </c>
      <c r="B3200" t="s">
        <v>41</v>
      </c>
      <c r="C3200" s="7">
        <v>93.135593220338905</v>
      </c>
      <c r="D3200" s="1">
        <v>45043</v>
      </c>
      <c r="E3200" s="29">
        <v>3.4</v>
      </c>
      <c r="F3200" t="s">
        <v>1</v>
      </c>
      <c r="G3200" t="str">
        <f t="shared" si="49"/>
        <v>2023-04</v>
      </c>
    </row>
    <row r="3201" spans="1:7" x14ac:dyDescent="0.3">
      <c r="A3201">
        <v>3968</v>
      </c>
      <c r="B3201" t="s">
        <v>47</v>
      </c>
      <c r="C3201" s="7">
        <v>164</v>
      </c>
      <c r="D3201" s="1">
        <v>45125</v>
      </c>
      <c r="E3201" s="29">
        <v>3.1235294117647001</v>
      </c>
      <c r="F3201" t="s">
        <v>4</v>
      </c>
      <c r="G3201" t="str">
        <f t="shared" si="49"/>
        <v>2023-07</v>
      </c>
    </row>
    <row r="3202" spans="1:7" x14ac:dyDescent="0.3">
      <c r="A3202">
        <v>4018</v>
      </c>
      <c r="B3202" t="s">
        <v>36</v>
      </c>
      <c r="C3202" s="7">
        <v>32</v>
      </c>
      <c r="D3202" s="1">
        <v>45118</v>
      </c>
      <c r="E3202" s="29">
        <v>2.2000000000000002</v>
      </c>
      <c r="F3202" t="s">
        <v>1</v>
      </c>
      <c r="G3202" t="str">
        <f t="shared" si="49"/>
        <v>2023-07</v>
      </c>
    </row>
    <row r="3203" spans="1:7" x14ac:dyDescent="0.3">
      <c r="A3203">
        <v>3997</v>
      </c>
      <c r="B3203" t="s">
        <v>49</v>
      </c>
      <c r="C3203" s="7">
        <v>114.217391304347</v>
      </c>
      <c r="D3203" s="1">
        <v>44872</v>
      </c>
      <c r="E3203" s="29">
        <v>3.2020408163265301</v>
      </c>
      <c r="F3203" t="s">
        <v>4</v>
      </c>
      <c r="G3203" t="str">
        <f t="shared" ref="G3203:G3266" si="50">TEXT(D3203,"ГГГГ-ММ")</f>
        <v>2022-11</v>
      </c>
    </row>
    <row r="3204" spans="1:7" x14ac:dyDescent="0.3">
      <c r="A3204">
        <v>4027</v>
      </c>
      <c r="B3204" t="s">
        <v>22</v>
      </c>
      <c r="C3204" s="7">
        <v>55</v>
      </c>
      <c r="D3204" s="1">
        <v>45166</v>
      </c>
      <c r="E3204" s="29">
        <v>3.1651515151515102</v>
      </c>
      <c r="F3204" t="s">
        <v>1</v>
      </c>
      <c r="G3204" t="str">
        <f t="shared" si="50"/>
        <v>2023-08</v>
      </c>
    </row>
    <row r="3205" spans="1:7" x14ac:dyDescent="0.3">
      <c r="A3205">
        <v>4117</v>
      </c>
      <c r="B3205" t="s">
        <v>14</v>
      </c>
      <c r="C3205" s="7">
        <v>102.377358490566</v>
      </c>
      <c r="D3205" s="1">
        <v>44982</v>
      </c>
      <c r="E3205" s="29">
        <v>1.4</v>
      </c>
      <c r="F3205" t="s">
        <v>4</v>
      </c>
      <c r="G3205" t="str">
        <f t="shared" si="50"/>
        <v>2023-02</v>
      </c>
    </row>
    <row r="3206" spans="1:7" x14ac:dyDescent="0.3">
      <c r="A3206">
        <v>4094</v>
      </c>
      <c r="B3206" t="s">
        <v>46</v>
      </c>
      <c r="C3206" s="7">
        <v>179</v>
      </c>
      <c r="D3206" s="1">
        <v>44886</v>
      </c>
      <c r="E3206" s="29">
        <v>4.9000000000000004</v>
      </c>
      <c r="F3206" t="s">
        <v>4</v>
      </c>
      <c r="G3206" t="str">
        <f t="shared" si="50"/>
        <v>2022-11</v>
      </c>
    </row>
    <row r="3207" spans="1:7" x14ac:dyDescent="0.3">
      <c r="A3207">
        <v>4031</v>
      </c>
      <c r="B3207" t="s">
        <v>10</v>
      </c>
      <c r="C3207" s="7">
        <v>162</v>
      </c>
      <c r="D3207" s="1">
        <v>44952</v>
      </c>
      <c r="E3207" s="29">
        <v>4</v>
      </c>
      <c r="F3207" t="s">
        <v>4</v>
      </c>
      <c r="G3207" t="str">
        <f t="shared" si="50"/>
        <v>2023-01</v>
      </c>
    </row>
    <row r="3208" spans="1:7" x14ac:dyDescent="0.3">
      <c r="A3208">
        <v>3974</v>
      </c>
      <c r="B3208" t="s">
        <v>24</v>
      </c>
      <c r="C3208" s="7">
        <v>153</v>
      </c>
      <c r="D3208" s="1">
        <v>44989</v>
      </c>
      <c r="E3208" s="29">
        <v>2.6</v>
      </c>
      <c r="F3208" t="s">
        <v>4</v>
      </c>
      <c r="G3208" t="str">
        <f t="shared" si="50"/>
        <v>2023-03</v>
      </c>
    </row>
    <row r="3209" spans="1:7" x14ac:dyDescent="0.3">
      <c r="A3209">
        <v>4012</v>
      </c>
      <c r="B3209" t="s">
        <v>12</v>
      </c>
      <c r="C3209" s="7">
        <v>103.354166666666</v>
      </c>
      <c r="D3209" s="1">
        <v>44976</v>
      </c>
      <c r="E3209" s="29">
        <v>1.5</v>
      </c>
      <c r="F3209" t="s">
        <v>1</v>
      </c>
      <c r="G3209" t="str">
        <f t="shared" si="50"/>
        <v>2023-02</v>
      </c>
    </row>
    <row r="3210" spans="1:7" x14ac:dyDescent="0.3">
      <c r="A3210">
        <v>4083</v>
      </c>
      <c r="B3210" t="s">
        <v>34</v>
      </c>
      <c r="C3210" s="7">
        <v>158</v>
      </c>
      <c r="D3210" s="1">
        <v>45177</v>
      </c>
      <c r="E3210" s="29">
        <v>3.3</v>
      </c>
      <c r="F3210" t="s">
        <v>1</v>
      </c>
      <c r="G3210" t="str">
        <f t="shared" si="50"/>
        <v>2023-09</v>
      </c>
    </row>
    <row r="3211" spans="1:7" x14ac:dyDescent="0.3">
      <c r="A3211">
        <v>4062</v>
      </c>
      <c r="B3211" t="s">
        <v>34</v>
      </c>
      <c r="C3211" s="7">
        <v>19</v>
      </c>
      <c r="D3211" s="1">
        <v>45081</v>
      </c>
      <c r="E3211" s="29">
        <v>1.9</v>
      </c>
      <c r="F3211" t="s">
        <v>1</v>
      </c>
      <c r="G3211" t="str">
        <f t="shared" si="50"/>
        <v>2023-06</v>
      </c>
    </row>
    <row r="3212" spans="1:7" x14ac:dyDescent="0.3">
      <c r="A3212">
        <v>4098</v>
      </c>
      <c r="B3212" t="s">
        <v>50</v>
      </c>
      <c r="C3212" s="7">
        <v>123.21818181818099</v>
      </c>
      <c r="D3212" s="1">
        <v>45033</v>
      </c>
      <c r="E3212" s="29">
        <v>3.1</v>
      </c>
      <c r="F3212" t="s">
        <v>1</v>
      </c>
      <c r="G3212" t="str">
        <f t="shared" si="50"/>
        <v>2023-04</v>
      </c>
    </row>
    <row r="3213" spans="1:7" x14ac:dyDescent="0.3">
      <c r="A3213">
        <v>3988</v>
      </c>
      <c r="B3213" t="s">
        <v>34</v>
      </c>
      <c r="C3213" s="7">
        <v>104</v>
      </c>
      <c r="D3213" s="1">
        <v>45193</v>
      </c>
      <c r="E3213" s="29">
        <v>3.5</v>
      </c>
      <c r="F3213" t="s">
        <v>4</v>
      </c>
      <c r="G3213" t="str">
        <f t="shared" si="50"/>
        <v>2023-09</v>
      </c>
    </row>
    <row r="3214" spans="1:7" x14ac:dyDescent="0.3">
      <c r="A3214">
        <v>4051</v>
      </c>
      <c r="B3214" t="s">
        <v>45</v>
      </c>
      <c r="C3214" s="7">
        <v>27</v>
      </c>
      <c r="D3214" s="1">
        <v>44865</v>
      </c>
      <c r="E3214" s="29">
        <v>1.5</v>
      </c>
      <c r="F3214" t="s">
        <v>4</v>
      </c>
      <c r="G3214" t="str">
        <f t="shared" si="50"/>
        <v>2022-10</v>
      </c>
    </row>
    <row r="3215" spans="1:7" x14ac:dyDescent="0.3">
      <c r="A3215">
        <v>3976</v>
      </c>
      <c r="B3215" t="s">
        <v>44</v>
      </c>
      <c r="C3215" s="7">
        <v>150</v>
      </c>
      <c r="D3215" s="1">
        <v>45197</v>
      </c>
      <c r="E3215" s="29">
        <v>2.9</v>
      </c>
      <c r="F3215" t="s">
        <v>1</v>
      </c>
      <c r="G3215" t="str">
        <f t="shared" si="50"/>
        <v>2023-09</v>
      </c>
    </row>
    <row r="3216" spans="1:7" x14ac:dyDescent="0.3">
      <c r="A3216">
        <v>3983</v>
      </c>
      <c r="B3216" t="s">
        <v>29</v>
      </c>
      <c r="C3216" s="7">
        <v>108.734693877551</v>
      </c>
      <c r="D3216" s="1">
        <v>45138</v>
      </c>
      <c r="E3216" s="29">
        <v>4</v>
      </c>
      <c r="F3216" t="s">
        <v>4</v>
      </c>
      <c r="G3216" t="str">
        <f t="shared" si="50"/>
        <v>2023-07</v>
      </c>
    </row>
    <row r="3217" spans="1:7" x14ac:dyDescent="0.3">
      <c r="A3217">
        <v>4086</v>
      </c>
      <c r="B3217" t="s">
        <v>2</v>
      </c>
      <c r="C3217" s="7">
        <v>41</v>
      </c>
      <c r="D3217" s="1">
        <v>44966</v>
      </c>
      <c r="E3217" s="29">
        <v>3.3</v>
      </c>
      <c r="F3217" t="s">
        <v>1</v>
      </c>
      <c r="G3217" t="str">
        <f t="shared" si="50"/>
        <v>2023-02</v>
      </c>
    </row>
    <row r="3218" spans="1:7" x14ac:dyDescent="0.3">
      <c r="A3218">
        <v>4040</v>
      </c>
      <c r="B3218" t="s">
        <v>17</v>
      </c>
      <c r="C3218" s="7">
        <v>80</v>
      </c>
      <c r="D3218" s="1">
        <v>45123</v>
      </c>
      <c r="E3218" s="29">
        <v>3.5</v>
      </c>
      <c r="F3218" t="s">
        <v>1</v>
      </c>
      <c r="G3218" t="str">
        <f t="shared" si="50"/>
        <v>2023-07</v>
      </c>
    </row>
    <row r="3219" spans="1:7" x14ac:dyDescent="0.3">
      <c r="A3219">
        <v>4061</v>
      </c>
      <c r="B3219" t="s">
        <v>5</v>
      </c>
      <c r="C3219" s="7">
        <v>115</v>
      </c>
      <c r="D3219" s="1">
        <v>44940</v>
      </c>
      <c r="E3219" s="29">
        <v>2.6520547945205402</v>
      </c>
      <c r="F3219" t="s">
        <v>1</v>
      </c>
      <c r="G3219" t="str">
        <f t="shared" si="50"/>
        <v>2023-01</v>
      </c>
    </row>
    <row r="3220" spans="1:7" x14ac:dyDescent="0.3">
      <c r="A3220">
        <v>4072</v>
      </c>
      <c r="B3220" t="s">
        <v>40</v>
      </c>
      <c r="C3220" s="7">
        <v>188</v>
      </c>
      <c r="D3220" s="1">
        <v>45191</v>
      </c>
      <c r="E3220" s="29">
        <v>1.9</v>
      </c>
      <c r="F3220" t="s">
        <v>4</v>
      </c>
      <c r="G3220" t="str">
        <f t="shared" si="50"/>
        <v>2023-09</v>
      </c>
    </row>
    <row r="3221" spans="1:7" x14ac:dyDescent="0.3">
      <c r="A3221">
        <v>3999</v>
      </c>
      <c r="B3221" t="s">
        <v>18</v>
      </c>
      <c r="C3221" s="7">
        <v>24</v>
      </c>
      <c r="D3221" s="1">
        <v>45085</v>
      </c>
      <c r="E3221" s="29">
        <v>3.3</v>
      </c>
      <c r="F3221" t="s">
        <v>1</v>
      </c>
      <c r="G3221" t="str">
        <f t="shared" si="50"/>
        <v>2023-06</v>
      </c>
    </row>
    <row r="3222" spans="1:7" x14ac:dyDescent="0.3">
      <c r="A3222">
        <v>4021</v>
      </c>
      <c r="B3222" t="s">
        <v>51</v>
      </c>
      <c r="C3222" s="7">
        <v>105.1</v>
      </c>
      <c r="D3222" s="1">
        <v>45066</v>
      </c>
      <c r="E3222" s="29">
        <v>3.9</v>
      </c>
      <c r="F3222" t="s">
        <v>4</v>
      </c>
      <c r="G3222" t="str">
        <f t="shared" si="50"/>
        <v>2023-05</v>
      </c>
    </row>
    <row r="3223" spans="1:7" x14ac:dyDescent="0.3">
      <c r="A3223">
        <v>4010</v>
      </c>
      <c r="B3223" t="s">
        <v>22</v>
      </c>
      <c r="C3223" s="7">
        <v>171</v>
      </c>
      <c r="D3223" s="1">
        <v>44983</v>
      </c>
      <c r="E3223" s="29">
        <v>4</v>
      </c>
      <c r="F3223" t="s">
        <v>1</v>
      </c>
      <c r="G3223" t="str">
        <f t="shared" si="50"/>
        <v>2023-02</v>
      </c>
    </row>
    <row r="3224" spans="1:7" x14ac:dyDescent="0.3">
      <c r="A3224">
        <v>4086</v>
      </c>
      <c r="B3224" t="s">
        <v>51</v>
      </c>
      <c r="C3224" s="7">
        <v>32</v>
      </c>
      <c r="D3224" s="1">
        <v>44849</v>
      </c>
      <c r="E3224" s="29">
        <v>4.3</v>
      </c>
      <c r="F3224" t="s">
        <v>4</v>
      </c>
      <c r="G3224" t="str">
        <f t="shared" si="50"/>
        <v>2022-10</v>
      </c>
    </row>
    <row r="3225" spans="1:7" x14ac:dyDescent="0.3">
      <c r="A3225">
        <v>3968</v>
      </c>
      <c r="B3225" t="s">
        <v>30</v>
      </c>
      <c r="C3225" s="7">
        <v>186</v>
      </c>
      <c r="D3225" s="1">
        <v>44901</v>
      </c>
      <c r="E3225" s="29">
        <v>4.5</v>
      </c>
      <c r="F3225" t="s">
        <v>1</v>
      </c>
      <c r="G3225" t="str">
        <f t="shared" si="50"/>
        <v>2022-12</v>
      </c>
    </row>
    <row r="3226" spans="1:7" x14ac:dyDescent="0.3">
      <c r="A3226">
        <v>4075</v>
      </c>
      <c r="B3226" t="s">
        <v>23</v>
      </c>
      <c r="C3226" s="7">
        <v>190</v>
      </c>
      <c r="D3226" s="1">
        <v>45138</v>
      </c>
      <c r="E3226" s="29">
        <v>1.4</v>
      </c>
      <c r="F3226" t="s">
        <v>4</v>
      </c>
      <c r="G3226" t="str">
        <f t="shared" si="50"/>
        <v>2023-07</v>
      </c>
    </row>
    <row r="3227" spans="1:7" x14ac:dyDescent="0.3">
      <c r="A3227">
        <v>3963</v>
      </c>
      <c r="B3227" t="s">
        <v>42</v>
      </c>
      <c r="C3227" s="7">
        <v>165</v>
      </c>
      <c r="D3227" s="1">
        <v>44900</v>
      </c>
      <c r="E3227" s="29">
        <v>3.9</v>
      </c>
      <c r="F3227" t="s">
        <v>1</v>
      </c>
      <c r="G3227" t="str">
        <f t="shared" si="50"/>
        <v>2022-12</v>
      </c>
    </row>
    <row r="3228" spans="1:7" x14ac:dyDescent="0.3">
      <c r="A3228">
        <v>3975</v>
      </c>
      <c r="B3228" t="s">
        <v>12</v>
      </c>
      <c r="C3228" s="7">
        <v>76</v>
      </c>
      <c r="D3228" s="1">
        <v>45110</v>
      </c>
      <c r="E3228" s="29">
        <v>2.4</v>
      </c>
      <c r="F3228" t="s">
        <v>1</v>
      </c>
      <c r="G3228" t="str">
        <f t="shared" si="50"/>
        <v>2023-07</v>
      </c>
    </row>
    <row r="3229" spans="1:7" x14ac:dyDescent="0.3">
      <c r="A3229">
        <v>4120</v>
      </c>
      <c r="B3229" t="s">
        <v>13</v>
      </c>
      <c r="C3229" s="7">
        <v>169</v>
      </c>
      <c r="D3229" s="1">
        <v>45043</v>
      </c>
      <c r="E3229" s="29">
        <v>1.2</v>
      </c>
      <c r="F3229" t="s">
        <v>4</v>
      </c>
      <c r="G3229" t="str">
        <f t="shared" si="50"/>
        <v>2023-04</v>
      </c>
    </row>
    <row r="3230" spans="1:7" x14ac:dyDescent="0.3">
      <c r="A3230">
        <v>4075</v>
      </c>
      <c r="B3230" t="s">
        <v>18</v>
      </c>
      <c r="C3230" s="7">
        <v>43</v>
      </c>
      <c r="D3230" s="1">
        <v>44983</v>
      </c>
      <c r="E3230" s="29">
        <v>3.2</v>
      </c>
      <c r="F3230" t="s">
        <v>1</v>
      </c>
      <c r="G3230" t="str">
        <f t="shared" si="50"/>
        <v>2023-02</v>
      </c>
    </row>
    <row r="3231" spans="1:7" x14ac:dyDescent="0.3">
      <c r="A3231">
        <v>4054</v>
      </c>
      <c r="B3231" t="s">
        <v>49</v>
      </c>
      <c r="C3231" s="7">
        <v>137</v>
      </c>
      <c r="D3231" s="1">
        <v>45176</v>
      </c>
      <c r="E3231" s="29">
        <v>3.2020408163265301</v>
      </c>
      <c r="F3231" t="s">
        <v>4</v>
      </c>
      <c r="G3231" t="str">
        <f t="shared" si="50"/>
        <v>2023-09</v>
      </c>
    </row>
    <row r="3232" spans="1:7" x14ac:dyDescent="0.3">
      <c r="A3232">
        <v>4044</v>
      </c>
      <c r="B3232" t="s">
        <v>5</v>
      </c>
      <c r="C3232" s="7">
        <v>171</v>
      </c>
      <c r="D3232" s="1">
        <v>45162</v>
      </c>
      <c r="E3232" s="29">
        <v>4.3</v>
      </c>
      <c r="F3232" t="s">
        <v>1</v>
      </c>
      <c r="G3232" t="str">
        <f t="shared" si="50"/>
        <v>2023-08</v>
      </c>
    </row>
    <row r="3233" spans="1:7" x14ac:dyDescent="0.3">
      <c r="A3233">
        <v>4059</v>
      </c>
      <c r="B3233" t="s">
        <v>3</v>
      </c>
      <c r="C3233" s="7">
        <v>56</v>
      </c>
      <c r="D3233" s="1">
        <v>44959</v>
      </c>
      <c r="E3233" s="29">
        <v>3.2285714285714202</v>
      </c>
      <c r="F3233" t="s">
        <v>4</v>
      </c>
      <c r="G3233" t="str">
        <f t="shared" si="50"/>
        <v>2023-02</v>
      </c>
    </row>
    <row r="3234" spans="1:7" x14ac:dyDescent="0.3">
      <c r="A3234">
        <v>4006</v>
      </c>
      <c r="B3234" t="s">
        <v>51</v>
      </c>
      <c r="C3234" s="7">
        <v>69</v>
      </c>
      <c r="D3234" s="1">
        <v>44939</v>
      </c>
      <c r="E3234" s="29">
        <v>4.5999999999999996</v>
      </c>
      <c r="F3234" t="s">
        <v>1</v>
      </c>
      <c r="G3234" t="str">
        <f t="shared" si="50"/>
        <v>2023-01</v>
      </c>
    </row>
    <row r="3235" spans="1:7" x14ac:dyDescent="0.3">
      <c r="A3235">
        <v>4058</v>
      </c>
      <c r="B3235" t="s">
        <v>26</v>
      </c>
      <c r="C3235" s="7">
        <v>59</v>
      </c>
      <c r="D3235" s="1">
        <v>44850</v>
      </c>
      <c r="E3235" s="29">
        <v>2.2000000000000002</v>
      </c>
      <c r="F3235" t="s">
        <v>1</v>
      </c>
      <c r="G3235" t="str">
        <f t="shared" si="50"/>
        <v>2022-10</v>
      </c>
    </row>
    <row r="3236" spans="1:7" x14ac:dyDescent="0.3">
      <c r="A3236">
        <v>3966</v>
      </c>
      <c r="B3236" t="s">
        <v>5</v>
      </c>
      <c r="C3236" s="7">
        <v>98.967741935483801</v>
      </c>
      <c r="D3236" s="1">
        <v>44913</v>
      </c>
      <c r="E3236" s="29">
        <v>1.5</v>
      </c>
      <c r="F3236" t="s">
        <v>4</v>
      </c>
      <c r="G3236" t="str">
        <f t="shared" si="50"/>
        <v>2022-12</v>
      </c>
    </row>
    <row r="3237" spans="1:7" x14ac:dyDescent="0.3">
      <c r="A3237">
        <v>3959</v>
      </c>
      <c r="B3237" t="s">
        <v>25</v>
      </c>
      <c r="C3237" s="7">
        <v>112.745762711864</v>
      </c>
      <c r="D3237" s="1">
        <v>45053</v>
      </c>
      <c r="E3237" s="29">
        <v>2.8291666666666599</v>
      </c>
      <c r="F3237" t="s">
        <v>1</v>
      </c>
      <c r="G3237" t="str">
        <f t="shared" si="50"/>
        <v>2023-05</v>
      </c>
    </row>
    <row r="3238" spans="1:7" x14ac:dyDescent="0.3">
      <c r="A3238">
        <v>4021</v>
      </c>
      <c r="B3238" t="s">
        <v>13</v>
      </c>
      <c r="C3238" s="7">
        <v>40</v>
      </c>
      <c r="D3238" s="1">
        <v>45160</v>
      </c>
      <c r="E3238" s="29">
        <v>1.1000000000000001</v>
      </c>
      <c r="F3238" t="s">
        <v>1</v>
      </c>
      <c r="G3238" t="str">
        <f t="shared" si="50"/>
        <v>2023-08</v>
      </c>
    </row>
    <row r="3239" spans="1:7" x14ac:dyDescent="0.3">
      <c r="A3239">
        <v>3986</v>
      </c>
      <c r="B3239" t="s">
        <v>15</v>
      </c>
      <c r="C3239" s="7">
        <v>63</v>
      </c>
      <c r="D3239" s="1">
        <v>45014</v>
      </c>
      <c r="E3239" s="29">
        <v>2.2000000000000002</v>
      </c>
      <c r="F3239" t="s">
        <v>1</v>
      </c>
      <c r="G3239" t="str">
        <f t="shared" si="50"/>
        <v>2023-03</v>
      </c>
    </row>
    <row r="3240" spans="1:7" x14ac:dyDescent="0.3">
      <c r="A3240">
        <v>3991</v>
      </c>
      <c r="B3240" t="s">
        <v>29</v>
      </c>
      <c r="C3240" s="7">
        <v>116</v>
      </c>
      <c r="D3240" s="1">
        <v>44851</v>
      </c>
      <c r="E3240" s="29">
        <v>2.69137931034482</v>
      </c>
      <c r="F3240" t="s">
        <v>4</v>
      </c>
      <c r="G3240" t="str">
        <f t="shared" si="50"/>
        <v>2022-10</v>
      </c>
    </row>
    <row r="3241" spans="1:7" x14ac:dyDescent="0.3">
      <c r="A3241">
        <v>4040</v>
      </c>
      <c r="B3241" t="s">
        <v>21</v>
      </c>
      <c r="C3241" s="7">
        <v>95</v>
      </c>
      <c r="D3241" s="1">
        <v>45130</v>
      </c>
      <c r="E3241" s="29">
        <v>2.6</v>
      </c>
      <c r="F3241" t="s">
        <v>4</v>
      </c>
      <c r="G3241" t="str">
        <f t="shared" si="50"/>
        <v>2023-07</v>
      </c>
    </row>
    <row r="3242" spans="1:7" x14ac:dyDescent="0.3">
      <c r="A3242">
        <v>4075</v>
      </c>
      <c r="B3242" t="s">
        <v>45</v>
      </c>
      <c r="C3242" s="7">
        <v>173</v>
      </c>
      <c r="D3242" s="1">
        <v>45166</v>
      </c>
      <c r="E3242" s="29">
        <v>3.27111111111111</v>
      </c>
      <c r="F3242" t="s">
        <v>4</v>
      </c>
      <c r="G3242" t="str">
        <f t="shared" si="50"/>
        <v>2023-08</v>
      </c>
    </row>
    <row r="3243" spans="1:7" x14ac:dyDescent="0.3">
      <c r="A3243">
        <v>4081</v>
      </c>
      <c r="B3243" t="s">
        <v>46</v>
      </c>
      <c r="C3243" s="7">
        <v>173</v>
      </c>
      <c r="D3243" s="1">
        <v>45135</v>
      </c>
      <c r="E3243" s="29">
        <v>2.9</v>
      </c>
      <c r="F3243" t="s">
        <v>4</v>
      </c>
      <c r="G3243" t="str">
        <f t="shared" si="50"/>
        <v>2023-07</v>
      </c>
    </row>
    <row r="3244" spans="1:7" x14ac:dyDescent="0.3">
      <c r="A3244">
        <v>4075</v>
      </c>
      <c r="B3244" t="s">
        <v>48</v>
      </c>
      <c r="C3244" s="7">
        <v>82</v>
      </c>
      <c r="D3244" s="1">
        <v>45032</v>
      </c>
      <c r="E3244" s="29">
        <v>4</v>
      </c>
      <c r="F3244" t="s">
        <v>1</v>
      </c>
      <c r="G3244" t="str">
        <f t="shared" si="50"/>
        <v>2023-04</v>
      </c>
    </row>
    <row r="3245" spans="1:7" x14ac:dyDescent="0.3">
      <c r="A3245">
        <v>3974</v>
      </c>
      <c r="B3245" t="s">
        <v>2</v>
      </c>
      <c r="C3245" s="7">
        <v>27</v>
      </c>
      <c r="D3245" s="1">
        <v>45198</v>
      </c>
      <c r="E3245" s="29">
        <v>1.5</v>
      </c>
      <c r="F3245" t="s">
        <v>1</v>
      </c>
      <c r="G3245" t="str">
        <f t="shared" si="50"/>
        <v>2023-09</v>
      </c>
    </row>
    <row r="3246" spans="1:7" x14ac:dyDescent="0.3">
      <c r="A3246">
        <v>3978</v>
      </c>
      <c r="B3246" t="s">
        <v>8</v>
      </c>
      <c r="C3246" s="7">
        <v>139</v>
      </c>
      <c r="D3246" s="1">
        <v>44931</v>
      </c>
      <c r="E3246" s="29">
        <v>3.2</v>
      </c>
      <c r="F3246" t="s">
        <v>4</v>
      </c>
      <c r="G3246" t="str">
        <f t="shared" si="50"/>
        <v>2023-01</v>
      </c>
    </row>
    <row r="3247" spans="1:7" x14ac:dyDescent="0.3">
      <c r="A3247">
        <v>4097</v>
      </c>
      <c r="B3247" t="s">
        <v>29</v>
      </c>
      <c r="C3247" s="7">
        <v>11</v>
      </c>
      <c r="D3247" s="1">
        <v>44895</v>
      </c>
      <c r="E3247" s="29">
        <v>3.5</v>
      </c>
      <c r="F3247" t="s">
        <v>4</v>
      </c>
      <c r="G3247" t="str">
        <f t="shared" si="50"/>
        <v>2022-11</v>
      </c>
    </row>
    <row r="3248" spans="1:7" x14ac:dyDescent="0.3">
      <c r="A3248">
        <v>4019</v>
      </c>
      <c r="B3248" t="s">
        <v>7</v>
      </c>
      <c r="C3248" s="7">
        <v>99.697674418604606</v>
      </c>
      <c r="D3248" s="1">
        <v>45121</v>
      </c>
      <c r="E3248" s="29">
        <v>4.8</v>
      </c>
      <c r="F3248" t="s">
        <v>1</v>
      </c>
      <c r="G3248" t="str">
        <f t="shared" si="50"/>
        <v>2023-07</v>
      </c>
    </row>
    <row r="3249" spans="1:7" x14ac:dyDescent="0.3">
      <c r="A3249">
        <v>4069</v>
      </c>
      <c r="B3249" t="s">
        <v>13</v>
      </c>
      <c r="C3249" s="7">
        <v>111</v>
      </c>
      <c r="D3249" s="1">
        <v>44932</v>
      </c>
      <c r="E3249" s="29">
        <v>4.5</v>
      </c>
      <c r="F3249" t="s">
        <v>1</v>
      </c>
      <c r="G3249" t="str">
        <f t="shared" si="50"/>
        <v>2023-01</v>
      </c>
    </row>
    <row r="3250" spans="1:7" x14ac:dyDescent="0.3">
      <c r="A3250">
        <v>3992</v>
      </c>
      <c r="B3250" t="s">
        <v>43</v>
      </c>
      <c r="C3250" s="7">
        <v>167</v>
      </c>
      <c r="D3250" s="1">
        <v>45048</v>
      </c>
      <c r="E3250" s="29">
        <v>3.2</v>
      </c>
      <c r="F3250" t="s">
        <v>4</v>
      </c>
      <c r="G3250" t="str">
        <f t="shared" si="50"/>
        <v>2023-05</v>
      </c>
    </row>
    <row r="3251" spans="1:7" x14ac:dyDescent="0.3">
      <c r="A3251">
        <v>4077</v>
      </c>
      <c r="B3251" t="s">
        <v>6</v>
      </c>
      <c r="C3251" s="7">
        <v>54</v>
      </c>
      <c r="D3251" s="1">
        <v>45029</v>
      </c>
      <c r="E3251" s="29">
        <v>2.8333333333333299</v>
      </c>
      <c r="F3251" t="s">
        <v>4</v>
      </c>
      <c r="G3251" t="str">
        <f t="shared" si="50"/>
        <v>2023-04</v>
      </c>
    </row>
    <row r="3252" spans="1:7" x14ac:dyDescent="0.3">
      <c r="A3252">
        <v>4028</v>
      </c>
      <c r="B3252" t="s">
        <v>27</v>
      </c>
      <c r="C3252" s="7">
        <v>103.98245614035</v>
      </c>
      <c r="D3252" s="1">
        <v>45067</v>
      </c>
      <c r="E3252" s="29">
        <v>3.2016129032257998</v>
      </c>
      <c r="F3252" t="s">
        <v>1</v>
      </c>
      <c r="G3252" t="str">
        <f t="shared" si="50"/>
        <v>2023-05</v>
      </c>
    </row>
    <row r="3253" spans="1:7" x14ac:dyDescent="0.3">
      <c r="A3253">
        <v>3998</v>
      </c>
      <c r="B3253" t="s">
        <v>17</v>
      </c>
      <c r="C3253" s="7">
        <v>182</v>
      </c>
      <c r="D3253" s="1">
        <v>45071</v>
      </c>
      <c r="E3253" s="29">
        <v>3.1</v>
      </c>
      <c r="F3253" t="s">
        <v>1</v>
      </c>
      <c r="G3253" t="str">
        <f t="shared" si="50"/>
        <v>2023-05</v>
      </c>
    </row>
    <row r="3254" spans="1:7" x14ac:dyDescent="0.3">
      <c r="A3254">
        <v>4000</v>
      </c>
      <c r="B3254" t="s">
        <v>26</v>
      </c>
      <c r="C3254" s="7">
        <v>131</v>
      </c>
      <c r="D3254" s="1">
        <v>44899</v>
      </c>
      <c r="E3254" s="29">
        <v>4.0999999999999996</v>
      </c>
      <c r="F3254" t="s">
        <v>1</v>
      </c>
      <c r="G3254" t="str">
        <f t="shared" si="50"/>
        <v>2022-12</v>
      </c>
    </row>
    <row r="3255" spans="1:7" x14ac:dyDescent="0.3">
      <c r="A3255">
        <v>3961</v>
      </c>
      <c r="B3255" t="s">
        <v>12</v>
      </c>
      <c r="C3255" s="7">
        <v>175</v>
      </c>
      <c r="D3255" s="1">
        <v>45143</v>
      </c>
      <c r="E3255" s="29">
        <v>3.5</v>
      </c>
      <c r="F3255" t="s">
        <v>4</v>
      </c>
      <c r="G3255" t="str">
        <f t="shared" si="50"/>
        <v>2023-08</v>
      </c>
    </row>
    <row r="3256" spans="1:7" x14ac:dyDescent="0.3">
      <c r="A3256">
        <v>4112</v>
      </c>
      <c r="B3256" t="s">
        <v>51</v>
      </c>
      <c r="C3256" s="7">
        <v>105.1</v>
      </c>
      <c r="D3256" s="1">
        <v>45029</v>
      </c>
      <c r="E3256" s="29">
        <v>3.5</v>
      </c>
      <c r="F3256" t="s">
        <v>1</v>
      </c>
      <c r="G3256" t="str">
        <f t="shared" si="50"/>
        <v>2023-04</v>
      </c>
    </row>
    <row r="3257" spans="1:7" x14ac:dyDescent="0.3">
      <c r="A3257">
        <v>3982</v>
      </c>
      <c r="B3257" t="s">
        <v>24</v>
      </c>
      <c r="C3257" s="7">
        <v>95.292307692307602</v>
      </c>
      <c r="D3257" s="1">
        <v>45048</v>
      </c>
      <c r="E3257" s="29">
        <v>3.2</v>
      </c>
      <c r="F3257" t="s">
        <v>4</v>
      </c>
      <c r="G3257" t="str">
        <f t="shared" si="50"/>
        <v>2023-05</v>
      </c>
    </row>
    <row r="3258" spans="1:7" x14ac:dyDescent="0.3">
      <c r="A3258">
        <v>4002</v>
      </c>
      <c r="B3258" t="s">
        <v>7</v>
      </c>
      <c r="C3258" s="7">
        <v>147</v>
      </c>
      <c r="D3258" s="1">
        <v>45047</v>
      </c>
      <c r="E3258" s="29">
        <v>3.2</v>
      </c>
      <c r="F3258" t="s">
        <v>4</v>
      </c>
      <c r="G3258" t="str">
        <f t="shared" si="50"/>
        <v>2023-05</v>
      </c>
    </row>
    <row r="3259" spans="1:7" x14ac:dyDescent="0.3">
      <c r="A3259">
        <v>4032</v>
      </c>
      <c r="B3259" t="s">
        <v>25</v>
      </c>
      <c r="C3259" s="7">
        <v>128</v>
      </c>
      <c r="D3259" s="1">
        <v>45058</v>
      </c>
      <c r="E3259" s="29">
        <v>2</v>
      </c>
      <c r="F3259" t="s">
        <v>4</v>
      </c>
      <c r="G3259" t="str">
        <f t="shared" si="50"/>
        <v>2023-05</v>
      </c>
    </row>
    <row r="3260" spans="1:7" x14ac:dyDescent="0.3">
      <c r="A3260">
        <v>3988</v>
      </c>
      <c r="B3260" t="s">
        <v>10</v>
      </c>
      <c r="C3260" s="7">
        <v>115</v>
      </c>
      <c r="D3260" s="1">
        <v>44875</v>
      </c>
      <c r="E3260" s="29">
        <v>2.6</v>
      </c>
      <c r="F3260" t="s">
        <v>1</v>
      </c>
      <c r="G3260" t="str">
        <f t="shared" si="50"/>
        <v>2022-11</v>
      </c>
    </row>
    <row r="3261" spans="1:7" x14ac:dyDescent="0.3">
      <c r="A3261">
        <v>4093</v>
      </c>
      <c r="B3261" t="s">
        <v>27</v>
      </c>
      <c r="C3261" s="7">
        <v>24</v>
      </c>
      <c r="D3261" s="1">
        <v>44836</v>
      </c>
      <c r="E3261" s="29">
        <v>2.8</v>
      </c>
      <c r="F3261" t="s">
        <v>1</v>
      </c>
      <c r="G3261" t="str">
        <f t="shared" si="50"/>
        <v>2022-10</v>
      </c>
    </row>
    <row r="3262" spans="1:7" x14ac:dyDescent="0.3">
      <c r="A3262">
        <v>4057</v>
      </c>
      <c r="B3262" t="s">
        <v>41</v>
      </c>
      <c r="C3262" s="7">
        <v>86</v>
      </c>
      <c r="D3262" s="1">
        <v>44907</v>
      </c>
      <c r="E3262" s="29">
        <v>2.5</v>
      </c>
      <c r="F3262" t="s">
        <v>1</v>
      </c>
      <c r="G3262" t="str">
        <f t="shared" si="50"/>
        <v>2022-12</v>
      </c>
    </row>
    <row r="3263" spans="1:7" x14ac:dyDescent="0.3">
      <c r="A3263">
        <v>4000</v>
      </c>
      <c r="B3263" t="s">
        <v>35</v>
      </c>
      <c r="C3263" s="7">
        <v>183</v>
      </c>
      <c r="D3263" s="1">
        <v>44996</v>
      </c>
      <c r="E3263" s="29">
        <v>4.5999999999999996</v>
      </c>
      <c r="F3263" t="s">
        <v>4</v>
      </c>
      <c r="G3263" t="str">
        <f t="shared" si="50"/>
        <v>2023-03</v>
      </c>
    </row>
    <row r="3264" spans="1:7" x14ac:dyDescent="0.3">
      <c r="A3264">
        <v>3976</v>
      </c>
      <c r="B3264" t="s">
        <v>31</v>
      </c>
      <c r="C3264" s="7">
        <v>147</v>
      </c>
      <c r="D3264" s="1">
        <v>45037</v>
      </c>
      <c r="E3264" s="29">
        <v>2.6590163934426201</v>
      </c>
      <c r="F3264" t="s">
        <v>4</v>
      </c>
      <c r="G3264" t="str">
        <f t="shared" si="50"/>
        <v>2023-04</v>
      </c>
    </row>
    <row r="3265" spans="1:7" x14ac:dyDescent="0.3">
      <c r="A3265">
        <v>3959</v>
      </c>
      <c r="B3265" t="s">
        <v>31</v>
      </c>
      <c r="C3265" s="7">
        <v>88.827586206896498</v>
      </c>
      <c r="D3265" s="1">
        <v>44959</v>
      </c>
      <c r="E3265" s="29">
        <v>2</v>
      </c>
      <c r="F3265" t="s">
        <v>1</v>
      </c>
      <c r="G3265" t="str">
        <f t="shared" si="50"/>
        <v>2023-02</v>
      </c>
    </row>
    <row r="3266" spans="1:7" x14ac:dyDescent="0.3">
      <c r="A3266">
        <v>4026</v>
      </c>
      <c r="B3266" t="s">
        <v>46</v>
      </c>
      <c r="C3266" s="7">
        <v>94</v>
      </c>
      <c r="D3266" s="1">
        <v>44978</v>
      </c>
      <c r="E3266" s="29">
        <v>3.6</v>
      </c>
      <c r="F3266" t="s">
        <v>1</v>
      </c>
      <c r="G3266" t="str">
        <f t="shared" si="50"/>
        <v>2023-02</v>
      </c>
    </row>
    <row r="3267" spans="1:7" x14ac:dyDescent="0.3">
      <c r="A3267">
        <v>3996</v>
      </c>
      <c r="B3267" t="s">
        <v>30</v>
      </c>
      <c r="C3267" s="7">
        <v>100</v>
      </c>
      <c r="D3267" s="1">
        <v>44925</v>
      </c>
      <c r="E3267" s="29">
        <v>3.5</v>
      </c>
      <c r="F3267" t="s">
        <v>1</v>
      </c>
      <c r="G3267" t="str">
        <f t="shared" ref="G3267:G3330" si="51">TEXT(D3267,"ГГГГ-ММ")</f>
        <v>2022-12</v>
      </c>
    </row>
    <row r="3268" spans="1:7" x14ac:dyDescent="0.3">
      <c r="A3268">
        <v>4069</v>
      </c>
      <c r="B3268" t="s">
        <v>7</v>
      </c>
      <c r="C3268" s="7">
        <v>99.697674418604606</v>
      </c>
      <c r="D3268" s="1">
        <v>44852</v>
      </c>
      <c r="E3268" s="29">
        <v>3.7</v>
      </c>
      <c r="F3268" t="s">
        <v>4</v>
      </c>
      <c r="G3268" t="str">
        <f t="shared" si="51"/>
        <v>2022-10</v>
      </c>
    </row>
    <row r="3269" spans="1:7" x14ac:dyDescent="0.3">
      <c r="A3269">
        <v>4048</v>
      </c>
      <c r="B3269" t="s">
        <v>23</v>
      </c>
      <c r="C3269" s="7">
        <v>107.68518518518501</v>
      </c>
      <c r="D3269" s="1">
        <v>44904</v>
      </c>
      <c r="E3269" s="29">
        <v>3.1303030303030299</v>
      </c>
      <c r="F3269" t="s">
        <v>1</v>
      </c>
      <c r="G3269" t="str">
        <f t="shared" si="51"/>
        <v>2022-12</v>
      </c>
    </row>
    <row r="3270" spans="1:7" x14ac:dyDescent="0.3">
      <c r="A3270">
        <v>4002</v>
      </c>
      <c r="B3270" t="s">
        <v>16</v>
      </c>
      <c r="C3270" s="7">
        <v>96</v>
      </c>
      <c r="D3270" s="1">
        <v>44901</v>
      </c>
      <c r="E3270" s="29">
        <v>2.9</v>
      </c>
      <c r="F3270" t="s">
        <v>1</v>
      </c>
      <c r="G3270" t="str">
        <f t="shared" si="51"/>
        <v>2022-12</v>
      </c>
    </row>
    <row r="3271" spans="1:7" x14ac:dyDescent="0.3">
      <c r="A3271">
        <v>4012</v>
      </c>
      <c r="B3271" t="s">
        <v>18</v>
      </c>
      <c r="C3271" s="7">
        <v>170</v>
      </c>
      <c r="D3271" s="1">
        <v>44904</v>
      </c>
      <c r="E3271" s="29">
        <v>3.8</v>
      </c>
      <c r="F3271" t="s">
        <v>1</v>
      </c>
      <c r="G3271" t="str">
        <f t="shared" si="51"/>
        <v>2022-12</v>
      </c>
    </row>
    <row r="3272" spans="1:7" x14ac:dyDescent="0.3">
      <c r="A3272">
        <v>3965</v>
      </c>
      <c r="B3272" t="s">
        <v>31</v>
      </c>
      <c r="C3272" s="7">
        <v>52</v>
      </c>
      <c r="D3272" s="1">
        <v>45184</v>
      </c>
      <c r="E3272" s="29">
        <v>3.8</v>
      </c>
      <c r="F3272" t="s">
        <v>4</v>
      </c>
      <c r="G3272" t="str">
        <f t="shared" si="51"/>
        <v>2023-09</v>
      </c>
    </row>
    <row r="3273" spans="1:7" x14ac:dyDescent="0.3">
      <c r="A3273">
        <v>4093</v>
      </c>
      <c r="B3273" t="s">
        <v>8</v>
      </c>
      <c r="C3273" s="7">
        <v>109</v>
      </c>
      <c r="D3273" s="1">
        <v>45193</v>
      </c>
      <c r="E3273" s="29">
        <v>1.3</v>
      </c>
      <c r="F3273" t="s">
        <v>1</v>
      </c>
      <c r="G3273" t="str">
        <f t="shared" si="51"/>
        <v>2023-09</v>
      </c>
    </row>
    <row r="3274" spans="1:7" x14ac:dyDescent="0.3">
      <c r="A3274">
        <v>4012</v>
      </c>
      <c r="B3274" t="s">
        <v>40</v>
      </c>
      <c r="C3274" s="7">
        <v>106.80769230769199</v>
      </c>
      <c r="D3274" s="1">
        <v>44948</v>
      </c>
      <c r="E3274" s="29">
        <v>3.15</v>
      </c>
      <c r="F3274" t="s">
        <v>4</v>
      </c>
      <c r="G3274" t="str">
        <f t="shared" si="51"/>
        <v>2023-01</v>
      </c>
    </row>
    <row r="3275" spans="1:7" x14ac:dyDescent="0.3">
      <c r="A3275">
        <v>4070</v>
      </c>
      <c r="B3275" t="s">
        <v>37</v>
      </c>
      <c r="C3275" s="7">
        <v>97.720588235294102</v>
      </c>
      <c r="D3275" s="1">
        <v>44973</v>
      </c>
      <c r="E3275" s="29">
        <v>1.2</v>
      </c>
      <c r="F3275" t="s">
        <v>4</v>
      </c>
      <c r="G3275" t="str">
        <f t="shared" si="51"/>
        <v>2023-02</v>
      </c>
    </row>
    <row r="3276" spans="1:7" x14ac:dyDescent="0.3">
      <c r="A3276">
        <v>3969</v>
      </c>
      <c r="B3276" t="s">
        <v>14</v>
      </c>
      <c r="C3276" s="7">
        <v>88</v>
      </c>
      <c r="D3276" s="1">
        <v>45150</v>
      </c>
      <c r="E3276" s="29">
        <v>3.2</v>
      </c>
      <c r="F3276" t="s">
        <v>4</v>
      </c>
      <c r="G3276" t="str">
        <f t="shared" si="51"/>
        <v>2023-08</v>
      </c>
    </row>
    <row r="3277" spans="1:7" x14ac:dyDescent="0.3">
      <c r="A3277">
        <v>4119</v>
      </c>
      <c r="B3277" t="s">
        <v>31</v>
      </c>
      <c r="C3277" s="7">
        <v>90</v>
      </c>
      <c r="D3277" s="1">
        <v>45137</v>
      </c>
      <c r="E3277" s="29">
        <v>4.2</v>
      </c>
      <c r="F3277" t="s">
        <v>4</v>
      </c>
      <c r="G3277" t="str">
        <f t="shared" si="51"/>
        <v>2023-07</v>
      </c>
    </row>
    <row r="3278" spans="1:7" x14ac:dyDescent="0.3">
      <c r="A3278">
        <v>4090</v>
      </c>
      <c r="B3278" t="s">
        <v>33</v>
      </c>
      <c r="C3278" s="7">
        <v>79</v>
      </c>
      <c r="D3278" s="1">
        <v>45114</v>
      </c>
      <c r="E3278" s="29">
        <v>2.2999999999999998</v>
      </c>
      <c r="F3278" t="s">
        <v>4</v>
      </c>
      <c r="G3278" t="str">
        <f t="shared" si="51"/>
        <v>2023-07</v>
      </c>
    </row>
    <row r="3279" spans="1:7" x14ac:dyDescent="0.3">
      <c r="A3279">
        <v>4121</v>
      </c>
      <c r="B3279" t="s">
        <v>34</v>
      </c>
      <c r="C3279" s="7">
        <v>137</v>
      </c>
      <c r="D3279" s="1">
        <v>44856</v>
      </c>
      <c r="E3279" s="29">
        <v>3.8</v>
      </c>
      <c r="F3279" t="s">
        <v>4</v>
      </c>
      <c r="G3279" t="str">
        <f t="shared" si="51"/>
        <v>2022-10</v>
      </c>
    </row>
    <row r="3280" spans="1:7" x14ac:dyDescent="0.3">
      <c r="A3280">
        <v>3983</v>
      </c>
      <c r="B3280" t="s">
        <v>17</v>
      </c>
      <c r="C3280" s="7">
        <v>105</v>
      </c>
      <c r="D3280" s="1">
        <v>44873</v>
      </c>
      <c r="E3280" s="29">
        <v>3.1</v>
      </c>
      <c r="F3280" t="s">
        <v>4</v>
      </c>
      <c r="G3280" t="str">
        <f t="shared" si="51"/>
        <v>2022-11</v>
      </c>
    </row>
    <row r="3281" spans="1:7" x14ac:dyDescent="0.3">
      <c r="A3281">
        <v>4056</v>
      </c>
      <c r="B3281" t="s">
        <v>27</v>
      </c>
      <c r="C3281" s="7">
        <v>87</v>
      </c>
      <c r="D3281" s="1">
        <v>44942</v>
      </c>
      <c r="E3281" s="29">
        <v>2.5</v>
      </c>
      <c r="F3281" t="s">
        <v>1</v>
      </c>
      <c r="G3281" t="str">
        <f t="shared" si="51"/>
        <v>2023-01</v>
      </c>
    </row>
    <row r="3282" spans="1:7" x14ac:dyDescent="0.3">
      <c r="A3282">
        <v>4035</v>
      </c>
      <c r="B3282" t="s">
        <v>22</v>
      </c>
      <c r="C3282" s="7">
        <v>87</v>
      </c>
      <c r="D3282" s="1">
        <v>45060</v>
      </c>
      <c r="E3282" s="29">
        <v>3.1651515151515102</v>
      </c>
      <c r="F3282" t="s">
        <v>4</v>
      </c>
      <c r="G3282" t="str">
        <f t="shared" si="51"/>
        <v>2023-05</v>
      </c>
    </row>
    <row r="3283" spans="1:7" x14ac:dyDescent="0.3">
      <c r="A3283">
        <v>4070</v>
      </c>
      <c r="B3283" t="s">
        <v>51</v>
      </c>
      <c r="C3283" s="7">
        <v>105.1</v>
      </c>
      <c r="D3283" s="1">
        <v>45052</v>
      </c>
      <c r="E3283" s="29">
        <v>1.2</v>
      </c>
      <c r="F3283" t="s">
        <v>4</v>
      </c>
      <c r="G3283" t="str">
        <f t="shared" si="51"/>
        <v>2023-05</v>
      </c>
    </row>
    <row r="3284" spans="1:7" x14ac:dyDescent="0.3">
      <c r="A3284">
        <v>3970</v>
      </c>
      <c r="B3284" t="s">
        <v>19</v>
      </c>
      <c r="C3284" s="7">
        <v>19</v>
      </c>
      <c r="D3284" s="1">
        <v>45119</v>
      </c>
      <c r="E3284" s="29">
        <v>3.6</v>
      </c>
      <c r="F3284" t="s">
        <v>4</v>
      </c>
      <c r="G3284" t="str">
        <f t="shared" si="51"/>
        <v>2023-07</v>
      </c>
    </row>
    <row r="3285" spans="1:7" x14ac:dyDescent="0.3">
      <c r="A3285">
        <v>4110</v>
      </c>
      <c r="B3285" t="s">
        <v>2</v>
      </c>
      <c r="C3285" s="7">
        <v>33</v>
      </c>
      <c r="D3285" s="1">
        <v>44949</v>
      </c>
      <c r="E3285" s="29">
        <v>1.5</v>
      </c>
      <c r="F3285" t="s">
        <v>1</v>
      </c>
      <c r="G3285" t="str">
        <f t="shared" si="51"/>
        <v>2023-01</v>
      </c>
    </row>
    <row r="3286" spans="1:7" x14ac:dyDescent="0.3">
      <c r="A3286">
        <v>3958</v>
      </c>
      <c r="B3286" t="s">
        <v>10</v>
      </c>
      <c r="C3286" s="7">
        <v>16</v>
      </c>
      <c r="D3286" s="1">
        <v>45051</v>
      </c>
      <c r="E3286" s="29">
        <v>3.3</v>
      </c>
      <c r="F3286" t="s">
        <v>4</v>
      </c>
      <c r="G3286" t="str">
        <f t="shared" si="51"/>
        <v>2023-05</v>
      </c>
    </row>
    <row r="3287" spans="1:7" x14ac:dyDescent="0.3">
      <c r="A3287">
        <v>3969</v>
      </c>
      <c r="B3287" t="s">
        <v>28</v>
      </c>
      <c r="C3287" s="7">
        <v>138</v>
      </c>
      <c r="D3287" s="1">
        <v>45085</v>
      </c>
      <c r="E3287" s="29">
        <v>2.2000000000000002</v>
      </c>
      <c r="F3287" t="s">
        <v>1</v>
      </c>
      <c r="G3287" t="str">
        <f t="shared" si="51"/>
        <v>2023-06</v>
      </c>
    </row>
    <row r="3288" spans="1:7" x14ac:dyDescent="0.3">
      <c r="A3288">
        <v>4053</v>
      </c>
      <c r="B3288" t="s">
        <v>43</v>
      </c>
      <c r="C3288" s="7">
        <v>117.354166666666</v>
      </c>
      <c r="D3288" s="1">
        <v>45019</v>
      </c>
      <c r="E3288" s="29">
        <v>2.5</v>
      </c>
      <c r="F3288" t="s">
        <v>1</v>
      </c>
      <c r="G3288" t="str">
        <f t="shared" si="51"/>
        <v>2023-04</v>
      </c>
    </row>
    <row r="3289" spans="1:7" x14ac:dyDescent="0.3">
      <c r="A3289">
        <v>4008</v>
      </c>
      <c r="B3289" t="s">
        <v>49</v>
      </c>
      <c r="C3289" s="7">
        <v>133</v>
      </c>
      <c r="D3289" s="1">
        <v>45152</v>
      </c>
      <c r="E3289" s="29">
        <v>4.0999999999999996</v>
      </c>
      <c r="F3289" t="s">
        <v>4</v>
      </c>
      <c r="G3289" t="str">
        <f t="shared" si="51"/>
        <v>2023-08</v>
      </c>
    </row>
    <row r="3290" spans="1:7" x14ac:dyDescent="0.3">
      <c r="A3290">
        <v>4020</v>
      </c>
      <c r="B3290" t="s">
        <v>15</v>
      </c>
      <c r="C3290" s="7">
        <v>144</v>
      </c>
      <c r="D3290" s="1">
        <v>44844</v>
      </c>
      <c r="E3290" s="29">
        <v>3.2</v>
      </c>
      <c r="F3290" t="s">
        <v>1</v>
      </c>
      <c r="G3290" t="str">
        <f t="shared" si="51"/>
        <v>2022-10</v>
      </c>
    </row>
    <row r="3291" spans="1:7" x14ac:dyDescent="0.3">
      <c r="A3291">
        <v>4052</v>
      </c>
      <c r="B3291" t="s">
        <v>41</v>
      </c>
      <c r="C3291" s="7">
        <v>93</v>
      </c>
      <c r="D3291" s="1">
        <v>44884</v>
      </c>
      <c r="E3291" s="29">
        <v>3</v>
      </c>
      <c r="F3291" t="s">
        <v>1</v>
      </c>
      <c r="G3291" t="str">
        <f t="shared" si="51"/>
        <v>2022-11</v>
      </c>
    </row>
    <row r="3292" spans="1:7" x14ac:dyDescent="0.3">
      <c r="A3292">
        <v>4018</v>
      </c>
      <c r="B3292" t="s">
        <v>20</v>
      </c>
      <c r="C3292" s="7">
        <v>105.95348837209301</v>
      </c>
      <c r="D3292" s="1">
        <v>45078</v>
      </c>
      <c r="E3292" s="29">
        <v>2.8545454545454501</v>
      </c>
      <c r="F3292" t="s">
        <v>4</v>
      </c>
      <c r="G3292" t="str">
        <f t="shared" si="51"/>
        <v>2023-06</v>
      </c>
    </row>
    <row r="3293" spans="1:7" x14ac:dyDescent="0.3">
      <c r="A3293">
        <v>4008</v>
      </c>
      <c r="B3293" t="s">
        <v>29</v>
      </c>
      <c r="C3293" s="7">
        <v>142</v>
      </c>
      <c r="D3293" s="1">
        <v>45067</v>
      </c>
      <c r="E3293" s="29">
        <v>2</v>
      </c>
      <c r="F3293" t="s">
        <v>1</v>
      </c>
      <c r="G3293" t="str">
        <f t="shared" si="51"/>
        <v>2023-05</v>
      </c>
    </row>
    <row r="3294" spans="1:7" x14ac:dyDescent="0.3">
      <c r="A3294">
        <v>3980</v>
      </c>
      <c r="B3294" t="s">
        <v>9</v>
      </c>
      <c r="C3294" s="7">
        <v>43</v>
      </c>
      <c r="D3294" s="1">
        <v>45150</v>
      </c>
      <c r="E3294" s="29">
        <v>2.8381818181818099</v>
      </c>
      <c r="F3294" t="s">
        <v>1</v>
      </c>
      <c r="G3294" t="str">
        <f t="shared" si="51"/>
        <v>2023-08</v>
      </c>
    </row>
    <row r="3295" spans="1:7" x14ac:dyDescent="0.3">
      <c r="A3295">
        <v>3961</v>
      </c>
      <c r="B3295" t="s">
        <v>26</v>
      </c>
      <c r="C3295" s="7">
        <v>19</v>
      </c>
      <c r="D3295" s="1">
        <v>44872</v>
      </c>
      <c r="E3295" s="29">
        <v>2.2000000000000002</v>
      </c>
      <c r="F3295" t="s">
        <v>4</v>
      </c>
      <c r="G3295" t="str">
        <f t="shared" si="51"/>
        <v>2022-11</v>
      </c>
    </row>
    <row r="3296" spans="1:7" x14ac:dyDescent="0.3">
      <c r="A3296">
        <v>4064</v>
      </c>
      <c r="B3296" t="s">
        <v>23</v>
      </c>
      <c r="C3296" s="7">
        <v>192</v>
      </c>
      <c r="D3296" s="1">
        <v>45003</v>
      </c>
      <c r="E3296" s="29">
        <v>2.5</v>
      </c>
      <c r="F3296" t="s">
        <v>4</v>
      </c>
      <c r="G3296" t="str">
        <f t="shared" si="51"/>
        <v>2023-03</v>
      </c>
    </row>
    <row r="3297" spans="1:7" x14ac:dyDescent="0.3">
      <c r="A3297">
        <v>3964</v>
      </c>
      <c r="B3297" t="s">
        <v>5</v>
      </c>
      <c r="C3297" s="7">
        <v>39</v>
      </c>
      <c r="D3297" s="1">
        <v>44912</v>
      </c>
      <c r="E3297" s="29">
        <v>2.4</v>
      </c>
      <c r="F3297" t="s">
        <v>1</v>
      </c>
      <c r="G3297" t="str">
        <f t="shared" si="51"/>
        <v>2022-12</v>
      </c>
    </row>
    <row r="3298" spans="1:7" x14ac:dyDescent="0.3">
      <c r="A3298">
        <v>3960</v>
      </c>
      <c r="B3298" t="s">
        <v>5</v>
      </c>
      <c r="C3298" s="7">
        <v>98.967741935483801</v>
      </c>
      <c r="D3298" s="1">
        <v>45161</v>
      </c>
      <c r="E3298" s="29">
        <v>3.3</v>
      </c>
      <c r="F3298" t="s">
        <v>4</v>
      </c>
      <c r="G3298" t="str">
        <f t="shared" si="51"/>
        <v>2023-08</v>
      </c>
    </row>
    <row r="3299" spans="1:7" x14ac:dyDescent="0.3">
      <c r="A3299">
        <v>4043</v>
      </c>
      <c r="B3299" t="s">
        <v>0</v>
      </c>
      <c r="C3299" s="7">
        <v>185</v>
      </c>
      <c r="D3299" s="1">
        <v>44991</v>
      </c>
      <c r="E3299" s="29">
        <v>2.2000000000000002</v>
      </c>
      <c r="F3299" t="s">
        <v>1</v>
      </c>
      <c r="G3299" t="str">
        <f t="shared" si="51"/>
        <v>2023-03</v>
      </c>
    </row>
    <row r="3300" spans="1:7" x14ac:dyDescent="0.3">
      <c r="A3300">
        <v>4006</v>
      </c>
      <c r="B3300" t="s">
        <v>14</v>
      </c>
      <c r="C3300" s="7">
        <v>32</v>
      </c>
      <c r="D3300" s="1">
        <v>44977</v>
      </c>
      <c r="E3300" s="29">
        <v>1.9</v>
      </c>
      <c r="F3300" t="s">
        <v>1</v>
      </c>
      <c r="G3300" t="str">
        <f t="shared" si="51"/>
        <v>2023-02</v>
      </c>
    </row>
    <row r="3301" spans="1:7" x14ac:dyDescent="0.3">
      <c r="A3301">
        <v>3973</v>
      </c>
      <c r="B3301" t="s">
        <v>30</v>
      </c>
      <c r="C3301" s="7">
        <v>21</v>
      </c>
      <c r="D3301" s="1">
        <v>45042</v>
      </c>
      <c r="E3301" s="29">
        <v>4.2</v>
      </c>
      <c r="F3301" t="s">
        <v>4</v>
      </c>
      <c r="G3301" t="str">
        <f t="shared" si="51"/>
        <v>2023-04</v>
      </c>
    </row>
    <row r="3302" spans="1:7" x14ac:dyDescent="0.3">
      <c r="A3302">
        <v>4013</v>
      </c>
      <c r="B3302" t="s">
        <v>31</v>
      </c>
      <c r="C3302" s="7">
        <v>88.827586206896498</v>
      </c>
      <c r="D3302" s="1">
        <v>44897</v>
      </c>
      <c r="E3302" s="29">
        <v>2.6590163934426201</v>
      </c>
      <c r="F3302" t="s">
        <v>1</v>
      </c>
      <c r="G3302" t="str">
        <f t="shared" si="51"/>
        <v>2022-12</v>
      </c>
    </row>
    <row r="3303" spans="1:7" x14ac:dyDescent="0.3">
      <c r="A3303">
        <v>3981</v>
      </c>
      <c r="B3303" t="s">
        <v>19</v>
      </c>
      <c r="C3303" s="7">
        <v>200</v>
      </c>
      <c r="D3303" s="1">
        <v>44976</v>
      </c>
      <c r="E3303" s="29">
        <v>4.4000000000000004</v>
      </c>
      <c r="F3303" t="s">
        <v>1</v>
      </c>
      <c r="G3303" t="str">
        <f t="shared" si="51"/>
        <v>2023-02</v>
      </c>
    </row>
    <row r="3304" spans="1:7" x14ac:dyDescent="0.3">
      <c r="A3304">
        <v>3999</v>
      </c>
      <c r="B3304" t="s">
        <v>41</v>
      </c>
      <c r="C3304" s="7">
        <v>157</v>
      </c>
      <c r="D3304" s="1">
        <v>44986</v>
      </c>
      <c r="E3304" s="29">
        <v>4.2</v>
      </c>
      <c r="F3304" t="s">
        <v>1</v>
      </c>
      <c r="G3304" t="str">
        <f t="shared" si="51"/>
        <v>2023-03</v>
      </c>
    </row>
    <row r="3305" spans="1:7" x14ac:dyDescent="0.3">
      <c r="A3305">
        <v>3999</v>
      </c>
      <c r="B3305" t="s">
        <v>42</v>
      </c>
      <c r="C3305" s="7">
        <v>173</v>
      </c>
      <c r="D3305" s="1">
        <v>44849</v>
      </c>
      <c r="E3305" s="29">
        <v>4.0999999999999996</v>
      </c>
      <c r="F3305" t="s">
        <v>4</v>
      </c>
      <c r="G3305" t="str">
        <f t="shared" si="51"/>
        <v>2022-10</v>
      </c>
    </row>
    <row r="3306" spans="1:7" x14ac:dyDescent="0.3">
      <c r="A3306">
        <v>3968</v>
      </c>
      <c r="B3306" t="s">
        <v>36</v>
      </c>
      <c r="C3306" s="7">
        <v>92</v>
      </c>
      <c r="D3306" s="1">
        <v>45151</v>
      </c>
      <c r="E3306" s="29">
        <v>1.7</v>
      </c>
      <c r="F3306" t="s">
        <v>1</v>
      </c>
      <c r="G3306" t="str">
        <f t="shared" si="51"/>
        <v>2023-08</v>
      </c>
    </row>
    <row r="3307" spans="1:7" x14ac:dyDescent="0.3">
      <c r="A3307">
        <v>4063</v>
      </c>
      <c r="B3307" t="s">
        <v>50</v>
      </c>
      <c r="C3307" s="7">
        <v>83</v>
      </c>
      <c r="D3307" s="1">
        <v>44920</v>
      </c>
      <c r="E3307" s="29">
        <v>3.8</v>
      </c>
      <c r="F3307" t="s">
        <v>4</v>
      </c>
      <c r="G3307" t="str">
        <f t="shared" si="51"/>
        <v>2022-12</v>
      </c>
    </row>
    <row r="3308" spans="1:7" x14ac:dyDescent="0.3">
      <c r="A3308">
        <v>4088</v>
      </c>
      <c r="B3308" t="s">
        <v>50</v>
      </c>
      <c r="C3308" s="7">
        <v>91</v>
      </c>
      <c r="D3308" s="1">
        <v>44944</v>
      </c>
      <c r="E3308" s="29">
        <v>3</v>
      </c>
      <c r="F3308" t="s">
        <v>1</v>
      </c>
      <c r="G3308" t="str">
        <f t="shared" si="51"/>
        <v>2023-01</v>
      </c>
    </row>
    <row r="3309" spans="1:7" x14ac:dyDescent="0.3">
      <c r="A3309">
        <v>3984</v>
      </c>
      <c r="B3309" t="s">
        <v>45</v>
      </c>
      <c r="C3309" s="7">
        <v>181</v>
      </c>
      <c r="D3309" s="1">
        <v>44961</v>
      </c>
      <c r="E3309" s="29">
        <v>2.2999999999999998</v>
      </c>
      <c r="F3309" t="s">
        <v>4</v>
      </c>
      <c r="G3309" t="str">
        <f t="shared" si="51"/>
        <v>2023-02</v>
      </c>
    </row>
    <row r="3310" spans="1:7" x14ac:dyDescent="0.3">
      <c r="A3310">
        <v>4040</v>
      </c>
      <c r="B3310" t="s">
        <v>35</v>
      </c>
      <c r="C3310" s="7">
        <v>97.071428571428498</v>
      </c>
      <c r="D3310" s="1">
        <v>45015</v>
      </c>
      <c r="E3310" s="29">
        <v>1.9</v>
      </c>
      <c r="F3310" t="s">
        <v>1</v>
      </c>
      <c r="G3310" t="str">
        <f t="shared" si="51"/>
        <v>2023-03</v>
      </c>
    </row>
    <row r="3311" spans="1:7" x14ac:dyDescent="0.3">
      <c r="A3311">
        <v>4039</v>
      </c>
      <c r="B3311" t="s">
        <v>10</v>
      </c>
      <c r="C3311" s="7">
        <v>120.375</v>
      </c>
      <c r="D3311" s="1">
        <v>44868</v>
      </c>
      <c r="E3311" s="29">
        <v>2.91904761904761</v>
      </c>
      <c r="F3311" t="s">
        <v>1</v>
      </c>
      <c r="G3311" t="str">
        <f t="shared" si="51"/>
        <v>2022-11</v>
      </c>
    </row>
    <row r="3312" spans="1:7" x14ac:dyDescent="0.3">
      <c r="A3312">
        <v>4100</v>
      </c>
      <c r="B3312" t="s">
        <v>29</v>
      </c>
      <c r="C3312" s="7">
        <v>13</v>
      </c>
      <c r="D3312" s="1">
        <v>45070</v>
      </c>
      <c r="E3312" s="29">
        <v>3.7</v>
      </c>
      <c r="F3312" t="s">
        <v>1</v>
      </c>
      <c r="G3312" t="str">
        <f t="shared" si="51"/>
        <v>2023-05</v>
      </c>
    </row>
    <row r="3313" spans="1:7" x14ac:dyDescent="0.3">
      <c r="A3313">
        <v>4117</v>
      </c>
      <c r="B3313" t="s">
        <v>7</v>
      </c>
      <c r="C3313" s="7">
        <v>153</v>
      </c>
      <c r="D3313" s="1">
        <v>44991</v>
      </c>
      <c r="E3313" s="29">
        <v>1.7</v>
      </c>
      <c r="F3313" t="s">
        <v>1</v>
      </c>
      <c r="G3313" t="str">
        <f t="shared" si="51"/>
        <v>2023-03</v>
      </c>
    </row>
    <row r="3314" spans="1:7" x14ac:dyDescent="0.3">
      <c r="A3314">
        <v>4005</v>
      </c>
      <c r="B3314" t="s">
        <v>37</v>
      </c>
      <c r="C3314" s="7">
        <v>62</v>
      </c>
      <c r="D3314" s="1">
        <v>45038</v>
      </c>
      <c r="E3314" s="29">
        <v>2.2000000000000002</v>
      </c>
      <c r="F3314" t="s">
        <v>4</v>
      </c>
      <c r="G3314" t="str">
        <f t="shared" si="51"/>
        <v>2023-04</v>
      </c>
    </row>
    <row r="3315" spans="1:7" x14ac:dyDescent="0.3">
      <c r="A3315">
        <v>4116</v>
      </c>
      <c r="B3315" t="s">
        <v>27</v>
      </c>
      <c r="C3315" s="7">
        <v>150</v>
      </c>
      <c r="D3315" s="1">
        <v>45020</v>
      </c>
      <c r="E3315" s="29">
        <v>4.2</v>
      </c>
      <c r="F3315" t="s">
        <v>4</v>
      </c>
      <c r="G3315" t="str">
        <f t="shared" si="51"/>
        <v>2023-04</v>
      </c>
    </row>
    <row r="3316" spans="1:7" x14ac:dyDescent="0.3">
      <c r="A3316">
        <v>4010</v>
      </c>
      <c r="B3316" t="s">
        <v>25</v>
      </c>
      <c r="C3316" s="7">
        <v>46</v>
      </c>
      <c r="D3316" s="1">
        <v>45058</v>
      </c>
      <c r="E3316" s="29">
        <v>4.5</v>
      </c>
      <c r="F3316" t="s">
        <v>1</v>
      </c>
      <c r="G3316" t="str">
        <f t="shared" si="51"/>
        <v>2023-05</v>
      </c>
    </row>
    <row r="3317" spans="1:7" x14ac:dyDescent="0.3">
      <c r="A3317">
        <v>4095</v>
      </c>
      <c r="B3317" t="s">
        <v>29</v>
      </c>
      <c r="C3317" s="7">
        <v>82</v>
      </c>
      <c r="D3317" s="1">
        <v>44993</v>
      </c>
      <c r="E3317" s="29">
        <v>2.9</v>
      </c>
      <c r="F3317" t="s">
        <v>1</v>
      </c>
      <c r="G3317" t="str">
        <f t="shared" si="51"/>
        <v>2023-03</v>
      </c>
    </row>
    <row r="3318" spans="1:7" x14ac:dyDescent="0.3">
      <c r="A3318">
        <v>4058</v>
      </c>
      <c r="B3318" t="s">
        <v>41</v>
      </c>
      <c r="C3318" s="7">
        <v>53</v>
      </c>
      <c r="D3318" s="1">
        <v>44907</v>
      </c>
      <c r="E3318" s="29">
        <v>4.0999999999999996</v>
      </c>
      <c r="F3318" t="s">
        <v>1</v>
      </c>
      <c r="G3318" t="str">
        <f t="shared" si="51"/>
        <v>2022-12</v>
      </c>
    </row>
    <row r="3319" spans="1:7" x14ac:dyDescent="0.3">
      <c r="A3319">
        <v>4066</v>
      </c>
      <c r="B3319" t="s">
        <v>33</v>
      </c>
      <c r="C3319" s="7">
        <v>113.54098360655701</v>
      </c>
      <c r="D3319" s="1">
        <v>45028</v>
      </c>
      <c r="E3319" s="29">
        <v>2.6</v>
      </c>
      <c r="F3319" t="s">
        <v>1</v>
      </c>
      <c r="G3319" t="str">
        <f t="shared" si="51"/>
        <v>2023-04</v>
      </c>
    </row>
    <row r="3320" spans="1:7" x14ac:dyDescent="0.3">
      <c r="A3320">
        <v>3987</v>
      </c>
      <c r="B3320" t="s">
        <v>10</v>
      </c>
      <c r="C3320" s="7">
        <v>96</v>
      </c>
      <c r="D3320" s="1">
        <v>44862</v>
      </c>
      <c r="E3320" s="29">
        <v>1.7</v>
      </c>
      <c r="F3320" t="s">
        <v>4</v>
      </c>
      <c r="G3320" t="str">
        <f t="shared" si="51"/>
        <v>2022-10</v>
      </c>
    </row>
    <row r="3321" spans="1:7" x14ac:dyDescent="0.3">
      <c r="A3321">
        <v>4016</v>
      </c>
      <c r="B3321" t="s">
        <v>14</v>
      </c>
      <c r="C3321" s="7">
        <v>22</v>
      </c>
      <c r="D3321" s="1">
        <v>44892</v>
      </c>
      <c r="E3321" s="29">
        <v>1.4</v>
      </c>
      <c r="F3321" t="s">
        <v>1</v>
      </c>
      <c r="G3321" t="str">
        <f t="shared" si="51"/>
        <v>2022-11</v>
      </c>
    </row>
    <row r="3322" spans="1:7" x14ac:dyDescent="0.3">
      <c r="A3322">
        <v>4011</v>
      </c>
      <c r="B3322" t="s">
        <v>39</v>
      </c>
      <c r="C3322" s="7">
        <v>108.54716981132</v>
      </c>
      <c r="D3322" s="1">
        <v>45117</v>
      </c>
      <c r="E3322" s="29">
        <v>4.9000000000000004</v>
      </c>
      <c r="F3322" t="s">
        <v>4</v>
      </c>
      <c r="G3322" t="str">
        <f t="shared" si="51"/>
        <v>2023-07</v>
      </c>
    </row>
    <row r="3323" spans="1:7" x14ac:dyDescent="0.3">
      <c r="A3323">
        <v>3984</v>
      </c>
      <c r="B3323" t="s">
        <v>51</v>
      </c>
      <c r="C3323" s="7">
        <v>182</v>
      </c>
      <c r="D3323" s="1">
        <v>45032</v>
      </c>
      <c r="E3323" s="29">
        <v>4.8</v>
      </c>
      <c r="F3323" t="s">
        <v>1</v>
      </c>
      <c r="G3323" t="str">
        <f t="shared" si="51"/>
        <v>2023-04</v>
      </c>
    </row>
    <row r="3324" spans="1:7" x14ac:dyDescent="0.3">
      <c r="A3324">
        <v>4048</v>
      </c>
      <c r="B3324" t="s">
        <v>48</v>
      </c>
      <c r="C3324" s="7">
        <v>107.26027397260199</v>
      </c>
      <c r="D3324" s="1">
        <v>44962</v>
      </c>
      <c r="E3324" s="29">
        <v>3.1</v>
      </c>
      <c r="F3324" t="s">
        <v>1</v>
      </c>
      <c r="G3324" t="str">
        <f t="shared" si="51"/>
        <v>2023-02</v>
      </c>
    </row>
    <row r="3325" spans="1:7" x14ac:dyDescent="0.3">
      <c r="A3325">
        <v>4039</v>
      </c>
      <c r="B3325" t="s">
        <v>30</v>
      </c>
      <c r="C3325" s="7">
        <v>32</v>
      </c>
      <c r="D3325" s="1">
        <v>45086</v>
      </c>
      <c r="E3325" s="29">
        <v>1.2</v>
      </c>
      <c r="F3325" t="s">
        <v>4</v>
      </c>
      <c r="G3325" t="str">
        <f t="shared" si="51"/>
        <v>2023-06</v>
      </c>
    </row>
    <row r="3326" spans="1:7" x14ac:dyDescent="0.3">
      <c r="A3326">
        <v>4001</v>
      </c>
      <c r="B3326" t="s">
        <v>18</v>
      </c>
      <c r="C3326" s="7">
        <v>55</v>
      </c>
      <c r="D3326" s="1">
        <v>44901</v>
      </c>
      <c r="E3326" s="29">
        <v>4.9000000000000004</v>
      </c>
      <c r="F3326" t="s">
        <v>1</v>
      </c>
      <c r="G3326" t="str">
        <f t="shared" si="51"/>
        <v>2022-12</v>
      </c>
    </row>
    <row r="3327" spans="1:7" x14ac:dyDescent="0.3">
      <c r="A3327">
        <v>3960</v>
      </c>
      <c r="B3327" t="s">
        <v>21</v>
      </c>
      <c r="C3327" s="7">
        <v>161</v>
      </c>
      <c r="D3327" s="1">
        <v>45030</v>
      </c>
      <c r="E3327" s="29">
        <v>3.02830188679245</v>
      </c>
      <c r="F3327" t="s">
        <v>1</v>
      </c>
      <c r="G3327" t="str">
        <f t="shared" si="51"/>
        <v>2023-04</v>
      </c>
    </row>
    <row r="3328" spans="1:7" x14ac:dyDescent="0.3">
      <c r="A3328">
        <v>4059</v>
      </c>
      <c r="B3328" t="s">
        <v>6</v>
      </c>
      <c r="C3328" s="7">
        <v>186</v>
      </c>
      <c r="D3328" s="1">
        <v>44947</v>
      </c>
      <c r="E3328" s="29">
        <v>3.1</v>
      </c>
      <c r="F3328" t="s">
        <v>1</v>
      </c>
      <c r="G3328" t="str">
        <f t="shared" si="51"/>
        <v>2023-01</v>
      </c>
    </row>
    <row r="3329" spans="1:7" x14ac:dyDescent="0.3">
      <c r="A3329">
        <v>4037</v>
      </c>
      <c r="B3329" t="s">
        <v>20</v>
      </c>
      <c r="C3329" s="7">
        <v>167</v>
      </c>
      <c r="D3329" s="1">
        <v>44870</v>
      </c>
      <c r="E3329" s="29">
        <v>3.8</v>
      </c>
      <c r="F3329" t="s">
        <v>1</v>
      </c>
      <c r="G3329" t="str">
        <f t="shared" si="51"/>
        <v>2022-11</v>
      </c>
    </row>
    <row r="3330" spans="1:7" x14ac:dyDescent="0.3">
      <c r="A3330">
        <v>3960</v>
      </c>
      <c r="B3330" t="s">
        <v>9</v>
      </c>
      <c r="C3330" s="7">
        <v>95</v>
      </c>
      <c r="D3330" s="1">
        <v>45126</v>
      </c>
      <c r="E3330" s="29">
        <v>1.5</v>
      </c>
      <c r="F3330" t="s">
        <v>4</v>
      </c>
      <c r="G3330" t="str">
        <f t="shared" si="51"/>
        <v>2023-07</v>
      </c>
    </row>
    <row r="3331" spans="1:7" x14ac:dyDescent="0.3">
      <c r="A3331">
        <v>4056</v>
      </c>
      <c r="B3331" t="s">
        <v>17</v>
      </c>
      <c r="C3331" s="7">
        <v>192</v>
      </c>
      <c r="D3331" s="1">
        <v>45135</v>
      </c>
      <c r="E3331" s="29">
        <v>1.7</v>
      </c>
      <c r="F3331" t="s">
        <v>1</v>
      </c>
      <c r="G3331" t="str">
        <f t="shared" ref="G3331:G3358" si="52">TEXT(D3331,"ГГГГ-ММ")</f>
        <v>2023-07</v>
      </c>
    </row>
    <row r="3332" spans="1:7" x14ac:dyDescent="0.3">
      <c r="A3332">
        <v>4011</v>
      </c>
      <c r="B3332" t="s">
        <v>18</v>
      </c>
      <c r="C3332" s="7">
        <v>146</v>
      </c>
      <c r="D3332" s="1">
        <v>45018</v>
      </c>
      <c r="E3332" s="29">
        <v>4.8</v>
      </c>
      <c r="F3332" t="s">
        <v>4</v>
      </c>
      <c r="G3332" t="str">
        <f t="shared" si="52"/>
        <v>2023-04</v>
      </c>
    </row>
    <row r="3333" spans="1:7" x14ac:dyDescent="0.3">
      <c r="A3333">
        <v>4074</v>
      </c>
      <c r="B3333" t="s">
        <v>16</v>
      </c>
      <c r="C3333" s="7">
        <v>110.56666666666599</v>
      </c>
      <c r="D3333" s="1">
        <v>45165</v>
      </c>
      <c r="E3333" s="29">
        <v>4.0999999999999996</v>
      </c>
      <c r="F3333" t="s">
        <v>4</v>
      </c>
      <c r="G3333" t="str">
        <f t="shared" si="52"/>
        <v>2023-08</v>
      </c>
    </row>
    <row r="3334" spans="1:7" x14ac:dyDescent="0.3">
      <c r="A3334">
        <v>4013</v>
      </c>
      <c r="B3334" t="s">
        <v>46</v>
      </c>
      <c r="C3334" s="7">
        <v>129</v>
      </c>
      <c r="D3334" s="1">
        <v>45031</v>
      </c>
      <c r="E3334" s="29">
        <v>3.262</v>
      </c>
      <c r="F3334" t="s">
        <v>4</v>
      </c>
      <c r="G3334" t="str">
        <f t="shared" si="52"/>
        <v>2023-04</v>
      </c>
    </row>
    <row r="3335" spans="1:7" x14ac:dyDescent="0.3">
      <c r="A3335">
        <v>3973</v>
      </c>
      <c r="B3335" t="s">
        <v>25</v>
      </c>
      <c r="C3335" s="7">
        <v>33</v>
      </c>
      <c r="D3335" s="1">
        <v>45149</v>
      </c>
      <c r="E3335" s="29">
        <v>2.8</v>
      </c>
      <c r="F3335" t="s">
        <v>4</v>
      </c>
      <c r="G3335" t="str">
        <f t="shared" si="52"/>
        <v>2023-08</v>
      </c>
    </row>
    <row r="3336" spans="1:7" x14ac:dyDescent="0.3">
      <c r="A3336">
        <v>4028</v>
      </c>
      <c r="B3336" t="s">
        <v>47</v>
      </c>
      <c r="C3336" s="7">
        <v>188</v>
      </c>
      <c r="D3336" s="1">
        <v>45160</v>
      </c>
      <c r="E3336" s="29">
        <v>2.6</v>
      </c>
      <c r="F3336" t="s">
        <v>4</v>
      </c>
      <c r="G3336" t="str">
        <f t="shared" si="52"/>
        <v>2023-08</v>
      </c>
    </row>
    <row r="3337" spans="1:7" x14ac:dyDescent="0.3">
      <c r="A3337">
        <v>4116</v>
      </c>
      <c r="B3337" t="s">
        <v>50</v>
      </c>
      <c r="C3337" s="7">
        <v>126</v>
      </c>
      <c r="D3337" s="1">
        <v>45007</v>
      </c>
      <c r="E3337" s="29">
        <v>1.7</v>
      </c>
      <c r="F3337" t="s">
        <v>4</v>
      </c>
      <c r="G3337" t="str">
        <f t="shared" si="52"/>
        <v>2023-03</v>
      </c>
    </row>
    <row r="3338" spans="1:7" x14ac:dyDescent="0.3">
      <c r="A3338">
        <v>4051</v>
      </c>
      <c r="B3338" t="s">
        <v>29</v>
      </c>
      <c r="C3338" s="7">
        <v>174</v>
      </c>
      <c r="D3338" s="1">
        <v>45018</v>
      </c>
      <c r="E3338" s="29">
        <v>1.3</v>
      </c>
      <c r="F3338" t="s">
        <v>1</v>
      </c>
      <c r="G3338" t="str">
        <f t="shared" si="52"/>
        <v>2023-04</v>
      </c>
    </row>
    <row r="3339" spans="1:7" x14ac:dyDescent="0.3">
      <c r="A3339">
        <v>3968</v>
      </c>
      <c r="B3339" t="s">
        <v>40</v>
      </c>
      <c r="C3339" s="7">
        <v>129</v>
      </c>
      <c r="D3339" s="1">
        <v>45134</v>
      </c>
      <c r="E3339" s="29">
        <v>4.7</v>
      </c>
      <c r="F3339" t="s">
        <v>1</v>
      </c>
      <c r="G3339" t="str">
        <f t="shared" si="52"/>
        <v>2023-07</v>
      </c>
    </row>
    <row r="3340" spans="1:7" x14ac:dyDescent="0.3">
      <c r="A3340">
        <v>3974</v>
      </c>
      <c r="B3340" t="s">
        <v>16</v>
      </c>
      <c r="C3340" s="7">
        <v>67</v>
      </c>
      <c r="D3340" s="1">
        <v>44916</v>
      </c>
      <c r="E3340" s="29">
        <v>3.05820895522388</v>
      </c>
      <c r="F3340" t="s">
        <v>4</v>
      </c>
      <c r="G3340" t="str">
        <f t="shared" si="52"/>
        <v>2022-12</v>
      </c>
    </row>
    <row r="3341" spans="1:7" x14ac:dyDescent="0.3">
      <c r="A3341">
        <v>4012</v>
      </c>
      <c r="B3341" t="s">
        <v>29</v>
      </c>
      <c r="C3341" s="7">
        <v>108.734693877551</v>
      </c>
      <c r="D3341" s="1">
        <v>45163</v>
      </c>
      <c r="E3341" s="29">
        <v>1.9</v>
      </c>
      <c r="F3341" t="s">
        <v>1</v>
      </c>
      <c r="G3341" t="str">
        <f t="shared" si="52"/>
        <v>2023-08</v>
      </c>
    </row>
    <row r="3342" spans="1:7" x14ac:dyDescent="0.3">
      <c r="A3342">
        <v>4062</v>
      </c>
      <c r="B3342" t="s">
        <v>20</v>
      </c>
      <c r="C3342" s="7">
        <v>76</v>
      </c>
      <c r="D3342" s="1">
        <v>44929</v>
      </c>
      <c r="E3342" s="29">
        <v>2.9</v>
      </c>
      <c r="F3342" t="s">
        <v>4</v>
      </c>
      <c r="G3342" t="str">
        <f t="shared" si="52"/>
        <v>2023-01</v>
      </c>
    </row>
    <row r="3343" spans="1:7" x14ac:dyDescent="0.3">
      <c r="A3343">
        <v>4034</v>
      </c>
      <c r="B3343" t="s">
        <v>41</v>
      </c>
      <c r="C3343" s="7">
        <v>110</v>
      </c>
      <c r="D3343" s="1">
        <v>45084</v>
      </c>
      <c r="E3343" s="29">
        <v>2.4</v>
      </c>
      <c r="F3343" t="s">
        <v>1</v>
      </c>
      <c r="G3343" t="str">
        <f t="shared" si="52"/>
        <v>2023-06</v>
      </c>
    </row>
    <row r="3344" spans="1:7" x14ac:dyDescent="0.3">
      <c r="A3344">
        <v>4110</v>
      </c>
      <c r="B3344" t="s">
        <v>3</v>
      </c>
      <c r="C3344" s="7">
        <v>100.679999999999</v>
      </c>
      <c r="D3344" s="1">
        <v>45186</v>
      </c>
      <c r="E3344" s="29">
        <v>2.5</v>
      </c>
      <c r="F3344" t="s">
        <v>1</v>
      </c>
      <c r="G3344" t="str">
        <f t="shared" si="52"/>
        <v>2023-09</v>
      </c>
    </row>
    <row r="3345" spans="1:7" x14ac:dyDescent="0.3">
      <c r="A3345">
        <v>4084</v>
      </c>
      <c r="B3345" t="s">
        <v>14</v>
      </c>
      <c r="C3345" s="7">
        <v>94</v>
      </c>
      <c r="D3345" s="1">
        <v>45060</v>
      </c>
      <c r="E3345" s="29">
        <v>1.2</v>
      </c>
      <c r="F3345" t="s">
        <v>1</v>
      </c>
      <c r="G3345" t="str">
        <f t="shared" si="52"/>
        <v>2023-05</v>
      </c>
    </row>
    <row r="3346" spans="1:7" x14ac:dyDescent="0.3">
      <c r="A3346">
        <v>3983</v>
      </c>
      <c r="B3346" t="s">
        <v>45</v>
      </c>
      <c r="C3346" s="7">
        <v>93</v>
      </c>
      <c r="D3346" s="1">
        <v>45028</v>
      </c>
      <c r="E3346" s="29">
        <v>4.9000000000000004</v>
      </c>
      <c r="F3346" t="s">
        <v>4</v>
      </c>
      <c r="G3346" t="str">
        <f t="shared" si="52"/>
        <v>2023-04</v>
      </c>
    </row>
    <row r="3347" spans="1:7" x14ac:dyDescent="0.3">
      <c r="A3347">
        <v>4094</v>
      </c>
      <c r="B3347" t="s">
        <v>36</v>
      </c>
      <c r="C3347" s="7">
        <v>17</v>
      </c>
      <c r="D3347" s="1">
        <v>44970</v>
      </c>
      <c r="E3347" s="29">
        <v>2.5</v>
      </c>
      <c r="F3347" t="s">
        <v>1</v>
      </c>
      <c r="G3347" t="str">
        <f t="shared" si="52"/>
        <v>2023-02</v>
      </c>
    </row>
    <row r="3348" spans="1:7" x14ac:dyDescent="0.3">
      <c r="A3348">
        <v>4102</v>
      </c>
      <c r="B3348" t="s">
        <v>39</v>
      </c>
      <c r="C3348" s="7">
        <v>108.54716981132</v>
      </c>
      <c r="D3348" s="1">
        <v>44883</v>
      </c>
      <c r="E3348" s="29">
        <v>3.1</v>
      </c>
      <c r="F3348" t="s">
        <v>1</v>
      </c>
      <c r="G3348" t="str">
        <f t="shared" si="52"/>
        <v>2022-11</v>
      </c>
    </row>
    <row r="3349" spans="1:7" x14ac:dyDescent="0.3">
      <c r="A3349">
        <v>4000</v>
      </c>
      <c r="B3349" t="s">
        <v>44</v>
      </c>
      <c r="C3349" s="7">
        <v>106.72413793103399</v>
      </c>
      <c r="D3349" s="1">
        <v>44988</v>
      </c>
      <c r="E3349" s="29">
        <v>1.5</v>
      </c>
      <c r="F3349" t="s">
        <v>4</v>
      </c>
      <c r="G3349" t="str">
        <f t="shared" si="52"/>
        <v>2023-03</v>
      </c>
    </row>
    <row r="3350" spans="1:7" x14ac:dyDescent="0.3">
      <c r="A3350">
        <v>4021</v>
      </c>
      <c r="B3350" t="s">
        <v>45</v>
      </c>
      <c r="C3350" s="7">
        <v>53</v>
      </c>
      <c r="D3350" s="1">
        <v>45147</v>
      </c>
      <c r="E3350" s="29">
        <v>4</v>
      </c>
      <c r="F3350" t="s">
        <v>4</v>
      </c>
      <c r="G3350" t="str">
        <f t="shared" si="52"/>
        <v>2023-08</v>
      </c>
    </row>
    <row r="3351" spans="1:7" x14ac:dyDescent="0.3">
      <c r="A3351">
        <v>3981</v>
      </c>
      <c r="B3351" t="s">
        <v>21</v>
      </c>
      <c r="C3351" s="7">
        <v>99</v>
      </c>
      <c r="D3351" s="1">
        <v>44859</v>
      </c>
      <c r="E3351" s="29">
        <v>4.5</v>
      </c>
      <c r="F3351" t="s">
        <v>4</v>
      </c>
      <c r="G3351" t="str">
        <f t="shared" si="52"/>
        <v>2022-10</v>
      </c>
    </row>
    <row r="3352" spans="1:7" x14ac:dyDescent="0.3">
      <c r="A3352">
        <v>4110</v>
      </c>
      <c r="B3352" t="s">
        <v>20</v>
      </c>
      <c r="C3352" s="7">
        <v>42</v>
      </c>
      <c r="D3352" s="1">
        <v>44849</v>
      </c>
      <c r="E3352" s="29">
        <v>4</v>
      </c>
      <c r="F3352" t="s">
        <v>4</v>
      </c>
      <c r="G3352" t="str">
        <f t="shared" si="52"/>
        <v>2022-10</v>
      </c>
    </row>
    <row r="3353" spans="1:7" x14ac:dyDescent="0.3">
      <c r="A3353">
        <v>4040</v>
      </c>
      <c r="B3353" t="s">
        <v>24</v>
      </c>
      <c r="C3353" s="7">
        <v>113</v>
      </c>
      <c r="D3353" s="1">
        <v>44946</v>
      </c>
      <c r="E3353" s="29">
        <v>1.2</v>
      </c>
      <c r="F3353" t="s">
        <v>1</v>
      </c>
      <c r="G3353" t="str">
        <f t="shared" si="52"/>
        <v>2023-01</v>
      </c>
    </row>
    <row r="3354" spans="1:7" x14ac:dyDescent="0.3">
      <c r="A3354">
        <v>4118</v>
      </c>
      <c r="B3354" t="s">
        <v>48</v>
      </c>
      <c r="C3354" s="7">
        <v>37</v>
      </c>
      <c r="D3354" s="1">
        <v>45116</v>
      </c>
      <c r="E3354" s="29">
        <v>2.7</v>
      </c>
      <c r="F3354" t="s">
        <v>4</v>
      </c>
      <c r="G3354" t="str">
        <f t="shared" si="52"/>
        <v>2023-07</v>
      </c>
    </row>
    <row r="3355" spans="1:7" x14ac:dyDescent="0.3">
      <c r="A3355">
        <v>4056</v>
      </c>
      <c r="B3355" t="s">
        <v>34</v>
      </c>
      <c r="C3355" s="7">
        <v>176</v>
      </c>
      <c r="D3355" s="1">
        <v>45001</v>
      </c>
      <c r="E3355" s="29">
        <v>2.5</v>
      </c>
      <c r="F3355" t="s">
        <v>4</v>
      </c>
      <c r="G3355" t="str">
        <f t="shared" si="52"/>
        <v>2023-03</v>
      </c>
    </row>
    <row r="3356" spans="1:7" x14ac:dyDescent="0.3">
      <c r="A3356">
        <v>3991</v>
      </c>
      <c r="B3356" t="s">
        <v>42</v>
      </c>
      <c r="C3356" s="7">
        <v>114.396551724137</v>
      </c>
      <c r="D3356" s="1">
        <v>44837</v>
      </c>
      <c r="E3356" s="29">
        <v>2.4</v>
      </c>
      <c r="F3356" t="s">
        <v>1</v>
      </c>
      <c r="G3356" t="str">
        <f t="shared" si="52"/>
        <v>2022-10</v>
      </c>
    </row>
    <row r="3357" spans="1:7" x14ac:dyDescent="0.3">
      <c r="A3357">
        <v>4042</v>
      </c>
      <c r="B3357" t="s">
        <v>46</v>
      </c>
      <c r="C3357" s="7">
        <v>128</v>
      </c>
      <c r="D3357" s="1">
        <v>44927</v>
      </c>
      <c r="E3357" s="29">
        <v>1.8</v>
      </c>
      <c r="F3357" t="s">
        <v>4</v>
      </c>
      <c r="G3357" t="str">
        <f t="shared" si="52"/>
        <v>2023-01</v>
      </c>
    </row>
    <row r="3358" spans="1:7" x14ac:dyDescent="0.3">
      <c r="A3358">
        <v>4001</v>
      </c>
      <c r="B3358" t="s">
        <v>0</v>
      </c>
      <c r="C3358" s="7">
        <v>115</v>
      </c>
      <c r="D3358" s="1">
        <v>45007</v>
      </c>
      <c r="E3358" s="29">
        <v>1.4</v>
      </c>
      <c r="F3358" t="s">
        <v>4</v>
      </c>
      <c r="G3358" t="str">
        <f t="shared" si="52"/>
        <v>2023-03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9376-7EC0-46BD-9924-F13B21C6164E}">
  <dimension ref="A1:B17"/>
  <sheetViews>
    <sheetView workbookViewId="0">
      <selection activeCell="E15" sqref="E15"/>
    </sheetView>
  </sheetViews>
  <sheetFormatPr defaultRowHeight="14.4" x14ac:dyDescent="0.3"/>
  <cols>
    <col min="1" max="1" width="22" customWidth="1"/>
    <col min="2" max="2" width="20.109375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60</v>
      </c>
      <c r="B2" s="3">
        <f>COUNTA(Данные!A:A)-1</f>
        <v>3357</v>
      </c>
    </row>
    <row r="3" spans="1:2" x14ac:dyDescent="0.3">
      <c r="A3" t="s">
        <v>61</v>
      </c>
      <c r="B3" s="3">
        <f>SUMPRODUCT(1/COUNTIF(Данные!A2:A3358, Данные!A2:A3358))</f>
        <v>165.99999999999932</v>
      </c>
    </row>
    <row r="4" spans="1:2" x14ac:dyDescent="0.3">
      <c r="A4" s="2" t="s">
        <v>62</v>
      </c>
      <c r="B4" s="3">
        <f>SUMPRODUCT(1/COUNTIF(Данные!B2:B3358, Данные!B2:B3358))</f>
        <v>50.000000000000419</v>
      </c>
    </row>
    <row r="5" spans="1:2" x14ac:dyDescent="0.3">
      <c r="A5" s="2" t="s">
        <v>63</v>
      </c>
      <c r="B5" s="3">
        <f>SUM(Данные!C:C)</f>
        <v>357025.62699207303</v>
      </c>
    </row>
    <row r="6" spans="1:2" x14ac:dyDescent="0.3">
      <c r="A6" s="2" t="s">
        <v>64</v>
      </c>
      <c r="B6" s="3">
        <f>AVERAGE(Данные!C:C)</f>
        <v>106.35258474592584</v>
      </c>
    </row>
    <row r="7" spans="1:2" x14ac:dyDescent="0.3">
      <c r="A7" s="2" t="s">
        <v>65</v>
      </c>
      <c r="B7" s="3">
        <f>MEDIAN(Данные!C:C)</f>
        <v>107</v>
      </c>
    </row>
    <row r="8" spans="1:2" x14ac:dyDescent="0.3">
      <c r="A8" s="2" t="s">
        <v>66</v>
      </c>
      <c r="B8" s="3">
        <f>_xlfn.STDEV.S(Данные!C:C)</f>
        <v>49.770592135940973</v>
      </c>
    </row>
    <row r="9" spans="1:2" x14ac:dyDescent="0.3">
      <c r="A9" s="2" t="s">
        <v>67</v>
      </c>
      <c r="B9" s="3">
        <f>MIN(Данные!C:C)</f>
        <v>10</v>
      </c>
    </row>
    <row r="10" spans="1:2" x14ac:dyDescent="0.3">
      <c r="A10" s="2" t="s">
        <v>68</v>
      </c>
      <c r="B10" s="3">
        <f>MAX(Данные!C:C)</f>
        <v>200</v>
      </c>
    </row>
    <row r="11" spans="1:2" x14ac:dyDescent="0.3">
      <c r="A11" s="2" t="s">
        <v>69</v>
      </c>
      <c r="B11" s="3">
        <f>_xlfn.QUARTILE.INC(Данные!C:C, 1)</f>
        <v>70</v>
      </c>
    </row>
    <row r="12" spans="1:2" x14ac:dyDescent="0.3">
      <c r="A12" s="2" t="s">
        <v>70</v>
      </c>
      <c r="B12" s="3">
        <f>_xlfn.QUARTILE.INC(Данные!C:C, 3)</f>
        <v>144</v>
      </c>
    </row>
    <row r="13" spans="1:2" x14ac:dyDescent="0.3">
      <c r="A13" s="2" t="s">
        <v>71</v>
      </c>
      <c r="B13" s="3">
        <f>B12-B11</f>
        <v>74</v>
      </c>
    </row>
    <row r="14" spans="1:2" x14ac:dyDescent="0.3">
      <c r="A14" s="2" t="s">
        <v>72</v>
      </c>
      <c r="B14" s="3">
        <f>AVERAGE(Данные!E:E)</f>
        <v>2.9950610491123832</v>
      </c>
    </row>
    <row r="15" spans="1:2" x14ac:dyDescent="0.3">
      <c r="A15" s="2" t="s">
        <v>73</v>
      </c>
      <c r="B15" s="3">
        <f>MEDIAN(Данные!E:E)</f>
        <v>3</v>
      </c>
    </row>
    <row r="16" spans="1:2" x14ac:dyDescent="0.3">
      <c r="A16" s="2" t="s">
        <v>74</v>
      </c>
      <c r="B16" s="4">
        <f>MIN(Данные!D:D)</f>
        <v>44836</v>
      </c>
    </row>
    <row r="17" spans="1:2" x14ac:dyDescent="0.3">
      <c r="A17" s="2" t="s">
        <v>75</v>
      </c>
      <c r="B17" s="4">
        <f>MAX(Данные!D:D)</f>
        <v>45200</v>
      </c>
    </row>
  </sheetData>
  <pageMargins left="0.7" right="0.7" top="0.75" bottom="0.75" header="0.3" footer="0.3"/>
  <ignoredErrors>
    <ignoredError sqref="B3:B17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A7D5-AD74-4454-B18D-34EF4EE7DCB3}">
  <dimension ref="A1:E650"/>
  <sheetViews>
    <sheetView workbookViewId="0">
      <selection activeCellId="3" sqref="F18 C1:C1048576 A1 A1:A1048576"/>
    </sheetView>
  </sheetViews>
  <sheetFormatPr defaultRowHeight="14.4" x14ac:dyDescent="0.3"/>
  <cols>
    <col min="1" max="1" width="17" bestFit="1" customWidth="1"/>
    <col min="2" max="2" width="12.109375" style="8" bestFit="1" customWidth="1"/>
    <col min="3" max="3" width="10" style="8" bestFit="1" customWidth="1"/>
    <col min="4" max="4" width="16.109375" style="7" bestFit="1" customWidth="1"/>
    <col min="5" max="5" width="15" bestFit="1" customWidth="1"/>
    <col min="6" max="14" width="6" bestFit="1" customWidth="1"/>
    <col min="15" max="15" width="7" bestFit="1" customWidth="1"/>
    <col min="16" max="17" width="6" bestFit="1" customWidth="1"/>
    <col min="18" max="18" width="7" bestFit="1" customWidth="1"/>
    <col min="19" max="22" width="6" bestFit="1" customWidth="1"/>
    <col min="23" max="23" width="7" bestFit="1" customWidth="1"/>
    <col min="24" max="31" width="6" bestFit="1" customWidth="1"/>
    <col min="32" max="32" width="7" bestFit="1" customWidth="1"/>
    <col min="33" max="44" width="6" bestFit="1" customWidth="1"/>
    <col min="45" max="45" width="7" bestFit="1" customWidth="1"/>
    <col min="46" max="46" width="6" bestFit="1" customWidth="1"/>
    <col min="47" max="47" width="7" bestFit="1" customWidth="1"/>
    <col min="48" max="50" width="6" bestFit="1" customWidth="1"/>
    <col min="51" max="51" width="7" bestFit="1" customWidth="1"/>
    <col min="52" max="52" width="6" bestFit="1" customWidth="1"/>
    <col min="53" max="53" width="7" bestFit="1" customWidth="1"/>
    <col min="54" max="67" width="6" bestFit="1" customWidth="1"/>
    <col min="68" max="68" width="7" bestFit="1" customWidth="1"/>
    <col min="69" max="73" width="6" bestFit="1" customWidth="1"/>
    <col min="74" max="74" width="7" bestFit="1" customWidth="1"/>
    <col min="75" max="78" width="6" bestFit="1" customWidth="1"/>
    <col min="79" max="79" width="7" bestFit="1" customWidth="1"/>
    <col min="80" max="95" width="6" bestFit="1" customWidth="1"/>
    <col min="96" max="96" width="7" bestFit="1" customWidth="1"/>
    <col min="97" max="107" width="6" bestFit="1" customWidth="1"/>
    <col min="108" max="108" width="7" bestFit="1" customWidth="1"/>
    <col min="109" max="109" width="6" bestFit="1" customWidth="1"/>
    <col min="110" max="110" width="7" bestFit="1" customWidth="1"/>
    <col min="111" max="112" width="6" bestFit="1" customWidth="1"/>
    <col min="113" max="113" width="7" bestFit="1" customWidth="1"/>
    <col min="114" max="114" width="6" bestFit="1" customWidth="1"/>
    <col min="115" max="115" width="7" bestFit="1" customWidth="1"/>
    <col min="116" max="117" width="6" bestFit="1" customWidth="1"/>
    <col min="118" max="118" width="7" bestFit="1" customWidth="1"/>
    <col min="119" max="119" width="6" bestFit="1" customWidth="1"/>
    <col min="120" max="120" width="7" bestFit="1" customWidth="1"/>
    <col min="121" max="122" width="6" bestFit="1" customWidth="1"/>
    <col min="123" max="123" width="7" bestFit="1" customWidth="1"/>
    <col min="124" max="126" width="6" bestFit="1" customWidth="1"/>
    <col min="127" max="128" width="7" bestFit="1" customWidth="1"/>
    <col min="129" max="137" width="6" bestFit="1" customWidth="1"/>
    <col min="138" max="138" width="7" bestFit="1" customWidth="1"/>
    <col min="139" max="146" width="6" bestFit="1" customWidth="1"/>
    <col min="147" max="147" width="7" bestFit="1" customWidth="1"/>
    <col min="148" max="149" width="6" bestFit="1" customWidth="1"/>
    <col min="150" max="150" width="7" bestFit="1" customWidth="1"/>
    <col min="151" max="155" width="6" bestFit="1" customWidth="1"/>
    <col min="156" max="156" width="7" bestFit="1" customWidth="1"/>
    <col min="157" max="161" width="6" bestFit="1" customWidth="1"/>
    <col min="162" max="162" width="7" bestFit="1" customWidth="1"/>
    <col min="163" max="166" width="6" bestFit="1" customWidth="1"/>
    <col min="167" max="167" width="7" bestFit="1" customWidth="1"/>
    <col min="168" max="168" width="11.33203125" bestFit="1" customWidth="1"/>
  </cols>
  <sheetData>
    <row r="1" spans="1:5" x14ac:dyDescent="0.3">
      <c r="A1" s="5" t="s">
        <v>76</v>
      </c>
      <c r="B1" s="8" t="s">
        <v>64</v>
      </c>
      <c r="C1" s="8" t="s">
        <v>79</v>
      </c>
      <c r="D1" s="7" t="s">
        <v>72</v>
      </c>
      <c r="E1" t="s">
        <v>78</v>
      </c>
    </row>
    <row r="2" spans="1:5" x14ac:dyDescent="0.3">
      <c r="A2" s="6" t="s">
        <v>80</v>
      </c>
      <c r="B2" s="8">
        <v>105.07887077205885</v>
      </c>
      <c r="C2" s="8">
        <v>30472.872523897066</v>
      </c>
      <c r="D2" s="7">
        <v>2.9806058527884431</v>
      </c>
      <c r="E2">
        <v>290</v>
      </c>
    </row>
    <row r="3" spans="1:5" x14ac:dyDescent="0.3">
      <c r="A3" s="6" t="s">
        <v>81</v>
      </c>
      <c r="B3" s="8">
        <v>104.63131692515536</v>
      </c>
      <c r="C3" s="8">
        <v>25843.935280513375</v>
      </c>
      <c r="D3" s="7">
        <v>2.9999084430078429</v>
      </c>
      <c r="E3">
        <v>247</v>
      </c>
    </row>
    <row r="4" spans="1:5" x14ac:dyDescent="0.3">
      <c r="A4" s="6" t="s">
        <v>82</v>
      </c>
      <c r="B4" s="8">
        <v>113.01944780086096</v>
      </c>
      <c r="C4" s="8">
        <v>30741.28980183418</v>
      </c>
      <c r="D4" s="7">
        <v>2.9699542626346926</v>
      </c>
      <c r="E4">
        <v>272</v>
      </c>
    </row>
    <row r="5" spans="1:5" x14ac:dyDescent="0.3">
      <c r="A5" s="6" t="s">
        <v>83</v>
      </c>
      <c r="B5" s="8">
        <v>105.97453431201158</v>
      </c>
      <c r="C5" s="8">
        <v>30732.614950483359</v>
      </c>
      <c r="D5" s="7">
        <v>3.1045159642138502</v>
      </c>
      <c r="E5">
        <v>290</v>
      </c>
    </row>
    <row r="6" spans="1:5" x14ac:dyDescent="0.3">
      <c r="A6" s="6" t="s">
        <v>84</v>
      </c>
      <c r="B6" s="8">
        <v>104.68584765201676</v>
      </c>
      <c r="C6" s="8">
        <v>31615.125990909062</v>
      </c>
      <c r="D6" s="7">
        <v>3.0370073359667482</v>
      </c>
      <c r="E6">
        <v>302</v>
      </c>
    </row>
    <row r="7" spans="1:5" x14ac:dyDescent="0.3">
      <c r="A7" s="6" t="s">
        <v>85</v>
      </c>
      <c r="B7" s="8">
        <v>115.7246951054216</v>
      </c>
      <c r="C7" s="8">
        <v>29972.696032304197</v>
      </c>
      <c r="D7" s="7">
        <v>2.9636058101855722</v>
      </c>
      <c r="E7">
        <v>259</v>
      </c>
    </row>
    <row r="8" spans="1:5" x14ac:dyDescent="0.3">
      <c r="A8" s="6" t="s">
        <v>86</v>
      </c>
      <c r="B8" s="8">
        <v>104.44149419087866</v>
      </c>
      <c r="C8" s="8">
        <v>31332.448257263597</v>
      </c>
      <c r="D8" s="7">
        <v>3.0464338838893075</v>
      </c>
      <c r="E8">
        <v>300</v>
      </c>
    </row>
    <row r="9" spans="1:5" x14ac:dyDescent="0.3">
      <c r="A9" s="6" t="s">
        <v>87</v>
      </c>
      <c r="B9" s="8">
        <v>105.73085081694822</v>
      </c>
      <c r="C9" s="8">
        <v>31507.793543450571</v>
      </c>
      <c r="D9" s="7">
        <v>3.0333347328946516</v>
      </c>
      <c r="E9">
        <v>298</v>
      </c>
    </row>
    <row r="10" spans="1:5" x14ac:dyDescent="0.3">
      <c r="A10" s="6" t="s">
        <v>88</v>
      </c>
      <c r="B10" s="8">
        <v>105.33110580824398</v>
      </c>
      <c r="C10" s="8">
        <v>26543.438663677483</v>
      </c>
      <c r="D10" s="7">
        <v>2.8447658672425917</v>
      </c>
      <c r="E10">
        <v>252</v>
      </c>
    </row>
    <row r="11" spans="1:5" x14ac:dyDescent="0.3">
      <c r="A11" s="6" t="s">
        <v>89</v>
      </c>
      <c r="B11" s="8">
        <v>99.481022235653654</v>
      </c>
      <c r="C11" s="8">
        <v>31038.07893752394</v>
      </c>
      <c r="D11" s="7">
        <v>3.1138170299509631</v>
      </c>
      <c r="E11">
        <v>312</v>
      </c>
    </row>
    <row r="12" spans="1:5" x14ac:dyDescent="0.3">
      <c r="A12" s="6" t="s">
        <v>90</v>
      </c>
      <c r="B12" s="8">
        <v>107.07085809428031</v>
      </c>
      <c r="C12" s="8">
        <v>25054.580794061592</v>
      </c>
      <c r="D12" s="7">
        <v>2.9567883318898383</v>
      </c>
      <c r="E12">
        <v>234</v>
      </c>
    </row>
    <row r="13" spans="1:5" x14ac:dyDescent="0.3">
      <c r="A13" s="6" t="s">
        <v>91</v>
      </c>
      <c r="B13" s="8">
        <v>106.87957546895385</v>
      </c>
      <c r="C13" s="8">
        <v>32170.752216155106</v>
      </c>
      <c r="D13" s="7">
        <v>2.8572599756097659</v>
      </c>
      <c r="E13">
        <v>301</v>
      </c>
    </row>
    <row r="14" spans="1:5" x14ac:dyDescent="0.3">
      <c r="A14" s="6" t="s">
        <v>77</v>
      </c>
      <c r="B14" s="8">
        <v>106.35258474592581</v>
      </c>
      <c r="C14" s="8">
        <v>357025.62699207297</v>
      </c>
      <c r="D14" s="7">
        <v>2.995656819145144</v>
      </c>
      <c r="E14">
        <v>3357</v>
      </c>
    </row>
    <row r="15" spans="1:5" x14ac:dyDescent="0.3">
      <c r="B15"/>
      <c r="C15"/>
      <c r="D15"/>
    </row>
    <row r="16" spans="1:5" x14ac:dyDescent="0.3">
      <c r="B16"/>
      <c r="C16"/>
      <c r="D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</sheetData>
  <sortState xmlns:xlrd2="http://schemas.microsoft.com/office/spreadsheetml/2017/richdata2" columnSort="1" ref="A1:E52">
    <sortCondition descending="1"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FDA2-F456-43C5-A40D-1CF5188E369B}">
  <dimension ref="A1:J52"/>
  <sheetViews>
    <sheetView workbookViewId="0">
      <pane ySplit="1" topLeftCell="A2" activePane="bottomLeft" state="frozen"/>
      <selection pane="bottomLeft" activeCell="A11" activeCellId="11" sqref="J23 A2:XFD2 A1:XFD1 A3:XFD3 A4:XFD4 A5:XFD5 A6:XFD6 A7:XFD7 A8:XFD8 A9:XFD9 A10:XFD10 A11:XFD11"/>
    </sheetView>
  </sheetViews>
  <sheetFormatPr defaultRowHeight="14.4" x14ac:dyDescent="0.3"/>
  <cols>
    <col min="1" max="1" width="17" bestFit="1" customWidth="1"/>
    <col min="2" max="2" width="12.109375" style="7" bestFit="1" customWidth="1"/>
    <col min="3" max="3" width="16.109375" style="7" bestFit="1" customWidth="1"/>
    <col min="4" max="4" width="15" bestFit="1" customWidth="1"/>
    <col min="5" max="6" width="10" bestFit="1" customWidth="1"/>
    <col min="7" max="7" width="17.77734375" customWidth="1"/>
  </cols>
  <sheetData>
    <row r="1" spans="1:10" x14ac:dyDescent="0.3">
      <c r="A1" s="9" t="s">
        <v>76</v>
      </c>
      <c r="B1" s="30" t="s">
        <v>64</v>
      </c>
      <c r="C1" s="30" t="s">
        <v>72</v>
      </c>
      <c r="D1" s="9" t="s">
        <v>78</v>
      </c>
      <c r="E1" s="9" t="s">
        <v>79</v>
      </c>
      <c r="F1" s="9" t="s">
        <v>125</v>
      </c>
      <c r="G1" s="9" t="s">
        <v>126</v>
      </c>
      <c r="H1" s="9" t="s">
        <v>127</v>
      </c>
      <c r="J1" s="7"/>
    </row>
    <row r="2" spans="1:10" x14ac:dyDescent="0.3">
      <c r="A2" t="s">
        <v>51</v>
      </c>
      <c r="B2" s="7">
        <v>105.10000000000005</v>
      </c>
      <c r="C2" s="7">
        <v>3.1962962962962931</v>
      </c>
      <c r="D2">
        <v>88</v>
      </c>
      <c r="E2" s="8">
        <f>SUMIF(Данные!B:B,A2,Данные!C:C)</f>
        <v>9248.8000000000047</v>
      </c>
      <c r="F2" s="25">
        <f>E2/SUM($E$2:$E$51)</f>
        <v>2.5905143218767718E-2</v>
      </c>
      <c r="G2" s="25">
        <f>F2</f>
        <v>2.5905143218767718E-2</v>
      </c>
      <c r="H2" t="str">
        <f>IF(G2&lt;=0.5,"A",IF(G2&lt;=0.8,"B","C"))</f>
        <v>A</v>
      </c>
    </row>
    <row r="3" spans="1:10" x14ac:dyDescent="0.3">
      <c r="A3" t="s">
        <v>48</v>
      </c>
      <c r="B3" s="7">
        <v>107.26027397260263</v>
      </c>
      <c r="C3" s="7">
        <v>2.9000000000000004</v>
      </c>
      <c r="D3">
        <v>86</v>
      </c>
      <c r="E3" s="8">
        <f>SUMIF(Данные!B:B,A3,Данные!C:C)</f>
        <v>9224.3835616438264</v>
      </c>
      <c r="F3" s="25">
        <f t="shared" ref="F3:F51" si="0">E3/SUM($E$2:$E$51)</f>
        <v>2.5836754743234779E-2</v>
      </c>
      <c r="G3" s="25">
        <f>G2+F3</f>
        <v>5.17418979620025E-2</v>
      </c>
      <c r="H3" t="str">
        <f t="shared" ref="H3:H51" si="1">IF(G3&lt;=0.5,"A",IF(G3&lt;=0.8,"B","C"))</f>
        <v>A</v>
      </c>
    </row>
    <row r="4" spans="1:10" x14ac:dyDescent="0.3">
      <c r="A4" t="s">
        <v>28</v>
      </c>
      <c r="B4" s="7">
        <v>111.85483870967734</v>
      </c>
      <c r="C4" s="7">
        <v>3</v>
      </c>
      <c r="D4">
        <v>81</v>
      </c>
      <c r="E4" s="8">
        <f>SUMIF(Данные!B:B,A4,Данные!C:C)</f>
        <v>9060.2419354838639</v>
      </c>
      <c r="F4" s="25">
        <f t="shared" si="0"/>
        <v>2.5377007280446607E-2</v>
      </c>
      <c r="G4" s="25">
        <f t="shared" ref="G4:G51" si="2">G3+F4</f>
        <v>7.7118905242449104E-2</v>
      </c>
      <c r="H4" t="str">
        <f t="shared" si="1"/>
        <v>A</v>
      </c>
      <c r="J4" s="33"/>
    </row>
    <row r="5" spans="1:10" x14ac:dyDescent="0.3">
      <c r="A5" t="s">
        <v>25</v>
      </c>
      <c r="B5" s="7">
        <v>112.74576271186427</v>
      </c>
      <c r="C5" s="7">
        <v>2.8291666666666702</v>
      </c>
      <c r="D5">
        <v>79</v>
      </c>
      <c r="E5" s="8">
        <f>SUMIF(Данные!B:B,A5,Данные!C:C)</f>
        <v>8906.9152542372776</v>
      </c>
      <c r="F5" s="25">
        <f t="shared" si="0"/>
        <v>2.4947551606526622E-2</v>
      </c>
      <c r="G5" s="25">
        <f t="shared" si="2"/>
        <v>0.10206645684897572</v>
      </c>
      <c r="H5" t="str">
        <f t="shared" si="1"/>
        <v>A</v>
      </c>
      <c r="J5" s="3"/>
    </row>
    <row r="6" spans="1:10" x14ac:dyDescent="0.3">
      <c r="A6" t="s">
        <v>37</v>
      </c>
      <c r="B6" s="7">
        <v>97.720588235294031</v>
      </c>
      <c r="C6" s="7">
        <v>3.0156626506024087</v>
      </c>
      <c r="D6">
        <v>89</v>
      </c>
      <c r="E6" s="8">
        <f>SUMIF(Данные!B:B,A6,Данные!C:C)</f>
        <v>8697.1323529411693</v>
      </c>
      <c r="F6" s="25">
        <f t="shared" si="0"/>
        <v>2.4359966611400302E-2</v>
      </c>
      <c r="G6" s="25">
        <f t="shared" si="2"/>
        <v>0.12642642346037603</v>
      </c>
      <c r="H6" t="str">
        <f t="shared" si="1"/>
        <v>A</v>
      </c>
      <c r="J6" s="3"/>
    </row>
    <row r="7" spans="1:10" x14ac:dyDescent="0.3">
      <c r="A7" t="s">
        <v>10</v>
      </c>
      <c r="B7" s="7">
        <v>120.375</v>
      </c>
      <c r="C7" s="7">
        <v>2.9190476190476167</v>
      </c>
      <c r="D7">
        <v>72</v>
      </c>
      <c r="E7" s="8">
        <f>SUMIF(Данные!B:B,A7,Данные!C:C)</f>
        <v>8667</v>
      </c>
      <c r="F7" s="25">
        <f t="shared" si="0"/>
        <v>2.42755683198966E-2</v>
      </c>
      <c r="G7" s="25">
        <f t="shared" si="2"/>
        <v>0.15070199178027263</v>
      </c>
      <c r="H7" t="str">
        <f t="shared" si="1"/>
        <v>A</v>
      </c>
      <c r="J7" s="32"/>
    </row>
    <row r="8" spans="1:10" x14ac:dyDescent="0.3">
      <c r="A8" t="s">
        <v>6</v>
      </c>
      <c r="B8" s="7">
        <v>114.77966101694913</v>
      </c>
      <c r="C8" s="7">
        <v>2.8333333333333339</v>
      </c>
      <c r="D8">
        <v>75</v>
      </c>
      <c r="E8" s="8">
        <f>SUMIF(Данные!B:B,A8,Данные!C:C)</f>
        <v>8608.4745762711846</v>
      </c>
      <c r="F8" s="25">
        <f t="shared" si="0"/>
        <v>2.4111643325991011E-2</v>
      </c>
      <c r="G8" s="25">
        <f t="shared" si="2"/>
        <v>0.17481363510626363</v>
      </c>
      <c r="H8" t="str">
        <f t="shared" si="1"/>
        <v>A</v>
      </c>
    </row>
    <row r="9" spans="1:10" x14ac:dyDescent="0.3">
      <c r="A9" t="s">
        <v>50</v>
      </c>
      <c r="B9" s="7">
        <v>123.21818181818162</v>
      </c>
      <c r="C9" s="7">
        <v>2.9999999999999996</v>
      </c>
      <c r="D9">
        <v>69</v>
      </c>
      <c r="E9" s="8">
        <f>SUMIF(Данные!B:B,A9,Данные!C:C)</f>
        <v>8502.0545454545318</v>
      </c>
      <c r="F9" s="25">
        <f t="shared" si="0"/>
        <v>2.3813569398600316E-2</v>
      </c>
      <c r="G9" s="25">
        <f t="shared" si="2"/>
        <v>0.19862720450486396</v>
      </c>
      <c r="H9" t="str">
        <f t="shared" si="1"/>
        <v>A</v>
      </c>
    </row>
    <row r="10" spans="1:10" x14ac:dyDescent="0.3">
      <c r="A10" t="s">
        <v>33</v>
      </c>
      <c r="B10" s="7">
        <v>113.54098360655735</v>
      </c>
      <c r="C10" s="7">
        <v>2.9647058823529422</v>
      </c>
      <c r="D10">
        <v>74</v>
      </c>
      <c r="E10" s="8">
        <f>SUMIF(Данные!B:B,A10,Данные!C:C)</f>
        <v>8402.0327868852437</v>
      </c>
      <c r="F10" s="25">
        <f t="shared" si="0"/>
        <v>2.3533416515985228E-2</v>
      </c>
      <c r="G10" s="25">
        <f t="shared" si="2"/>
        <v>0.22216062102084919</v>
      </c>
      <c r="H10" t="str">
        <f t="shared" si="1"/>
        <v>A</v>
      </c>
    </row>
    <row r="11" spans="1:10" x14ac:dyDescent="0.3">
      <c r="A11" t="s">
        <v>42</v>
      </c>
      <c r="B11" s="7">
        <v>114.39655172413775</v>
      </c>
      <c r="C11" s="7">
        <v>2.9761904761904749</v>
      </c>
      <c r="D11">
        <v>70</v>
      </c>
      <c r="E11" s="8">
        <f>SUMIF(Данные!B:B,A11,Данные!C:C)</f>
        <v>8007.7586206896422</v>
      </c>
      <c r="F11" s="25">
        <f t="shared" si="0"/>
        <v>2.242908636042372E-2</v>
      </c>
      <c r="G11" s="25">
        <f t="shared" si="2"/>
        <v>0.24458970738127289</v>
      </c>
      <c r="H11" t="str">
        <f t="shared" si="1"/>
        <v>A</v>
      </c>
    </row>
    <row r="12" spans="1:10" x14ac:dyDescent="0.3">
      <c r="A12" t="s">
        <v>0</v>
      </c>
      <c r="B12" s="7">
        <v>112.14545454545446</v>
      </c>
      <c r="C12" s="7">
        <v>3.0636363636363639</v>
      </c>
      <c r="D12">
        <v>71</v>
      </c>
      <c r="E12" s="8">
        <f>SUMIF(Данные!B:B,A12,Данные!C:C)</f>
        <v>7962.3272727272661</v>
      </c>
      <c r="F12" s="25">
        <f t="shared" si="0"/>
        <v>2.230183681717627E-2</v>
      </c>
      <c r="G12" s="25">
        <f t="shared" si="2"/>
        <v>0.26689154419844918</v>
      </c>
      <c r="H12" t="str">
        <f t="shared" si="1"/>
        <v>A</v>
      </c>
    </row>
    <row r="13" spans="1:10" x14ac:dyDescent="0.3">
      <c r="A13" t="s">
        <v>16</v>
      </c>
      <c r="B13" s="7">
        <v>110.56666666666653</v>
      </c>
      <c r="C13" s="7">
        <v>3.0582089552238791</v>
      </c>
      <c r="D13">
        <v>71</v>
      </c>
      <c r="E13" s="8">
        <f>SUMIF(Данные!B:B,A13,Данные!C:C)</f>
        <v>7850.2333333333236</v>
      </c>
      <c r="F13" s="25">
        <f t="shared" si="0"/>
        <v>2.1987870729256113E-2</v>
      </c>
      <c r="G13" s="25">
        <f t="shared" si="2"/>
        <v>0.2888794149277053</v>
      </c>
      <c r="H13" t="str">
        <f t="shared" si="1"/>
        <v>A</v>
      </c>
    </row>
    <row r="14" spans="1:10" x14ac:dyDescent="0.3">
      <c r="A14" t="s">
        <v>22</v>
      </c>
      <c r="B14" s="7">
        <v>107.9491525423727</v>
      </c>
      <c r="C14" s="7">
        <v>3.1651515151515146</v>
      </c>
      <c r="D14">
        <v>72</v>
      </c>
      <c r="E14" s="8">
        <f>SUMIF(Данные!B:B,A14,Данные!C:C)</f>
        <v>7772.3389830508349</v>
      </c>
      <c r="F14" s="25">
        <f t="shared" si="0"/>
        <v>2.1769694933477121E-2</v>
      </c>
      <c r="G14" s="25">
        <f t="shared" si="2"/>
        <v>0.31064910986118244</v>
      </c>
      <c r="H14" t="str">
        <f t="shared" si="1"/>
        <v>A</v>
      </c>
    </row>
    <row r="15" spans="1:10" x14ac:dyDescent="0.3">
      <c r="A15" t="s">
        <v>11</v>
      </c>
      <c r="B15" s="7">
        <v>109.08474576271168</v>
      </c>
      <c r="C15" s="7">
        <v>3.0693548387096765</v>
      </c>
      <c r="D15">
        <v>71</v>
      </c>
      <c r="E15" s="8">
        <f>SUMIF(Данные!B:B,A15,Данные!C:C)</f>
        <v>7745.0169491525294</v>
      </c>
      <c r="F15" s="25">
        <f t="shared" si="0"/>
        <v>2.1693168119061884E-2</v>
      </c>
      <c r="G15" s="25">
        <f t="shared" si="2"/>
        <v>0.33234227798024429</v>
      </c>
      <c r="H15" t="str">
        <f t="shared" si="1"/>
        <v>A</v>
      </c>
    </row>
    <row r="16" spans="1:10" x14ac:dyDescent="0.3">
      <c r="A16" t="s">
        <v>24</v>
      </c>
      <c r="B16" s="7">
        <v>95.292307692307702</v>
      </c>
      <c r="C16" s="7">
        <v>3.171232876712327</v>
      </c>
      <c r="D16">
        <v>81</v>
      </c>
      <c r="E16" s="8">
        <f>SUMIF(Данные!B:B,A16,Данные!C:C)</f>
        <v>7718.6769230769241</v>
      </c>
      <c r="F16" s="25">
        <f t="shared" si="0"/>
        <v>2.1619391829394617E-2</v>
      </c>
      <c r="G16" s="25">
        <f t="shared" si="2"/>
        <v>0.35396166980963889</v>
      </c>
      <c r="H16" t="str">
        <f t="shared" si="1"/>
        <v>A</v>
      </c>
    </row>
    <row r="17" spans="1:8" x14ac:dyDescent="0.3">
      <c r="A17" t="s">
        <v>43</v>
      </c>
      <c r="B17" s="7">
        <v>117.35416666666652</v>
      </c>
      <c r="C17" s="7">
        <v>3.0721311475409832</v>
      </c>
      <c r="D17">
        <v>65</v>
      </c>
      <c r="E17" s="8">
        <f>SUMIF(Данные!B:B,A17,Данные!C:C)</f>
        <v>7628.020833333323</v>
      </c>
      <c r="F17" s="25">
        <f t="shared" si="0"/>
        <v>2.1365471430157802E-2</v>
      </c>
      <c r="G17" s="25">
        <f t="shared" si="2"/>
        <v>0.37532714123979671</v>
      </c>
      <c r="H17" t="str">
        <f t="shared" si="1"/>
        <v>A</v>
      </c>
    </row>
    <row r="18" spans="1:8" x14ac:dyDescent="0.3">
      <c r="A18" t="s">
        <v>19</v>
      </c>
      <c r="B18" s="7">
        <v>117.1724137931034</v>
      </c>
      <c r="C18" s="7">
        <v>3.2083333333333335</v>
      </c>
      <c r="D18">
        <v>65</v>
      </c>
      <c r="E18" s="8">
        <f>SUMIF(Данные!B:B,A18,Данные!C:C)</f>
        <v>7616.206896551721</v>
      </c>
      <c r="F18" s="25">
        <f t="shared" si="0"/>
        <v>2.1332381545599282E-2</v>
      </c>
      <c r="G18" s="25">
        <f t="shared" si="2"/>
        <v>0.39665952278539601</v>
      </c>
      <c r="H18" t="str">
        <f t="shared" si="1"/>
        <v>A</v>
      </c>
    </row>
    <row r="19" spans="1:8" x14ac:dyDescent="0.3">
      <c r="A19" t="s">
        <v>39</v>
      </c>
      <c r="B19" s="7">
        <v>108.54716981132054</v>
      </c>
      <c r="C19" s="7">
        <v>3.0546875000000004</v>
      </c>
      <c r="D19">
        <v>70</v>
      </c>
      <c r="E19" s="8">
        <f>SUMIF(Данные!B:B,A19,Данные!C:C)</f>
        <v>7598.3018867924384</v>
      </c>
      <c r="F19" s="25">
        <f t="shared" si="0"/>
        <v>2.1282231056655023E-2</v>
      </c>
      <c r="G19" s="25">
        <f t="shared" si="2"/>
        <v>0.41794175384205101</v>
      </c>
      <c r="H19" t="str">
        <f t="shared" si="1"/>
        <v>A</v>
      </c>
    </row>
    <row r="20" spans="1:8" x14ac:dyDescent="0.3">
      <c r="A20" t="s">
        <v>44</v>
      </c>
      <c r="B20" s="7">
        <v>106.72413793103442</v>
      </c>
      <c r="C20" s="7">
        <v>2.9206349206349209</v>
      </c>
      <c r="D20">
        <v>71</v>
      </c>
      <c r="E20" s="8">
        <f>SUMIF(Данные!B:B,A20,Данные!C:C)</f>
        <v>7577.4137931034438</v>
      </c>
      <c r="F20" s="25">
        <f t="shared" si="0"/>
        <v>2.1223725190101475E-2</v>
      </c>
      <c r="G20" s="25">
        <f t="shared" si="2"/>
        <v>0.43916547903215247</v>
      </c>
      <c r="H20" t="str">
        <f t="shared" si="1"/>
        <v>A</v>
      </c>
    </row>
    <row r="21" spans="1:8" x14ac:dyDescent="0.3">
      <c r="A21" t="s">
        <v>23</v>
      </c>
      <c r="B21" s="7">
        <v>107.68518518518518</v>
      </c>
      <c r="C21" s="7">
        <v>3.1303030303030299</v>
      </c>
      <c r="D21">
        <v>70</v>
      </c>
      <c r="E21" s="8">
        <f>SUMIF(Данные!B:B,A21,Данные!C:C)</f>
        <v>7537.9629629629626</v>
      </c>
      <c r="F21" s="25">
        <f t="shared" si="0"/>
        <v>2.111322659516068E-2</v>
      </c>
      <c r="G21" s="25">
        <f t="shared" si="2"/>
        <v>0.46027870562731316</v>
      </c>
      <c r="H21" t="str">
        <f t="shared" si="1"/>
        <v>A</v>
      </c>
    </row>
    <row r="22" spans="1:8" x14ac:dyDescent="0.3">
      <c r="A22" t="s">
        <v>5</v>
      </c>
      <c r="B22" s="7">
        <v>98.967741935483872</v>
      </c>
      <c r="C22" s="7">
        <v>2.6520547945205486</v>
      </c>
      <c r="D22">
        <v>76</v>
      </c>
      <c r="E22" s="8">
        <f>SUMIF(Данные!B:B,A22,Данные!C:C)</f>
        <v>7521.5483870967746</v>
      </c>
      <c r="F22" s="25">
        <f t="shared" si="0"/>
        <v>2.106725069140139E-2</v>
      </c>
      <c r="G22" s="25">
        <f t="shared" si="2"/>
        <v>0.48134595631871457</v>
      </c>
      <c r="H22" t="str">
        <f t="shared" si="1"/>
        <v>A</v>
      </c>
    </row>
    <row r="23" spans="1:8" x14ac:dyDescent="0.3">
      <c r="A23" t="s">
        <v>8</v>
      </c>
      <c r="B23" s="7">
        <v>105.81034482758618</v>
      </c>
      <c r="C23" s="7">
        <v>2.9230769230769234</v>
      </c>
      <c r="D23">
        <v>71</v>
      </c>
      <c r="E23" s="8">
        <f>SUMIF(Данные!B:B,A23,Данные!C:C)</f>
        <v>7512.5344827586187</v>
      </c>
      <c r="F23" s="25">
        <f t="shared" si="0"/>
        <v>2.1042003471995606E-2</v>
      </c>
      <c r="G23" s="25">
        <f t="shared" si="2"/>
        <v>0.50238795979071016</v>
      </c>
      <c r="H23" t="str">
        <f t="shared" si="1"/>
        <v>B</v>
      </c>
    </row>
    <row r="24" spans="1:8" x14ac:dyDescent="0.3">
      <c r="A24" t="s">
        <v>21</v>
      </c>
      <c r="B24" s="7">
        <v>120.22000000000001</v>
      </c>
      <c r="C24" s="7">
        <v>3.0283018867924523</v>
      </c>
      <c r="D24">
        <v>61</v>
      </c>
      <c r="E24" s="8">
        <f>SUMIF(Данные!B:B,A24,Данные!C:C)</f>
        <v>7333.420000000001</v>
      </c>
      <c r="F24" s="25">
        <f t="shared" si="0"/>
        <v>2.0540318244893982E-2</v>
      </c>
      <c r="G24" s="25">
        <f t="shared" si="2"/>
        <v>0.52292827803560415</v>
      </c>
      <c r="H24" t="str">
        <f t="shared" si="1"/>
        <v>B</v>
      </c>
    </row>
    <row r="25" spans="1:8" x14ac:dyDescent="0.3">
      <c r="A25" t="s">
        <v>27</v>
      </c>
      <c r="B25" s="7">
        <v>103.98245614035075</v>
      </c>
      <c r="C25" s="7">
        <v>3.2016129032258047</v>
      </c>
      <c r="D25">
        <v>70</v>
      </c>
      <c r="E25" s="8">
        <f>SUMIF(Данные!B:B,A25,Данные!C:C)</f>
        <v>7278.771929824552</v>
      </c>
      <c r="F25" s="25">
        <f t="shared" si="0"/>
        <v>2.0387253405723036E-2</v>
      </c>
      <c r="G25" s="25">
        <f t="shared" si="2"/>
        <v>0.54331553144132716</v>
      </c>
      <c r="H25" t="str">
        <f t="shared" si="1"/>
        <v>B</v>
      </c>
    </row>
    <row r="26" spans="1:8" x14ac:dyDescent="0.3">
      <c r="A26" t="s">
        <v>30</v>
      </c>
      <c r="B26" s="7">
        <v>99.866666666666674</v>
      </c>
      <c r="C26" s="7">
        <v>2.963636363636363</v>
      </c>
      <c r="D26">
        <v>72</v>
      </c>
      <c r="E26" s="8">
        <f>SUMIF(Данные!B:B,A26,Данные!C:C)</f>
        <v>7190.4000000000005</v>
      </c>
      <c r="F26" s="25">
        <f t="shared" si="0"/>
        <v>2.0139730754284588E-2</v>
      </c>
      <c r="G26" s="25">
        <f t="shared" si="2"/>
        <v>0.56345526219561171</v>
      </c>
      <c r="H26" t="str">
        <f t="shared" si="1"/>
        <v>B</v>
      </c>
    </row>
    <row r="27" spans="1:8" x14ac:dyDescent="0.3">
      <c r="A27" t="s">
        <v>32</v>
      </c>
      <c r="B27" s="7">
        <v>84.528571428571396</v>
      </c>
      <c r="C27" s="7">
        <v>3.0542857142857121</v>
      </c>
      <c r="D27">
        <v>85</v>
      </c>
      <c r="E27" s="8">
        <f>SUMIF(Данные!B:B,A27,Данные!C:C)</f>
        <v>7184.9285714285688</v>
      </c>
      <c r="F27" s="25">
        <f t="shared" si="0"/>
        <v>2.0124405723928845E-2</v>
      </c>
      <c r="G27" s="25">
        <f t="shared" si="2"/>
        <v>0.58357966791954052</v>
      </c>
      <c r="H27" t="str">
        <f t="shared" si="1"/>
        <v>B</v>
      </c>
    </row>
    <row r="28" spans="1:8" x14ac:dyDescent="0.3">
      <c r="A28" t="s">
        <v>40</v>
      </c>
      <c r="B28" s="7">
        <v>106.80769230769226</v>
      </c>
      <c r="C28" s="7">
        <v>3.15</v>
      </c>
      <c r="D28">
        <v>67</v>
      </c>
      <c r="E28" s="8">
        <f>SUMIF(Данные!B:B,A28,Данные!C:C)</f>
        <v>7156.115384615382</v>
      </c>
      <c r="F28" s="25">
        <f t="shared" si="0"/>
        <v>2.0043702310406582E-2</v>
      </c>
      <c r="G28" s="25">
        <f t="shared" si="2"/>
        <v>0.60362337022994705</v>
      </c>
      <c r="H28" t="str">
        <f t="shared" si="1"/>
        <v>B</v>
      </c>
    </row>
    <row r="29" spans="1:8" x14ac:dyDescent="0.3">
      <c r="A29" t="s">
        <v>26</v>
      </c>
      <c r="B29" s="7">
        <v>103.2678571428571</v>
      </c>
      <c r="C29" s="7">
        <v>2.8830508474576253</v>
      </c>
      <c r="D29">
        <v>68</v>
      </c>
      <c r="E29" s="8">
        <f>SUMIF(Данные!B:B,A29,Данные!C:C)</f>
        <v>7022.2142857142826</v>
      </c>
      <c r="F29" s="25">
        <f t="shared" si="0"/>
        <v>1.9668656126665626E-2</v>
      </c>
      <c r="G29" s="25">
        <f t="shared" si="2"/>
        <v>0.62329202635661263</v>
      </c>
      <c r="H29" t="str">
        <f t="shared" si="1"/>
        <v>B</v>
      </c>
    </row>
    <row r="30" spans="1:8" x14ac:dyDescent="0.3">
      <c r="A30" t="s">
        <v>29</v>
      </c>
      <c r="B30" s="7">
        <v>108.734693877551</v>
      </c>
      <c r="C30" s="7">
        <v>2.6913793103448267</v>
      </c>
      <c r="D30">
        <v>63</v>
      </c>
      <c r="E30" s="8">
        <f>SUMIF(Данные!B:B,A30,Данные!C:C)</f>
        <v>6850.2857142857129</v>
      </c>
      <c r="F30" s="25">
        <f t="shared" si="0"/>
        <v>1.9187098057915599E-2</v>
      </c>
      <c r="G30" s="25">
        <f t="shared" si="2"/>
        <v>0.64247912441452826</v>
      </c>
      <c r="H30" t="str">
        <f t="shared" si="1"/>
        <v>B</v>
      </c>
    </row>
    <row r="31" spans="1:8" x14ac:dyDescent="0.3">
      <c r="A31" t="s">
        <v>47</v>
      </c>
      <c r="B31" s="7">
        <v>106.29787234042539</v>
      </c>
      <c r="C31" s="7">
        <v>3.1235294117647059</v>
      </c>
      <c r="D31">
        <v>63</v>
      </c>
      <c r="E31" s="8">
        <f>SUMIF(Данные!B:B,A31,Данные!C:C)</f>
        <v>6696.7659574467989</v>
      </c>
      <c r="F31" s="25">
        <f t="shared" si="0"/>
        <v>1.8757101594826069E-2</v>
      </c>
      <c r="G31" s="25">
        <f t="shared" si="2"/>
        <v>0.66123622600935428</v>
      </c>
      <c r="H31" t="str">
        <f t="shared" si="1"/>
        <v>B</v>
      </c>
    </row>
    <row r="32" spans="1:8" x14ac:dyDescent="0.3">
      <c r="A32" t="s">
        <v>17</v>
      </c>
      <c r="B32" s="7">
        <v>119.19565217391303</v>
      </c>
      <c r="C32" s="7">
        <v>3.2239999999999993</v>
      </c>
      <c r="D32">
        <v>56</v>
      </c>
      <c r="E32" s="8">
        <f>SUMIF(Данные!B:B,A32,Данные!C:C)</f>
        <v>6674.95652173913</v>
      </c>
      <c r="F32" s="25">
        <f t="shared" si="0"/>
        <v>1.8696015123551128E-2</v>
      </c>
      <c r="G32" s="25">
        <f t="shared" si="2"/>
        <v>0.6799322411329054</v>
      </c>
      <c r="H32" t="str">
        <f t="shared" si="1"/>
        <v>B</v>
      </c>
    </row>
    <row r="33" spans="1:8" x14ac:dyDescent="0.3">
      <c r="A33" t="s">
        <v>13</v>
      </c>
      <c r="B33" s="7">
        <v>112.64705882352936</v>
      </c>
      <c r="C33" s="7">
        <v>2.4581818181818176</v>
      </c>
      <c r="D33">
        <v>58</v>
      </c>
      <c r="E33" s="8">
        <f>SUMIF(Данные!B:B,A33,Данные!C:C)</f>
        <v>6533.5294117647027</v>
      </c>
      <c r="F33" s="25">
        <f t="shared" si="0"/>
        <v>1.8299889189494392E-2</v>
      </c>
      <c r="G33" s="25">
        <f t="shared" si="2"/>
        <v>0.69823213032239984</v>
      </c>
      <c r="H33" t="str">
        <f t="shared" si="1"/>
        <v>B</v>
      </c>
    </row>
    <row r="34" spans="1:8" x14ac:dyDescent="0.3">
      <c r="A34" t="s">
        <v>49</v>
      </c>
      <c r="B34" s="7">
        <v>114.21739130434767</v>
      </c>
      <c r="C34" s="7">
        <v>3.2020408163265306</v>
      </c>
      <c r="D34">
        <v>57</v>
      </c>
      <c r="E34" s="8">
        <f>SUMIF(Данные!B:B,A34,Данные!C:C)</f>
        <v>6510.3913043478169</v>
      </c>
      <c r="F34" s="25">
        <f t="shared" si="0"/>
        <v>1.8235081215871255E-2</v>
      </c>
      <c r="G34" s="25">
        <f t="shared" si="2"/>
        <v>0.71646721153827109</v>
      </c>
      <c r="H34" t="str">
        <f t="shared" si="1"/>
        <v>B</v>
      </c>
    </row>
    <row r="35" spans="1:8" x14ac:dyDescent="0.3">
      <c r="A35" t="s">
        <v>14</v>
      </c>
      <c r="B35" s="7">
        <v>102.37735849056601</v>
      </c>
      <c r="C35" s="7">
        <v>2.5885245901639342</v>
      </c>
      <c r="D35">
        <v>63</v>
      </c>
      <c r="E35" s="8">
        <f>SUMIF(Данные!B:B,A35,Данные!C:C)</f>
        <v>6449.7735849056589</v>
      </c>
      <c r="F35" s="25">
        <f t="shared" si="0"/>
        <v>1.8065295870340572E-2</v>
      </c>
      <c r="G35" s="25">
        <f t="shared" si="2"/>
        <v>0.73453250740861165</v>
      </c>
      <c r="H35" t="str">
        <f t="shared" si="1"/>
        <v>B</v>
      </c>
    </row>
    <row r="36" spans="1:8" x14ac:dyDescent="0.3">
      <c r="A36" t="s">
        <v>46</v>
      </c>
      <c r="B36" s="7">
        <v>118.531914893617</v>
      </c>
      <c r="C36" s="7">
        <v>3.262</v>
      </c>
      <c r="D36">
        <v>54</v>
      </c>
      <c r="E36" s="8">
        <f>SUMIF(Данные!B:B,A36,Данные!C:C)</f>
        <v>6400.7234042553182</v>
      </c>
      <c r="F36" s="25">
        <f t="shared" si="0"/>
        <v>1.7927910268462112E-2</v>
      </c>
      <c r="G36" s="25">
        <f t="shared" si="2"/>
        <v>0.75246041767707372</v>
      </c>
      <c r="H36" t="str">
        <f t="shared" si="1"/>
        <v>B</v>
      </c>
    </row>
    <row r="37" spans="1:8" x14ac:dyDescent="0.3">
      <c r="A37" t="s">
        <v>31</v>
      </c>
      <c r="B37" s="7">
        <v>88.827586206896569</v>
      </c>
      <c r="C37" s="7">
        <v>2.6590163934426223</v>
      </c>
      <c r="D37">
        <v>72</v>
      </c>
      <c r="E37" s="8">
        <f>SUMIF(Данные!B:B,A37,Данные!C:C)</f>
        <v>6395.5862068965525</v>
      </c>
      <c r="F37" s="25">
        <f t="shared" si="0"/>
        <v>1.7913521392789386E-2</v>
      </c>
      <c r="G37" s="25">
        <f t="shared" si="2"/>
        <v>0.77037393906986307</v>
      </c>
      <c r="H37" t="str">
        <f t="shared" si="1"/>
        <v>B</v>
      </c>
    </row>
    <row r="38" spans="1:8" x14ac:dyDescent="0.3">
      <c r="A38" t="s">
        <v>3</v>
      </c>
      <c r="B38" s="7">
        <v>100.67999999999991</v>
      </c>
      <c r="C38" s="7">
        <v>3.2285714285714282</v>
      </c>
      <c r="D38">
        <v>63</v>
      </c>
      <c r="E38" s="8">
        <f>SUMIF(Данные!B:B,A38,Данные!C:C)</f>
        <v>6342.8399999999938</v>
      </c>
      <c r="F38" s="25">
        <f t="shared" si="0"/>
        <v>1.7765783519346118E-2</v>
      </c>
      <c r="G38" s="25">
        <f t="shared" si="2"/>
        <v>0.78813972258920917</v>
      </c>
      <c r="H38" t="str">
        <f t="shared" si="1"/>
        <v>B</v>
      </c>
    </row>
    <row r="39" spans="1:8" x14ac:dyDescent="0.3">
      <c r="A39" t="s">
        <v>12</v>
      </c>
      <c r="B39" s="7">
        <v>103.35416666666654</v>
      </c>
      <c r="C39" s="7">
        <v>2.7471698113207537</v>
      </c>
      <c r="D39">
        <v>61</v>
      </c>
      <c r="E39" s="8">
        <f>SUMIF(Данные!B:B,A39,Данные!C:C)</f>
        <v>6304.6041666666588</v>
      </c>
      <c r="F39" s="25">
        <f t="shared" si="0"/>
        <v>1.7658688032516585E-2</v>
      </c>
      <c r="G39" s="25">
        <f t="shared" si="2"/>
        <v>0.80579841062172575</v>
      </c>
      <c r="H39" t="str">
        <f t="shared" si="1"/>
        <v>C</v>
      </c>
    </row>
    <row r="40" spans="1:8" x14ac:dyDescent="0.3">
      <c r="A40" t="s">
        <v>38</v>
      </c>
      <c r="B40" s="7">
        <v>103.22222222222219</v>
      </c>
      <c r="C40" s="7">
        <v>3.0230769230769221</v>
      </c>
      <c r="D40">
        <v>61</v>
      </c>
      <c r="E40" s="8">
        <f>SUMIF(Данные!B:B,A40,Данные!C:C)</f>
        <v>6296.5555555555529</v>
      </c>
      <c r="F40" s="25">
        <f t="shared" si="0"/>
        <v>1.7636144521623782E-2</v>
      </c>
      <c r="G40" s="25">
        <f t="shared" si="2"/>
        <v>0.82343455514334951</v>
      </c>
      <c r="H40" t="str">
        <f t="shared" si="1"/>
        <v>C</v>
      </c>
    </row>
    <row r="41" spans="1:8" x14ac:dyDescent="0.3">
      <c r="A41" t="s">
        <v>20</v>
      </c>
      <c r="B41" s="7">
        <v>105.95348837209298</v>
      </c>
      <c r="C41" s="7">
        <v>2.8545454545454545</v>
      </c>
      <c r="D41">
        <v>59</v>
      </c>
      <c r="E41" s="8">
        <f>SUMIF(Данные!B:B,A41,Данные!C:C)</f>
        <v>6251.2558139534858</v>
      </c>
      <c r="F41" s="25">
        <f t="shared" si="0"/>
        <v>1.7509263597182263E-2</v>
      </c>
      <c r="G41" s="25">
        <f t="shared" si="2"/>
        <v>0.84094381874053181</v>
      </c>
      <c r="H41" t="str">
        <f t="shared" si="1"/>
        <v>C</v>
      </c>
    </row>
    <row r="42" spans="1:8" x14ac:dyDescent="0.3">
      <c r="A42" t="s">
        <v>41</v>
      </c>
      <c r="B42" s="7">
        <v>93.135593220338947</v>
      </c>
      <c r="C42" s="7">
        <v>2.7080645161290309</v>
      </c>
      <c r="D42">
        <v>67</v>
      </c>
      <c r="E42" s="8">
        <f>SUMIF(Данные!B:B,A42,Данные!C:C)</f>
        <v>6240.0847457627096</v>
      </c>
      <c r="F42" s="25">
        <f t="shared" si="0"/>
        <v>1.747797433572254E-2</v>
      </c>
      <c r="G42" s="25">
        <f t="shared" si="2"/>
        <v>0.85842179307625432</v>
      </c>
      <c r="H42" t="str">
        <f t="shared" si="1"/>
        <v>C</v>
      </c>
    </row>
    <row r="43" spans="1:8" x14ac:dyDescent="0.3">
      <c r="A43" t="s">
        <v>34</v>
      </c>
      <c r="B43" s="7">
        <v>110.43181818181814</v>
      </c>
      <c r="C43" s="7">
        <v>3.0124999999999993</v>
      </c>
      <c r="D43">
        <v>56</v>
      </c>
      <c r="E43" s="8">
        <f>SUMIF(Данные!B:B,A43,Данные!C:C)</f>
        <v>6184.1818181818162</v>
      </c>
      <c r="F43" s="25">
        <f t="shared" si="0"/>
        <v>1.7321394742117809E-2</v>
      </c>
      <c r="G43" s="25">
        <f t="shared" si="2"/>
        <v>0.87574318781837213</v>
      </c>
      <c r="H43" t="str">
        <f t="shared" si="1"/>
        <v>C</v>
      </c>
    </row>
    <row r="44" spans="1:8" x14ac:dyDescent="0.3">
      <c r="A44" t="s">
        <v>36</v>
      </c>
      <c r="B44" s="7">
        <v>90.925925925925938</v>
      </c>
      <c r="C44" s="7">
        <v>3.1546874999999992</v>
      </c>
      <c r="D44">
        <v>66</v>
      </c>
      <c r="E44" s="8">
        <f>SUMIF(Данные!B:B,A44,Данные!C:C)</f>
        <v>6001.1111111111122</v>
      </c>
      <c r="F44" s="25">
        <f t="shared" si="0"/>
        <v>1.6808628449644446E-2</v>
      </c>
      <c r="G44" s="25">
        <f t="shared" si="2"/>
        <v>0.89255181626801661</v>
      </c>
      <c r="H44" t="str">
        <f t="shared" si="1"/>
        <v>C</v>
      </c>
    </row>
    <row r="45" spans="1:8" x14ac:dyDescent="0.3">
      <c r="A45" t="s">
        <v>9</v>
      </c>
      <c r="B45" s="7">
        <v>103.56410256410237</v>
      </c>
      <c r="C45" s="7">
        <v>2.8381818181818192</v>
      </c>
      <c r="D45">
        <v>57</v>
      </c>
      <c r="E45" s="8">
        <f>SUMIF(Данные!B:B,A45,Данные!C:C)</f>
        <v>5903.1538461538348</v>
      </c>
      <c r="F45" s="25">
        <f t="shared" si="0"/>
        <v>1.6534258047209854E-2</v>
      </c>
      <c r="G45" s="25">
        <f t="shared" si="2"/>
        <v>0.90908607431522648</v>
      </c>
      <c r="H45" t="str">
        <f t="shared" si="1"/>
        <v>C</v>
      </c>
    </row>
    <row r="46" spans="1:8" x14ac:dyDescent="0.3">
      <c r="A46" t="s">
        <v>15</v>
      </c>
      <c r="B46" s="7">
        <v>103.10869565217375</v>
      </c>
      <c r="C46" s="7">
        <v>3.0489795918367326</v>
      </c>
      <c r="D46">
        <v>57</v>
      </c>
      <c r="E46" s="8">
        <f>SUMIF(Данные!B:B,A46,Данные!C:C)</f>
        <v>5877.1956521739039</v>
      </c>
      <c r="F46" s="25">
        <f t="shared" si="0"/>
        <v>1.646155123846162E-2</v>
      </c>
      <c r="G46" s="25">
        <f t="shared" si="2"/>
        <v>0.92554762555368808</v>
      </c>
      <c r="H46" t="str">
        <f t="shared" si="1"/>
        <v>C</v>
      </c>
    </row>
    <row r="47" spans="1:8" x14ac:dyDescent="0.3">
      <c r="A47" t="s">
        <v>18</v>
      </c>
      <c r="B47" s="7">
        <v>102.73999999999997</v>
      </c>
      <c r="C47" s="7">
        <v>3.0615384615384618</v>
      </c>
      <c r="D47">
        <v>57</v>
      </c>
      <c r="E47" s="8">
        <f>SUMIF(Данные!B:B,A47,Данные!C:C)</f>
        <v>5856.1799999999985</v>
      </c>
      <c r="F47" s="25">
        <f t="shared" si="0"/>
        <v>1.6402688090874817E-2</v>
      </c>
      <c r="G47" s="25">
        <f t="shared" si="2"/>
        <v>0.94195031364456294</v>
      </c>
      <c r="H47" t="str">
        <f t="shared" si="1"/>
        <v>C</v>
      </c>
    </row>
    <row r="48" spans="1:8" x14ac:dyDescent="0.3">
      <c r="A48" t="s">
        <v>45</v>
      </c>
      <c r="B48" s="7">
        <v>111.56410256410244</v>
      </c>
      <c r="C48" s="7">
        <v>3.2711111111111113</v>
      </c>
      <c r="D48">
        <v>49</v>
      </c>
      <c r="E48" s="8">
        <f>SUMIF(Данные!B:B,A48,Данные!C:C)</f>
        <v>5466.64102564102</v>
      </c>
      <c r="F48" s="25">
        <f t="shared" si="0"/>
        <v>1.5311620825925718E-2</v>
      </c>
      <c r="G48" s="25">
        <f t="shared" si="2"/>
        <v>0.95726193447048868</v>
      </c>
      <c r="H48" t="str">
        <f t="shared" si="1"/>
        <v>C</v>
      </c>
    </row>
    <row r="49" spans="1:8" x14ac:dyDescent="0.3">
      <c r="A49" t="s">
        <v>2</v>
      </c>
      <c r="B49" s="7">
        <v>93.340909090909065</v>
      </c>
      <c r="C49" s="7">
        <v>3.0185185185185182</v>
      </c>
      <c r="D49">
        <v>57</v>
      </c>
      <c r="E49" s="8">
        <f>SUMIF(Данные!B:B,A49,Данные!C:C)</f>
        <v>5320.4318181818171</v>
      </c>
      <c r="F49" s="25">
        <f t="shared" si="0"/>
        <v>1.4902100622317341E-2</v>
      </c>
      <c r="G49" s="25">
        <f t="shared" si="2"/>
        <v>0.97216403509280602</v>
      </c>
      <c r="H49" t="str">
        <f t="shared" si="1"/>
        <v>C</v>
      </c>
    </row>
    <row r="50" spans="1:8" x14ac:dyDescent="0.3">
      <c r="A50" t="s">
        <v>7</v>
      </c>
      <c r="B50" s="7">
        <v>99.697674418604649</v>
      </c>
      <c r="C50" s="7">
        <v>2.8953488372093017</v>
      </c>
      <c r="D50">
        <v>51</v>
      </c>
      <c r="E50" s="8">
        <f>SUMIF(Данные!B:B,A50,Данные!C:C)</f>
        <v>5084.5813953488368</v>
      </c>
      <c r="F50" s="25">
        <f t="shared" si="0"/>
        <v>1.4241502600769109E-2</v>
      </c>
      <c r="G50" s="25">
        <f t="shared" si="2"/>
        <v>0.98640553769357509</v>
      </c>
      <c r="H50" t="str">
        <f t="shared" si="1"/>
        <v>C</v>
      </c>
    </row>
    <row r="51" spans="1:8" x14ac:dyDescent="0.3">
      <c r="A51" t="s">
        <v>35</v>
      </c>
      <c r="B51" s="7">
        <v>97.071428571428555</v>
      </c>
      <c r="C51" s="7">
        <v>3.4933333333333327</v>
      </c>
      <c r="D51">
        <v>50</v>
      </c>
      <c r="E51" s="8">
        <f>SUMIF(Данные!B:B,A51,Данные!C:C)</f>
        <v>4853.5714285714275</v>
      </c>
      <c r="F51" s="25">
        <f t="shared" si="0"/>
        <v>1.3594462306424811E-2</v>
      </c>
      <c r="G51" s="25">
        <f t="shared" si="2"/>
        <v>0.99999999999999989</v>
      </c>
      <c r="H51" t="str">
        <f t="shared" si="1"/>
        <v>C</v>
      </c>
    </row>
    <row r="52" spans="1:8" x14ac:dyDescent="0.3">
      <c r="A52" s="9"/>
      <c r="B52" s="30"/>
      <c r="C52" s="30"/>
      <c r="D52" s="9"/>
      <c r="E52" s="8"/>
      <c r="F52" s="31"/>
      <c r="G52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615C-E801-4D34-B21B-36B3D327C272}">
  <dimension ref="A1:F4"/>
  <sheetViews>
    <sheetView workbookViewId="0">
      <selection activeCell="A3" activeCellId="2" sqref="M7 A2 A3"/>
    </sheetView>
  </sheetViews>
  <sheetFormatPr defaultRowHeight="14.4" x14ac:dyDescent="0.3"/>
  <cols>
    <col min="1" max="1" width="22.33203125" customWidth="1"/>
    <col min="2" max="6" width="11.109375" customWidth="1"/>
  </cols>
  <sheetData>
    <row r="1" spans="1:6" x14ac:dyDescent="0.3">
      <c r="A1" s="9" t="s">
        <v>57</v>
      </c>
      <c r="B1" s="10" t="s">
        <v>97</v>
      </c>
      <c r="C1" s="10" t="s">
        <v>79</v>
      </c>
      <c r="D1" s="10" t="s">
        <v>64</v>
      </c>
      <c r="E1" s="10" t="s">
        <v>72</v>
      </c>
      <c r="F1" s="10" t="s">
        <v>93</v>
      </c>
    </row>
    <row r="2" spans="1:6" x14ac:dyDescent="0.3">
      <c r="A2" t="s">
        <v>94</v>
      </c>
      <c r="B2" s="11">
        <f>COUNTIF(Данные!F:F,"Credit Card")</f>
        <v>1746</v>
      </c>
      <c r="C2" s="11">
        <f>SUMIF(Данные!F:F,"Credit Card",Данные!C:C)</f>
        <v>184462.15624970585</v>
      </c>
      <c r="D2" s="11">
        <f>AVERAGEIF(Данные!F:F,"Credit Card",Данные!C:C)</f>
        <v>105.64842855080518</v>
      </c>
      <c r="E2" s="11">
        <f>AVERAGEIF(Данные!F:F,"Credit Card",Данные!E:E)</f>
        <v>2.9994829712495545</v>
      </c>
      <c r="F2" s="11">
        <f>B2/$B$4*100</f>
        <v>52.010723860589813</v>
      </c>
    </row>
    <row r="3" spans="1:6" x14ac:dyDescent="0.3">
      <c r="A3" t="s">
        <v>95</v>
      </c>
      <c r="B3" s="11">
        <f>COUNTIF(Данные!F:F,"Cash")</f>
        <v>1611</v>
      </c>
      <c r="C3" s="11">
        <f>SUMIF(Данные!F:F,"Cash",Данные!C:C)</f>
        <v>172563.47074236794</v>
      </c>
      <c r="D3" s="11">
        <f>AVERAGEIF(Данные!F:F,"Cash",Данные!C:C)</f>
        <v>107.11574844343137</v>
      </c>
      <c r="E3" s="11">
        <f>AVERAGEIF(Данные!F:F,"Cash",Данные!E:E)</f>
        <v>2.9902685748407918</v>
      </c>
      <c r="F3" s="11">
        <f>B3/$B$4*100</f>
        <v>47.989276139410187</v>
      </c>
    </row>
    <row r="4" spans="1:6" x14ac:dyDescent="0.3">
      <c r="A4" s="9" t="s">
        <v>96</v>
      </c>
      <c r="B4" s="12">
        <f>SUM(B2:B3)</f>
        <v>3357</v>
      </c>
      <c r="C4" s="12">
        <f>SUM(C2:C3)</f>
        <v>357025.62699207378</v>
      </c>
      <c r="D4" s="12">
        <f>C4/B4</f>
        <v>106.35258474592607</v>
      </c>
      <c r="E4" s="12">
        <f>AVERAGE(Данные!E:E)</f>
        <v>2.9950610491123832</v>
      </c>
      <c r="F4" s="12">
        <f>SUM(F2:F3)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7BF7-8B00-434C-802F-0955EA5331CC}">
  <dimension ref="A1:P168"/>
  <sheetViews>
    <sheetView zoomScaleNormal="100"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1" max="1" width="17" bestFit="1" customWidth="1"/>
    <col min="2" max="2" width="18.44140625" style="13" bestFit="1" customWidth="1"/>
    <col min="3" max="3" width="7.6640625" bestFit="1" customWidth="1"/>
    <col min="4" max="4" width="15" style="8" bestFit="1" customWidth="1"/>
    <col min="5" max="5" width="10.33203125" style="14" bestFit="1" customWidth="1"/>
    <col min="10" max="10" width="17.77734375" style="22" customWidth="1"/>
    <col min="12" max="12" width="12.21875" customWidth="1"/>
  </cols>
  <sheetData>
    <row r="1" spans="1:16" x14ac:dyDescent="0.3">
      <c r="A1" s="15" t="s">
        <v>52</v>
      </c>
      <c r="B1" s="16" t="s">
        <v>75</v>
      </c>
      <c r="C1" s="9" t="s">
        <v>98</v>
      </c>
      <c r="D1" s="10" t="s">
        <v>99</v>
      </c>
      <c r="E1" s="17" t="s">
        <v>100</v>
      </c>
      <c r="F1" s="18" t="s">
        <v>101</v>
      </c>
      <c r="G1" s="18" t="s">
        <v>102</v>
      </c>
      <c r="H1" s="18" t="s">
        <v>103</v>
      </c>
      <c r="I1" s="18" t="s">
        <v>104</v>
      </c>
      <c r="J1" s="23" t="s">
        <v>105</v>
      </c>
      <c r="K1" s="19"/>
      <c r="L1" s="18"/>
      <c r="M1" s="18"/>
      <c r="N1" s="18"/>
      <c r="O1" s="18"/>
      <c r="P1" s="18"/>
    </row>
    <row r="2" spans="1:16" x14ac:dyDescent="0.3">
      <c r="A2">
        <v>3957</v>
      </c>
      <c r="B2" s="13">
        <v>45115</v>
      </c>
      <c r="C2">
        <v>14</v>
      </c>
      <c r="D2" s="8">
        <v>1473.970200308165</v>
      </c>
      <c r="E2" s="24">
        <f>DATE(2023,10,1)-B2</f>
        <v>85</v>
      </c>
      <c r="F2" s="24">
        <f>IF(E2&lt;=30,5,IF(E2&lt;=60,4,IF(E2&lt;=90,3,IF(E2&lt;=180,2,1))))</f>
        <v>3</v>
      </c>
      <c r="G2" s="24">
        <f>IF(C2&gt;=25,5,IF(C2&gt;=20,4,IF(C2&gt;=15,3,IF(C2&gt;=10,2,1))))</f>
        <v>2</v>
      </c>
      <c r="H2" s="24">
        <f>IF(D2&gt;=2500,5,IF(D2&gt;=2000,4,IF(D2&gt;=1500,3,IF(D2&gt;=1000,2,1))))</f>
        <v>2</v>
      </c>
      <c r="I2" s="24">
        <f>F2+G2+H2</f>
        <v>7</v>
      </c>
      <c r="J2" t="str">
        <f>IF(AND(F2&gt;=4,G2&gt;=4,H2&gt;=4),"Чемпионы",IF(AND(F2&gt;=3,G2&gt;=4),"Лояльные",IF(AND(F2&gt;=4,G2&lt;=2),"Новые",IF(AND(F2&lt;=2,G2&gt;=4),"В зоне риска",IF(AND(F2&lt;=2,G2&lt;=2),"Потерянные","Прочие")))))</f>
        <v>Прочие</v>
      </c>
      <c r="M2" s="20"/>
      <c r="N2" s="20"/>
      <c r="O2" s="20"/>
      <c r="P2" s="20"/>
    </row>
    <row r="3" spans="1:16" x14ac:dyDescent="0.3">
      <c r="A3">
        <v>3958</v>
      </c>
      <c r="B3" s="13">
        <v>45183</v>
      </c>
      <c r="C3">
        <v>20</v>
      </c>
      <c r="D3" s="8">
        <v>1673.528047094147</v>
      </c>
      <c r="E3" s="24">
        <f t="shared" ref="E3:E5" si="0">DATE(2023,10,1)-B3</f>
        <v>17</v>
      </c>
      <c r="F3" s="24">
        <f t="shared" ref="F3:F66" si="1">IF(E3&lt;=30,5,IF(E3&lt;=60,4,IF(E3&lt;=90,3,IF(E3&lt;=180,2,1))))</f>
        <v>5</v>
      </c>
      <c r="G3" s="24">
        <f t="shared" ref="G3:G66" si="2">IF(C3&gt;=25,5,IF(C3&gt;=20,4,IF(C3&gt;=15,3,IF(C3&gt;=10,2,1))))</f>
        <v>4</v>
      </c>
      <c r="H3" s="24">
        <f t="shared" ref="H3:H66" si="3">IF(D3&gt;=2500,5,IF(D3&gt;=2000,4,IF(D3&gt;=1500,3,IF(D3&gt;=1000,2,1))))</f>
        <v>3</v>
      </c>
      <c r="I3" s="24">
        <f t="shared" ref="I3:I5" si="4">F3+G3+H3</f>
        <v>12</v>
      </c>
      <c r="J3" t="str">
        <f t="shared" ref="J3:J66" si="5">IF(AND(F3&gt;=4,G3&gt;=4,H3&gt;=4),"Чемпионы",IF(AND(F3&gt;=3,G3&gt;=4),"Лояльные",IF(AND(F3&gt;=4,G3&lt;=2),"Новые",IF(AND(F3&lt;=2,G3&gt;=4),"В зоне риска",IF(AND(F3&lt;=2,G3&lt;=2),"Потерянные","Прочие")))))</f>
        <v>Лояльные</v>
      </c>
      <c r="M3" s="20"/>
      <c r="N3" s="20"/>
      <c r="O3" s="20"/>
      <c r="P3" s="20"/>
    </row>
    <row r="4" spans="1:16" x14ac:dyDescent="0.3">
      <c r="A4">
        <v>3959</v>
      </c>
      <c r="B4" s="13">
        <v>45172</v>
      </c>
      <c r="C4">
        <v>22</v>
      </c>
      <c r="D4" s="8">
        <v>2347.541090854244</v>
      </c>
      <c r="E4" s="24">
        <f t="shared" si="0"/>
        <v>28</v>
      </c>
      <c r="F4" s="24">
        <f t="shared" si="1"/>
        <v>5</v>
      </c>
      <c r="G4" s="24">
        <f t="shared" si="2"/>
        <v>4</v>
      </c>
      <c r="H4" s="24">
        <f t="shared" si="3"/>
        <v>4</v>
      </c>
      <c r="I4" s="24">
        <f t="shared" si="4"/>
        <v>13</v>
      </c>
      <c r="J4" t="str">
        <f t="shared" si="5"/>
        <v>Чемпионы</v>
      </c>
      <c r="M4" s="20"/>
      <c r="N4" s="20"/>
      <c r="O4" s="20"/>
      <c r="P4" s="20"/>
    </row>
    <row r="5" spans="1:16" x14ac:dyDescent="0.3">
      <c r="A5">
        <v>3960</v>
      </c>
      <c r="B5" s="13">
        <v>45183</v>
      </c>
      <c r="C5">
        <v>18</v>
      </c>
      <c r="D5" s="8">
        <v>1723.7941857044805</v>
      </c>
      <c r="E5" s="24">
        <f t="shared" si="0"/>
        <v>17</v>
      </c>
      <c r="F5" s="24">
        <f t="shared" si="1"/>
        <v>5</v>
      </c>
      <c r="G5" s="24">
        <f t="shared" si="2"/>
        <v>3</v>
      </c>
      <c r="H5" s="24">
        <f t="shared" si="3"/>
        <v>3</v>
      </c>
      <c r="I5" s="24">
        <f t="shared" si="4"/>
        <v>11</v>
      </c>
      <c r="J5" t="str">
        <f t="shared" si="5"/>
        <v>Прочие</v>
      </c>
      <c r="M5" s="20"/>
      <c r="N5" s="20"/>
      <c r="O5" s="20"/>
      <c r="P5" s="20"/>
    </row>
    <row r="6" spans="1:16" x14ac:dyDescent="0.3">
      <c r="A6">
        <v>3961</v>
      </c>
      <c r="B6" s="13">
        <v>45167</v>
      </c>
      <c r="C6">
        <v>22</v>
      </c>
      <c r="D6" s="8">
        <v>2328.6671398182525</v>
      </c>
      <c r="E6" s="24">
        <f t="shared" ref="E6:E69" si="6">DATE(2023,10,1)-B6</f>
        <v>33</v>
      </c>
      <c r="F6" s="24">
        <f t="shared" si="1"/>
        <v>4</v>
      </c>
      <c r="G6" s="24">
        <f t="shared" si="2"/>
        <v>4</v>
      </c>
      <c r="H6" s="24">
        <f t="shared" si="3"/>
        <v>4</v>
      </c>
      <c r="I6" s="24">
        <f t="shared" ref="I6:I69" si="7">F6+G6+H6</f>
        <v>12</v>
      </c>
      <c r="J6" t="str">
        <f t="shared" si="5"/>
        <v>Чемпионы</v>
      </c>
      <c r="M6" s="20"/>
      <c r="N6" s="20"/>
      <c r="O6" s="20"/>
      <c r="P6" s="20"/>
    </row>
    <row r="7" spans="1:16" x14ac:dyDescent="0.3">
      <c r="A7">
        <v>3962</v>
      </c>
      <c r="B7" s="13">
        <v>45194</v>
      </c>
      <c r="C7">
        <v>22</v>
      </c>
      <c r="D7" s="8">
        <v>2559.3489417634369</v>
      </c>
      <c r="E7" s="24">
        <f t="shared" si="6"/>
        <v>6</v>
      </c>
      <c r="F7" s="24">
        <f t="shared" si="1"/>
        <v>5</v>
      </c>
      <c r="G7" s="24">
        <f t="shared" si="2"/>
        <v>4</v>
      </c>
      <c r="H7" s="24">
        <f t="shared" si="3"/>
        <v>5</v>
      </c>
      <c r="I7" s="24">
        <f t="shared" si="7"/>
        <v>14</v>
      </c>
      <c r="J7" t="str">
        <f t="shared" si="5"/>
        <v>Чемпионы</v>
      </c>
      <c r="M7" s="20"/>
      <c r="N7" s="20"/>
      <c r="O7" s="20"/>
      <c r="P7" s="20"/>
    </row>
    <row r="8" spans="1:16" x14ac:dyDescent="0.3">
      <c r="A8">
        <v>3963</v>
      </c>
      <c r="B8" s="13">
        <v>45196</v>
      </c>
      <c r="C8">
        <v>20</v>
      </c>
      <c r="D8" s="8">
        <v>2203.9571798185334</v>
      </c>
      <c r="E8" s="24">
        <f t="shared" si="6"/>
        <v>4</v>
      </c>
      <c r="F8" s="24">
        <f t="shared" si="1"/>
        <v>5</v>
      </c>
      <c r="G8" s="24">
        <f t="shared" si="2"/>
        <v>4</v>
      </c>
      <c r="H8" s="24">
        <f t="shared" si="3"/>
        <v>4</v>
      </c>
      <c r="I8" s="24">
        <f t="shared" si="7"/>
        <v>13</v>
      </c>
      <c r="J8" t="str">
        <f t="shared" si="5"/>
        <v>Чемпионы</v>
      </c>
      <c r="L8" s="9"/>
      <c r="M8" s="21"/>
      <c r="N8" s="21"/>
      <c r="O8" s="21"/>
      <c r="P8" s="21"/>
    </row>
    <row r="9" spans="1:16" x14ac:dyDescent="0.3">
      <c r="A9">
        <v>3964</v>
      </c>
      <c r="B9" s="13">
        <v>45193</v>
      </c>
      <c r="C9">
        <v>22</v>
      </c>
      <c r="D9" s="8">
        <v>2335.7864232901165</v>
      </c>
      <c r="E9" s="24">
        <f t="shared" si="6"/>
        <v>7</v>
      </c>
      <c r="F9" s="24">
        <f t="shared" si="1"/>
        <v>5</v>
      </c>
      <c r="G9" s="24">
        <f t="shared" si="2"/>
        <v>4</v>
      </c>
      <c r="H9" s="24">
        <f t="shared" si="3"/>
        <v>4</v>
      </c>
      <c r="I9" s="24">
        <f t="shared" si="7"/>
        <v>13</v>
      </c>
      <c r="J9" t="str">
        <f t="shared" si="5"/>
        <v>Чемпионы</v>
      </c>
      <c r="M9" s="3"/>
    </row>
    <row r="10" spans="1:16" x14ac:dyDescent="0.3">
      <c r="A10">
        <v>3965</v>
      </c>
      <c r="B10" s="13">
        <v>45197</v>
      </c>
      <c r="C10">
        <v>19</v>
      </c>
      <c r="D10" s="8">
        <v>2025.685185185185</v>
      </c>
      <c r="E10" s="24">
        <f t="shared" si="6"/>
        <v>3</v>
      </c>
      <c r="F10" s="24">
        <f t="shared" si="1"/>
        <v>5</v>
      </c>
      <c r="G10" s="24">
        <f t="shared" si="2"/>
        <v>3</v>
      </c>
      <c r="H10" s="24">
        <f t="shared" si="3"/>
        <v>4</v>
      </c>
      <c r="I10" s="24">
        <f t="shared" si="7"/>
        <v>12</v>
      </c>
      <c r="J10" t="str">
        <f t="shared" si="5"/>
        <v>Прочие</v>
      </c>
      <c r="M10" s="3"/>
    </row>
    <row r="11" spans="1:16" x14ac:dyDescent="0.3">
      <c r="A11">
        <v>3966</v>
      </c>
      <c r="B11" s="13">
        <v>45186</v>
      </c>
      <c r="C11">
        <v>18</v>
      </c>
      <c r="D11" s="8">
        <v>2166.1265100554087</v>
      </c>
      <c r="E11" s="24">
        <f t="shared" si="6"/>
        <v>14</v>
      </c>
      <c r="F11" s="24">
        <f t="shared" si="1"/>
        <v>5</v>
      </c>
      <c r="G11" s="24">
        <f t="shared" si="2"/>
        <v>3</v>
      </c>
      <c r="H11" s="24">
        <f t="shared" si="3"/>
        <v>4</v>
      </c>
      <c r="I11" s="24">
        <f t="shared" si="7"/>
        <v>12</v>
      </c>
      <c r="J11" t="str">
        <f t="shared" si="5"/>
        <v>Прочие</v>
      </c>
      <c r="M11" s="3"/>
    </row>
    <row r="12" spans="1:16" x14ac:dyDescent="0.3">
      <c r="A12">
        <v>3967</v>
      </c>
      <c r="B12" s="13">
        <v>45195</v>
      </c>
      <c r="C12">
        <v>21</v>
      </c>
      <c r="D12" s="8">
        <v>2186.8644067796599</v>
      </c>
      <c r="E12" s="24">
        <f t="shared" si="6"/>
        <v>5</v>
      </c>
      <c r="F12" s="24">
        <f t="shared" si="1"/>
        <v>5</v>
      </c>
      <c r="G12" s="24">
        <f t="shared" si="2"/>
        <v>4</v>
      </c>
      <c r="H12" s="24">
        <f t="shared" si="3"/>
        <v>4</v>
      </c>
      <c r="I12" s="24">
        <f t="shared" si="7"/>
        <v>13</v>
      </c>
      <c r="J12" t="str">
        <f t="shared" si="5"/>
        <v>Чемпионы</v>
      </c>
      <c r="M12" s="3"/>
    </row>
    <row r="13" spans="1:16" x14ac:dyDescent="0.3">
      <c r="A13">
        <v>3968</v>
      </c>
      <c r="B13" s="13">
        <v>45190</v>
      </c>
      <c r="C13">
        <v>25</v>
      </c>
      <c r="D13" s="8">
        <v>2529.1524064171122</v>
      </c>
      <c r="E13" s="24">
        <f t="shared" si="6"/>
        <v>10</v>
      </c>
      <c r="F13" s="24">
        <f t="shared" si="1"/>
        <v>5</v>
      </c>
      <c r="G13" s="24">
        <f t="shared" si="2"/>
        <v>5</v>
      </c>
      <c r="H13" s="24">
        <f t="shared" si="3"/>
        <v>5</v>
      </c>
      <c r="I13" s="24">
        <f t="shared" si="7"/>
        <v>15</v>
      </c>
      <c r="J13" t="str">
        <f t="shared" si="5"/>
        <v>Чемпионы</v>
      </c>
      <c r="M13" s="3"/>
    </row>
    <row r="14" spans="1:16" x14ac:dyDescent="0.3">
      <c r="A14">
        <v>3969</v>
      </c>
      <c r="B14" s="13">
        <v>45184</v>
      </c>
      <c r="C14">
        <v>14</v>
      </c>
      <c r="D14" s="8">
        <v>1232.0714285714284</v>
      </c>
      <c r="E14" s="24">
        <f t="shared" si="6"/>
        <v>16</v>
      </c>
      <c r="F14" s="24">
        <f t="shared" si="1"/>
        <v>5</v>
      </c>
      <c r="G14" s="24">
        <f t="shared" si="2"/>
        <v>2</v>
      </c>
      <c r="H14" s="24">
        <f t="shared" si="3"/>
        <v>2</v>
      </c>
      <c r="I14" s="24">
        <f t="shared" si="7"/>
        <v>9</v>
      </c>
      <c r="J14" t="str">
        <f t="shared" si="5"/>
        <v>Новые</v>
      </c>
      <c r="M14" s="3"/>
    </row>
    <row r="15" spans="1:16" x14ac:dyDescent="0.3">
      <c r="A15">
        <v>3970</v>
      </c>
      <c r="B15" s="13">
        <v>45195</v>
      </c>
      <c r="C15">
        <v>27</v>
      </c>
      <c r="D15" s="8">
        <v>2958.8799805592348</v>
      </c>
      <c r="E15" s="24">
        <f t="shared" si="6"/>
        <v>5</v>
      </c>
      <c r="F15" s="24">
        <f t="shared" si="1"/>
        <v>5</v>
      </c>
      <c r="G15" s="24">
        <f t="shared" si="2"/>
        <v>5</v>
      </c>
      <c r="H15" s="24">
        <f t="shared" si="3"/>
        <v>5</v>
      </c>
      <c r="I15" s="24">
        <f t="shared" si="7"/>
        <v>15</v>
      </c>
      <c r="J15" t="str">
        <f t="shared" si="5"/>
        <v>Чемпионы</v>
      </c>
      <c r="M15" s="3"/>
    </row>
    <row r="16" spans="1:16" x14ac:dyDescent="0.3">
      <c r="A16">
        <v>3971</v>
      </c>
      <c r="B16" s="13">
        <v>45167</v>
      </c>
      <c r="C16">
        <v>18</v>
      </c>
      <c r="D16" s="8">
        <v>1816.1011494252862</v>
      </c>
      <c r="E16" s="24">
        <f t="shared" si="6"/>
        <v>33</v>
      </c>
      <c r="F16" s="24">
        <f t="shared" si="1"/>
        <v>4</v>
      </c>
      <c r="G16" s="24">
        <f t="shared" si="2"/>
        <v>3</v>
      </c>
      <c r="H16" s="24">
        <f t="shared" si="3"/>
        <v>3</v>
      </c>
      <c r="I16" s="24">
        <f t="shared" si="7"/>
        <v>10</v>
      </c>
      <c r="J16" t="str">
        <f t="shared" si="5"/>
        <v>Прочие</v>
      </c>
      <c r="M16" s="3"/>
    </row>
    <row r="17" spans="1:13" x14ac:dyDescent="0.3">
      <c r="A17">
        <v>3972</v>
      </c>
      <c r="B17" s="13">
        <v>45123</v>
      </c>
      <c r="C17">
        <v>19</v>
      </c>
      <c r="D17" s="8">
        <v>1779.0436350522891</v>
      </c>
      <c r="E17" s="24">
        <f t="shared" si="6"/>
        <v>77</v>
      </c>
      <c r="F17" s="24">
        <f t="shared" si="1"/>
        <v>3</v>
      </c>
      <c r="G17" s="24">
        <f t="shared" si="2"/>
        <v>3</v>
      </c>
      <c r="H17" s="24">
        <f t="shared" si="3"/>
        <v>3</v>
      </c>
      <c r="I17" s="24">
        <f t="shared" si="7"/>
        <v>9</v>
      </c>
      <c r="J17" t="str">
        <f t="shared" si="5"/>
        <v>Прочие</v>
      </c>
      <c r="M17" s="3"/>
    </row>
    <row r="18" spans="1:13" x14ac:dyDescent="0.3">
      <c r="A18">
        <v>3973</v>
      </c>
      <c r="B18" s="13">
        <v>45173</v>
      </c>
      <c r="C18">
        <v>28</v>
      </c>
      <c r="D18" s="8">
        <v>3107.066927851633</v>
      </c>
      <c r="E18" s="24">
        <f t="shared" si="6"/>
        <v>27</v>
      </c>
      <c r="F18" s="24">
        <f t="shared" si="1"/>
        <v>5</v>
      </c>
      <c r="G18" s="24">
        <f t="shared" si="2"/>
        <v>5</v>
      </c>
      <c r="H18" s="24">
        <f t="shared" si="3"/>
        <v>5</v>
      </c>
      <c r="I18" s="24">
        <f t="shared" si="7"/>
        <v>15</v>
      </c>
      <c r="J18" t="str">
        <f t="shared" si="5"/>
        <v>Чемпионы</v>
      </c>
      <c r="M18" s="3"/>
    </row>
    <row r="19" spans="1:13" x14ac:dyDescent="0.3">
      <c r="A19">
        <v>3974</v>
      </c>
      <c r="B19" s="13">
        <v>45198</v>
      </c>
      <c r="C19">
        <v>20</v>
      </c>
      <c r="D19" s="8">
        <v>2184.7591654247381</v>
      </c>
      <c r="E19" s="24">
        <f t="shared" si="6"/>
        <v>2</v>
      </c>
      <c r="F19" s="24">
        <f t="shared" si="1"/>
        <v>5</v>
      </c>
      <c r="G19" s="24">
        <f t="shared" si="2"/>
        <v>4</v>
      </c>
      <c r="H19" s="24">
        <f t="shared" si="3"/>
        <v>4</v>
      </c>
      <c r="I19" s="24">
        <f t="shared" si="7"/>
        <v>13</v>
      </c>
      <c r="J19" t="str">
        <f t="shared" si="5"/>
        <v>Чемпионы</v>
      </c>
      <c r="M19" s="3"/>
    </row>
    <row r="20" spans="1:13" x14ac:dyDescent="0.3">
      <c r="A20">
        <v>3975</v>
      </c>
      <c r="B20" s="13">
        <v>45198</v>
      </c>
      <c r="C20">
        <v>14</v>
      </c>
      <c r="D20" s="8">
        <v>1332.824067309564</v>
      </c>
      <c r="E20" s="24">
        <f t="shared" si="6"/>
        <v>2</v>
      </c>
      <c r="F20" s="24">
        <f t="shared" si="1"/>
        <v>5</v>
      </c>
      <c r="G20" s="24">
        <f t="shared" si="2"/>
        <v>2</v>
      </c>
      <c r="H20" s="24">
        <f t="shared" si="3"/>
        <v>2</v>
      </c>
      <c r="I20" s="24">
        <f t="shared" si="7"/>
        <v>9</v>
      </c>
      <c r="J20" t="str">
        <f t="shared" si="5"/>
        <v>Новые</v>
      </c>
      <c r="M20" s="3"/>
    </row>
    <row r="21" spans="1:13" x14ac:dyDescent="0.3">
      <c r="A21">
        <v>3976</v>
      </c>
      <c r="B21" s="13">
        <v>45197</v>
      </c>
      <c r="C21">
        <v>18</v>
      </c>
      <c r="D21" s="8">
        <v>2204.6470588235288</v>
      </c>
      <c r="E21" s="24">
        <f t="shared" si="6"/>
        <v>3</v>
      </c>
      <c r="F21" s="24">
        <f t="shared" si="1"/>
        <v>5</v>
      </c>
      <c r="G21" s="24">
        <f t="shared" si="2"/>
        <v>3</v>
      </c>
      <c r="H21" s="24">
        <f t="shared" si="3"/>
        <v>4</v>
      </c>
      <c r="I21" s="24">
        <f t="shared" si="7"/>
        <v>12</v>
      </c>
      <c r="J21" t="str">
        <f t="shared" si="5"/>
        <v>Прочие</v>
      </c>
      <c r="M21" s="3"/>
    </row>
    <row r="22" spans="1:13" x14ac:dyDescent="0.3">
      <c r="A22">
        <v>3977</v>
      </c>
      <c r="B22" s="13">
        <v>45189</v>
      </c>
      <c r="C22">
        <v>17</v>
      </c>
      <c r="D22" s="8">
        <v>1288.375</v>
      </c>
      <c r="E22" s="24">
        <f t="shared" si="6"/>
        <v>11</v>
      </c>
      <c r="F22" s="24">
        <f t="shared" si="1"/>
        <v>5</v>
      </c>
      <c r="G22" s="24">
        <f t="shared" si="2"/>
        <v>3</v>
      </c>
      <c r="H22" s="24">
        <f t="shared" si="3"/>
        <v>2</v>
      </c>
      <c r="I22" s="24">
        <f t="shared" si="7"/>
        <v>10</v>
      </c>
      <c r="J22" t="str">
        <f t="shared" si="5"/>
        <v>Прочие</v>
      </c>
      <c r="M22" s="3"/>
    </row>
    <row r="23" spans="1:13" x14ac:dyDescent="0.3">
      <c r="A23">
        <v>3978</v>
      </c>
      <c r="B23" s="13">
        <v>45197</v>
      </c>
      <c r="C23">
        <v>27</v>
      </c>
      <c r="D23" s="8">
        <v>3436.0647607475153</v>
      </c>
      <c r="E23" s="24">
        <f t="shared" si="6"/>
        <v>3</v>
      </c>
      <c r="F23" s="24">
        <f t="shared" si="1"/>
        <v>5</v>
      </c>
      <c r="G23" s="24">
        <f t="shared" si="2"/>
        <v>5</v>
      </c>
      <c r="H23" s="24">
        <f t="shared" si="3"/>
        <v>5</v>
      </c>
      <c r="I23" s="24">
        <f t="shared" si="7"/>
        <v>15</v>
      </c>
      <c r="J23" t="str">
        <f t="shared" si="5"/>
        <v>Чемпионы</v>
      </c>
      <c r="M23" s="3"/>
    </row>
    <row r="24" spans="1:13" x14ac:dyDescent="0.3">
      <c r="A24">
        <v>3979</v>
      </c>
      <c r="B24" s="13">
        <v>45177</v>
      </c>
      <c r="C24">
        <v>22</v>
      </c>
      <c r="D24" s="8">
        <v>2424.8502412479033</v>
      </c>
      <c r="E24" s="24">
        <f t="shared" si="6"/>
        <v>23</v>
      </c>
      <c r="F24" s="24">
        <f t="shared" si="1"/>
        <v>5</v>
      </c>
      <c r="G24" s="24">
        <f t="shared" si="2"/>
        <v>4</v>
      </c>
      <c r="H24" s="24">
        <f t="shared" si="3"/>
        <v>4</v>
      </c>
      <c r="I24" s="24">
        <f t="shared" si="7"/>
        <v>13</v>
      </c>
      <c r="J24" t="str">
        <f t="shared" si="5"/>
        <v>Чемпионы</v>
      </c>
      <c r="M24" s="3"/>
    </row>
    <row r="25" spans="1:13" x14ac:dyDescent="0.3">
      <c r="A25">
        <v>3980</v>
      </c>
      <c r="B25" s="13">
        <v>45197</v>
      </c>
      <c r="C25">
        <v>20</v>
      </c>
      <c r="D25" s="8">
        <v>2050.9491525423718</v>
      </c>
      <c r="E25" s="24">
        <f t="shared" si="6"/>
        <v>3</v>
      </c>
      <c r="F25" s="24">
        <f t="shared" si="1"/>
        <v>5</v>
      </c>
      <c r="G25" s="24">
        <f t="shared" si="2"/>
        <v>4</v>
      </c>
      <c r="H25" s="24">
        <f t="shared" si="3"/>
        <v>4</v>
      </c>
      <c r="I25" s="24">
        <f t="shared" si="7"/>
        <v>13</v>
      </c>
      <c r="J25" t="str">
        <f t="shared" si="5"/>
        <v>Чемпионы</v>
      </c>
      <c r="M25" s="3"/>
    </row>
    <row r="26" spans="1:13" x14ac:dyDescent="0.3">
      <c r="A26">
        <v>3981</v>
      </c>
      <c r="B26" s="13">
        <v>45115</v>
      </c>
      <c r="C26">
        <v>19</v>
      </c>
      <c r="D26" s="8">
        <v>2099.7610047277763</v>
      </c>
      <c r="E26" s="24">
        <f t="shared" si="6"/>
        <v>85</v>
      </c>
      <c r="F26" s="24">
        <f t="shared" si="1"/>
        <v>3</v>
      </c>
      <c r="G26" s="24">
        <f t="shared" si="2"/>
        <v>3</v>
      </c>
      <c r="H26" s="24">
        <f t="shared" si="3"/>
        <v>4</v>
      </c>
      <c r="I26" s="24">
        <f t="shared" si="7"/>
        <v>10</v>
      </c>
      <c r="J26" t="str">
        <f t="shared" si="5"/>
        <v>Прочие</v>
      </c>
      <c r="M26" s="3"/>
    </row>
    <row r="27" spans="1:13" x14ac:dyDescent="0.3">
      <c r="A27">
        <v>3982</v>
      </c>
      <c r="B27" s="13">
        <v>45193</v>
      </c>
      <c r="C27">
        <v>21</v>
      </c>
      <c r="D27" s="8">
        <v>2644.7351502732222</v>
      </c>
      <c r="E27" s="24">
        <f t="shared" si="6"/>
        <v>7</v>
      </c>
      <c r="F27" s="24">
        <f t="shared" si="1"/>
        <v>5</v>
      </c>
      <c r="G27" s="24">
        <f t="shared" si="2"/>
        <v>4</v>
      </c>
      <c r="H27" s="24">
        <f t="shared" si="3"/>
        <v>5</v>
      </c>
      <c r="I27" s="24">
        <f t="shared" si="7"/>
        <v>14</v>
      </c>
      <c r="J27" t="str">
        <f t="shared" si="5"/>
        <v>Чемпионы</v>
      </c>
      <c r="M27" s="3"/>
    </row>
    <row r="28" spans="1:13" x14ac:dyDescent="0.3">
      <c r="A28">
        <v>3983</v>
      </c>
      <c r="B28" s="13">
        <v>45199</v>
      </c>
      <c r="C28">
        <v>18</v>
      </c>
      <c r="D28" s="8">
        <v>1820.8961214008511</v>
      </c>
      <c r="E28" s="24">
        <f t="shared" si="6"/>
        <v>1</v>
      </c>
      <c r="F28" s="24">
        <f t="shared" si="1"/>
        <v>5</v>
      </c>
      <c r="G28" s="24">
        <f t="shared" si="2"/>
        <v>3</v>
      </c>
      <c r="H28" s="24">
        <f t="shared" si="3"/>
        <v>3</v>
      </c>
      <c r="I28" s="24">
        <f t="shared" si="7"/>
        <v>11</v>
      </c>
      <c r="J28" t="str">
        <f t="shared" si="5"/>
        <v>Прочие</v>
      </c>
      <c r="M28" s="3"/>
    </row>
    <row r="29" spans="1:13" x14ac:dyDescent="0.3">
      <c r="A29">
        <v>3984</v>
      </c>
      <c r="B29" s="13">
        <v>45169</v>
      </c>
      <c r="C29">
        <v>18</v>
      </c>
      <c r="D29" s="8">
        <v>1963.8835634364975</v>
      </c>
      <c r="E29" s="24">
        <f t="shared" si="6"/>
        <v>31</v>
      </c>
      <c r="F29" s="24">
        <f t="shared" si="1"/>
        <v>4</v>
      </c>
      <c r="G29" s="24">
        <f t="shared" si="2"/>
        <v>3</v>
      </c>
      <c r="H29" s="24">
        <f t="shared" si="3"/>
        <v>3</v>
      </c>
      <c r="I29" s="24">
        <f t="shared" si="7"/>
        <v>10</v>
      </c>
      <c r="J29" t="str">
        <f t="shared" si="5"/>
        <v>Прочие</v>
      </c>
      <c r="M29" s="3"/>
    </row>
    <row r="30" spans="1:13" x14ac:dyDescent="0.3">
      <c r="A30">
        <v>3985</v>
      </c>
      <c r="B30" s="13">
        <v>45193</v>
      </c>
      <c r="C30">
        <v>25</v>
      </c>
      <c r="D30" s="8">
        <v>2591.2299022665952</v>
      </c>
      <c r="E30" s="24">
        <f t="shared" si="6"/>
        <v>7</v>
      </c>
      <c r="F30" s="24">
        <f t="shared" si="1"/>
        <v>5</v>
      </c>
      <c r="G30" s="24">
        <f t="shared" si="2"/>
        <v>5</v>
      </c>
      <c r="H30" s="24">
        <f t="shared" si="3"/>
        <v>5</v>
      </c>
      <c r="I30" s="24">
        <f t="shared" si="7"/>
        <v>15</v>
      </c>
      <c r="J30" t="str">
        <f t="shared" si="5"/>
        <v>Чемпионы</v>
      </c>
      <c r="M30" s="3"/>
    </row>
    <row r="31" spans="1:13" x14ac:dyDescent="0.3">
      <c r="A31">
        <v>3986</v>
      </c>
      <c r="B31" s="13">
        <v>45194</v>
      </c>
      <c r="C31">
        <v>22</v>
      </c>
      <c r="D31" s="8">
        <v>2113.2169105889861</v>
      </c>
      <c r="E31" s="24">
        <f t="shared" si="6"/>
        <v>6</v>
      </c>
      <c r="F31" s="24">
        <f t="shared" si="1"/>
        <v>5</v>
      </c>
      <c r="G31" s="24">
        <f t="shared" si="2"/>
        <v>4</v>
      </c>
      <c r="H31" s="24">
        <f t="shared" si="3"/>
        <v>4</v>
      </c>
      <c r="I31" s="24">
        <f t="shared" si="7"/>
        <v>13</v>
      </c>
      <c r="J31" t="str">
        <f t="shared" si="5"/>
        <v>Чемпионы</v>
      </c>
      <c r="M31" s="3"/>
    </row>
    <row r="32" spans="1:13" x14ac:dyDescent="0.3">
      <c r="A32">
        <v>3987</v>
      </c>
      <c r="B32" s="13">
        <v>45170</v>
      </c>
      <c r="C32">
        <v>26</v>
      </c>
      <c r="D32" s="8">
        <v>2855.1005943841769</v>
      </c>
      <c r="E32" s="24">
        <f t="shared" si="6"/>
        <v>30</v>
      </c>
      <c r="F32" s="24">
        <f t="shared" si="1"/>
        <v>5</v>
      </c>
      <c r="G32" s="24">
        <f t="shared" si="2"/>
        <v>5</v>
      </c>
      <c r="H32" s="24">
        <f t="shared" si="3"/>
        <v>5</v>
      </c>
      <c r="I32" s="24">
        <f t="shared" si="7"/>
        <v>15</v>
      </c>
      <c r="J32" t="str">
        <f t="shared" si="5"/>
        <v>Чемпионы</v>
      </c>
      <c r="M32" s="3"/>
    </row>
    <row r="33" spans="1:13" x14ac:dyDescent="0.3">
      <c r="A33">
        <v>3988</v>
      </c>
      <c r="B33" s="13">
        <v>45193</v>
      </c>
      <c r="C33">
        <v>25</v>
      </c>
      <c r="D33" s="8">
        <v>2864.1937452890884</v>
      </c>
      <c r="E33" s="24">
        <f t="shared" si="6"/>
        <v>7</v>
      </c>
      <c r="F33" s="24">
        <f t="shared" si="1"/>
        <v>5</v>
      </c>
      <c r="G33" s="24">
        <f t="shared" si="2"/>
        <v>5</v>
      </c>
      <c r="H33" s="24">
        <f t="shared" si="3"/>
        <v>5</v>
      </c>
      <c r="I33" s="24">
        <f t="shared" si="7"/>
        <v>15</v>
      </c>
      <c r="J33" t="str">
        <f t="shared" si="5"/>
        <v>Чемпионы</v>
      </c>
      <c r="M33" s="3"/>
    </row>
    <row r="34" spans="1:13" x14ac:dyDescent="0.3">
      <c r="A34">
        <v>3989</v>
      </c>
      <c r="B34" s="13">
        <v>45182</v>
      </c>
      <c r="C34">
        <v>22</v>
      </c>
      <c r="D34" s="8">
        <v>2367.5922038980498</v>
      </c>
      <c r="E34" s="24">
        <f t="shared" si="6"/>
        <v>18</v>
      </c>
      <c r="F34" s="24">
        <f t="shared" si="1"/>
        <v>5</v>
      </c>
      <c r="G34" s="24">
        <f t="shared" si="2"/>
        <v>4</v>
      </c>
      <c r="H34" s="24">
        <f t="shared" si="3"/>
        <v>4</v>
      </c>
      <c r="I34" s="24">
        <f t="shared" si="7"/>
        <v>13</v>
      </c>
      <c r="J34" t="str">
        <f t="shared" si="5"/>
        <v>Чемпионы</v>
      </c>
      <c r="M34" s="3"/>
    </row>
    <row r="35" spans="1:13" x14ac:dyDescent="0.3">
      <c r="A35">
        <v>3990</v>
      </c>
      <c r="B35" s="13">
        <v>45180</v>
      </c>
      <c r="C35">
        <v>22</v>
      </c>
      <c r="D35" s="8">
        <v>2262.1944459109859</v>
      </c>
      <c r="E35" s="24">
        <f t="shared" si="6"/>
        <v>20</v>
      </c>
      <c r="F35" s="24">
        <f t="shared" si="1"/>
        <v>5</v>
      </c>
      <c r="G35" s="24">
        <f t="shared" si="2"/>
        <v>4</v>
      </c>
      <c r="H35" s="24">
        <f t="shared" si="3"/>
        <v>4</v>
      </c>
      <c r="I35" s="24">
        <f t="shared" si="7"/>
        <v>13</v>
      </c>
      <c r="J35" t="str">
        <f t="shared" si="5"/>
        <v>Чемпионы</v>
      </c>
      <c r="M35" s="3"/>
    </row>
    <row r="36" spans="1:13" x14ac:dyDescent="0.3">
      <c r="A36">
        <v>3991</v>
      </c>
      <c r="B36" s="13">
        <v>45188</v>
      </c>
      <c r="C36">
        <v>18</v>
      </c>
      <c r="D36" s="8">
        <v>1989.0190936852487</v>
      </c>
      <c r="E36" s="24">
        <f t="shared" si="6"/>
        <v>12</v>
      </c>
      <c r="F36" s="24">
        <f t="shared" si="1"/>
        <v>5</v>
      </c>
      <c r="G36" s="24">
        <f t="shared" si="2"/>
        <v>3</v>
      </c>
      <c r="H36" s="24">
        <f t="shared" si="3"/>
        <v>3</v>
      </c>
      <c r="I36" s="24">
        <f t="shared" si="7"/>
        <v>11</v>
      </c>
      <c r="J36" t="str">
        <f t="shared" si="5"/>
        <v>Прочие</v>
      </c>
      <c r="M36" s="3"/>
    </row>
    <row r="37" spans="1:13" x14ac:dyDescent="0.3">
      <c r="A37">
        <v>3992</v>
      </c>
      <c r="B37" s="13">
        <v>45191</v>
      </c>
      <c r="C37">
        <v>24</v>
      </c>
      <c r="D37" s="8">
        <v>2573.536904352477</v>
      </c>
      <c r="E37" s="24">
        <f t="shared" si="6"/>
        <v>9</v>
      </c>
      <c r="F37" s="24">
        <f t="shared" si="1"/>
        <v>5</v>
      </c>
      <c r="G37" s="24">
        <f t="shared" si="2"/>
        <v>4</v>
      </c>
      <c r="H37" s="24">
        <f t="shared" si="3"/>
        <v>5</v>
      </c>
      <c r="I37" s="24">
        <f t="shared" si="7"/>
        <v>14</v>
      </c>
      <c r="J37" t="str">
        <f t="shared" si="5"/>
        <v>Чемпионы</v>
      </c>
      <c r="M37" s="3"/>
    </row>
    <row r="38" spans="1:13" x14ac:dyDescent="0.3">
      <c r="A38">
        <v>3993</v>
      </c>
      <c r="B38" s="13">
        <v>45196</v>
      </c>
      <c r="C38">
        <v>21</v>
      </c>
      <c r="D38" s="8">
        <v>2289.8947629830573</v>
      </c>
      <c r="E38" s="24">
        <f t="shared" si="6"/>
        <v>4</v>
      </c>
      <c r="F38" s="24">
        <f t="shared" si="1"/>
        <v>5</v>
      </c>
      <c r="G38" s="24">
        <f t="shared" si="2"/>
        <v>4</v>
      </c>
      <c r="H38" s="24">
        <f t="shared" si="3"/>
        <v>4</v>
      </c>
      <c r="I38" s="24">
        <f t="shared" si="7"/>
        <v>13</v>
      </c>
      <c r="J38" t="str">
        <f t="shared" si="5"/>
        <v>Чемпионы</v>
      </c>
      <c r="M38" s="3"/>
    </row>
    <row r="39" spans="1:13" x14ac:dyDescent="0.3">
      <c r="A39">
        <v>3994</v>
      </c>
      <c r="B39" s="13">
        <v>45179</v>
      </c>
      <c r="C39">
        <v>25</v>
      </c>
      <c r="D39" s="8">
        <v>2765.0225404247008</v>
      </c>
      <c r="E39" s="24">
        <f t="shared" si="6"/>
        <v>21</v>
      </c>
      <c r="F39" s="24">
        <f t="shared" si="1"/>
        <v>5</v>
      </c>
      <c r="G39" s="24">
        <f t="shared" si="2"/>
        <v>5</v>
      </c>
      <c r="H39" s="24">
        <f t="shared" si="3"/>
        <v>5</v>
      </c>
      <c r="I39" s="24">
        <f t="shared" si="7"/>
        <v>15</v>
      </c>
      <c r="J39" t="str">
        <f t="shared" si="5"/>
        <v>Чемпионы</v>
      </c>
      <c r="M39" s="3"/>
    </row>
    <row r="40" spans="1:13" x14ac:dyDescent="0.3">
      <c r="A40">
        <v>3995</v>
      </c>
      <c r="B40" s="13">
        <v>45189</v>
      </c>
      <c r="C40">
        <v>20</v>
      </c>
      <c r="D40" s="8">
        <v>2009.077533357374</v>
      </c>
      <c r="E40" s="24">
        <f t="shared" si="6"/>
        <v>11</v>
      </c>
      <c r="F40" s="24">
        <f t="shared" si="1"/>
        <v>5</v>
      </c>
      <c r="G40" s="24">
        <f t="shared" si="2"/>
        <v>4</v>
      </c>
      <c r="H40" s="24">
        <f t="shared" si="3"/>
        <v>4</v>
      </c>
      <c r="I40" s="24">
        <f t="shared" si="7"/>
        <v>13</v>
      </c>
      <c r="J40" t="str">
        <f t="shared" si="5"/>
        <v>Чемпионы</v>
      </c>
      <c r="M40" s="3"/>
    </row>
    <row r="41" spans="1:13" x14ac:dyDescent="0.3">
      <c r="A41">
        <v>3996</v>
      </c>
      <c r="B41" s="13">
        <v>45174</v>
      </c>
      <c r="C41">
        <v>16</v>
      </c>
      <c r="D41" s="8">
        <v>1608.7507936507934</v>
      </c>
      <c r="E41" s="24">
        <f t="shared" si="6"/>
        <v>26</v>
      </c>
      <c r="F41" s="24">
        <f t="shared" si="1"/>
        <v>5</v>
      </c>
      <c r="G41" s="24">
        <f t="shared" si="2"/>
        <v>3</v>
      </c>
      <c r="H41" s="24">
        <f t="shared" si="3"/>
        <v>3</v>
      </c>
      <c r="I41" s="24">
        <f t="shared" si="7"/>
        <v>11</v>
      </c>
      <c r="J41" t="str">
        <f t="shared" si="5"/>
        <v>Прочие</v>
      </c>
      <c r="M41" s="3"/>
    </row>
    <row r="42" spans="1:13" x14ac:dyDescent="0.3">
      <c r="A42">
        <v>3997</v>
      </c>
      <c r="B42" s="13">
        <v>45177</v>
      </c>
      <c r="C42">
        <v>16</v>
      </c>
      <c r="D42" s="8">
        <v>1209.616951421649</v>
      </c>
      <c r="E42" s="24">
        <f t="shared" si="6"/>
        <v>23</v>
      </c>
      <c r="F42" s="24">
        <f t="shared" si="1"/>
        <v>5</v>
      </c>
      <c r="G42" s="24">
        <f t="shared" si="2"/>
        <v>3</v>
      </c>
      <c r="H42" s="24">
        <f t="shared" si="3"/>
        <v>2</v>
      </c>
      <c r="I42" s="24">
        <f t="shared" si="7"/>
        <v>10</v>
      </c>
      <c r="J42" t="str">
        <f t="shared" si="5"/>
        <v>Прочие</v>
      </c>
      <c r="M42" s="3"/>
    </row>
    <row r="43" spans="1:13" x14ac:dyDescent="0.3">
      <c r="A43">
        <v>3998</v>
      </c>
      <c r="B43" s="13">
        <v>45192</v>
      </c>
      <c r="C43">
        <v>21</v>
      </c>
      <c r="D43" s="8">
        <v>2451.3500048194442</v>
      </c>
      <c r="E43" s="24">
        <f t="shared" si="6"/>
        <v>8</v>
      </c>
      <c r="F43" s="24">
        <f t="shared" si="1"/>
        <v>5</v>
      </c>
      <c r="G43" s="24">
        <f t="shared" si="2"/>
        <v>4</v>
      </c>
      <c r="H43" s="24">
        <f t="shared" si="3"/>
        <v>4</v>
      </c>
      <c r="I43" s="24">
        <f t="shared" si="7"/>
        <v>13</v>
      </c>
      <c r="J43" t="str">
        <f t="shared" si="5"/>
        <v>Чемпионы</v>
      </c>
      <c r="M43" s="3"/>
    </row>
    <row r="44" spans="1:13" x14ac:dyDescent="0.3">
      <c r="A44">
        <v>3999</v>
      </c>
      <c r="B44" s="13">
        <v>45184</v>
      </c>
      <c r="C44">
        <v>20</v>
      </c>
      <c r="D44" s="8">
        <v>1982.8548387096771</v>
      </c>
      <c r="E44" s="24">
        <f t="shared" si="6"/>
        <v>16</v>
      </c>
      <c r="F44" s="24">
        <f t="shared" si="1"/>
        <v>5</v>
      </c>
      <c r="G44" s="24">
        <f t="shared" si="2"/>
        <v>4</v>
      </c>
      <c r="H44" s="24">
        <f t="shared" si="3"/>
        <v>3</v>
      </c>
      <c r="I44" s="24">
        <f t="shared" si="7"/>
        <v>12</v>
      </c>
      <c r="J44" t="str">
        <f t="shared" si="5"/>
        <v>Лояльные</v>
      </c>
      <c r="M44" s="3"/>
    </row>
    <row r="45" spans="1:13" x14ac:dyDescent="0.3">
      <c r="A45">
        <v>4000</v>
      </c>
      <c r="B45" s="13">
        <v>45200</v>
      </c>
      <c r="C45">
        <v>25</v>
      </c>
      <c r="D45" s="8">
        <v>2288.4079843509571</v>
      </c>
      <c r="E45" s="24">
        <f t="shared" si="6"/>
        <v>0</v>
      </c>
      <c r="F45" s="24">
        <f t="shared" si="1"/>
        <v>5</v>
      </c>
      <c r="G45" s="24">
        <f t="shared" si="2"/>
        <v>5</v>
      </c>
      <c r="H45" s="24">
        <f t="shared" si="3"/>
        <v>4</v>
      </c>
      <c r="I45" s="24">
        <f t="shared" si="7"/>
        <v>14</v>
      </c>
      <c r="J45" t="str">
        <f t="shared" si="5"/>
        <v>Чемпионы</v>
      </c>
      <c r="M45" s="3"/>
    </row>
    <row r="46" spans="1:13" x14ac:dyDescent="0.3">
      <c r="A46">
        <v>4001</v>
      </c>
      <c r="B46" s="13">
        <v>45186</v>
      </c>
      <c r="C46">
        <v>21</v>
      </c>
      <c r="D46" s="8">
        <v>2097.9491525423718</v>
      </c>
      <c r="E46" s="24">
        <f t="shared" si="6"/>
        <v>14</v>
      </c>
      <c r="F46" s="24">
        <f t="shared" si="1"/>
        <v>5</v>
      </c>
      <c r="G46" s="24">
        <f t="shared" si="2"/>
        <v>4</v>
      </c>
      <c r="H46" s="24">
        <f t="shared" si="3"/>
        <v>4</v>
      </c>
      <c r="I46" s="24">
        <f t="shared" si="7"/>
        <v>13</v>
      </c>
      <c r="J46" t="str">
        <f t="shared" si="5"/>
        <v>Чемпионы</v>
      </c>
      <c r="M46" s="3"/>
    </row>
    <row r="47" spans="1:13" x14ac:dyDescent="0.3">
      <c r="A47">
        <v>4002</v>
      </c>
      <c r="B47" s="13">
        <v>45166</v>
      </c>
      <c r="C47">
        <v>25</v>
      </c>
      <c r="D47" s="8">
        <v>2905.6980686467232</v>
      </c>
      <c r="E47" s="24">
        <f t="shared" si="6"/>
        <v>34</v>
      </c>
      <c r="F47" s="24">
        <f t="shared" si="1"/>
        <v>4</v>
      </c>
      <c r="G47" s="24">
        <f t="shared" si="2"/>
        <v>5</v>
      </c>
      <c r="H47" s="24">
        <f t="shared" si="3"/>
        <v>5</v>
      </c>
      <c r="I47" s="24">
        <f t="shared" si="7"/>
        <v>14</v>
      </c>
      <c r="J47" t="str">
        <f t="shared" si="5"/>
        <v>Чемпионы</v>
      </c>
      <c r="M47" s="3"/>
    </row>
    <row r="48" spans="1:13" x14ac:dyDescent="0.3">
      <c r="A48">
        <v>4003</v>
      </c>
      <c r="B48" s="13">
        <v>45199</v>
      </c>
      <c r="C48">
        <v>20</v>
      </c>
      <c r="D48" s="8">
        <v>2328.2036367490227</v>
      </c>
      <c r="E48" s="24">
        <f t="shared" si="6"/>
        <v>1</v>
      </c>
      <c r="F48" s="24">
        <f t="shared" si="1"/>
        <v>5</v>
      </c>
      <c r="G48" s="24">
        <f t="shared" si="2"/>
        <v>4</v>
      </c>
      <c r="H48" s="24">
        <f t="shared" si="3"/>
        <v>4</v>
      </c>
      <c r="I48" s="24">
        <f t="shared" si="7"/>
        <v>13</v>
      </c>
      <c r="J48" t="str">
        <f t="shared" si="5"/>
        <v>Чемпионы</v>
      </c>
      <c r="M48" s="3"/>
    </row>
    <row r="49" spans="1:13" x14ac:dyDescent="0.3">
      <c r="A49">
        <v>4004</v>
      </c>
      <c r="B49" s="13">
        <v>45193</v>
      </c>
      <c r="C49">
        <v>16</v>
      </c>
      <c r="D49" s="8">
        <v>1676.348675914249</v>
      </c>
      <c r="E49" s="24">
        <f t="shared" si="6"/>
        <v>7</v>
      </c>
      <c r="F49" s="24">
        <f t="shared" si="1"/>
        <v>5</v>
      </c>
      <c r="G49" s="24">
        <f t="shared" si="2"/>
        <v>3</v>
      </c>
      <c r="H49" s="24">
        <f t="shared" si="3"/>
        <v>3</v>
      </c>
      <c r="I49" s="24">
        <f t="shared" si="7"/>
        <v>11</v>
      </c>
      <c r="J49" t="str">
        <f t="shared" si="5"/>
        <v>Прочие</v>
      </c>
      <c r="M49" s="3"/>
    </row>
    <row r="50" spans="1:13" x14ac:dyDescent="0.3">
      <c r="A50">
        <v>4005</v>
      </c>
      <c r="B50" s="13">
        <v>45200</v>
      </c>
      <c r="C50">
        <v>21</v>
      </c>
      <c r="D50" s="8">
        <v>2406.4302432735999</v>
      </c>
      <c r="E50" s="24">
        <f t="shared" si="6"/>
        <v>0</v>
      </c>
      <c r="F50" s="24">
        <f t="shared" si="1"/>
        <v>5</v>
      </c>
      <c r="G50" s="24">
        <f t="shared" si="2"/>
        <v>4</v>
      </c>
      <c r="H50" s="24">
        <f t="shared" si="3"/>
        <v>4</v>
      </c>
      <c r="I50" s="24">
        <f t="shared" si="7"/>
        <v>13</v>
      </c>
      <c r="J50" t="str">
        <f t="shared" si="5"/>
        <v>Чемпионы</v>
      </c>
      <c r="M50" s="3"/>
    </row>
    <row r="51" spans="1:13" x14ac:dyDescent="0.3">
      <c r="A51">
        <v>4006</v>
      </c>
      <c r="B51" s="13">
        <v>45197</v>
      </c>
      <c r="C51">
        <v>25</v>
      </c>
      <c r="D51" s="8">
        <v>2408.2965382159337</v>
      </c>
      <c r="E51" s="24">
        <f t="shared" si="6"/>
        <v>3</v>
      </c>
      <c r="F51" s="24">
        <f t="shared" si="1"/>
        <v>5</v>
      </c>
      <c r="G51" s="24">
        <f t="shared" si="2"/>
        <v>5</v>
      </c>
      <c r="H51" s="24">
        <f t="shared" si="3"/>
        <v>4</v>
      </c>
      <c r="I51" s="24">
        <f t="shared" si="7"/>
        <v>14</v>
      </c>
      <c r="J51" t="str">
        <f t="shared" si="5"/>
        <v>Чемпионы</v>
      </c>
      <c r="M51" s="3"/>
    </row>
    <row r="52" spans="1:13" x14ac:dyDescent="0.3">
      <c r="A52">
        <v>4007</v>
      </c>
      <c r="B52" s="13">
        <v>45154</v>
      </c>
      <c r="C52">
        <v>16</v>
      </c>
      <c r="D52" s="8">
        <v>1754.0118912967305</v>
      </c>
      <c r="E52" s="24">
        <f t="shared" si="6"/>
        <v>46</v>
      </c>
      <c r="F52" s="24">
        <f t="shared" si="1"/>
        <v>4</v>
      </c>
      <c r="G52" s="24">
        <f t="shared" si="2"/>
        <v>3</v>
      </c>
      <c r="H52" s="24">
        <f t="shared" si="3"/>
        <v>3</v>
      </c>
      <c r="I52" s="24">
        <f t="shared" si="7"/>
        <v>10</v>
      </c>
      <c r="J52" t="str">
        <f t="shared" si="5"/>
        <v>Прочие</v>
      </c>
      <c r="M52" s="3"/>
    </row>
    <row r="53" spans="1:13" x14ac:dyDescent="0.3">
      <c r="A53">
        <v>4008</v>
      </c>
      <c r="B53" s="13">
        <v>45176</v>
      </c>
      <c r="C53">
        <v>27</v>
      </c>
      <c r="D53" s="8">
        <v>2730.016717089884</v>
      </c>
      <c r="E53" s="24">
        <f t="shared" si="6"/>
        <v>24</v>
      </c>
      <c r="F53" s="24">
        <f t="shared" si="1"/>
        <v>5</v>
      </c>
      <c r="G53" s="24">
        <f t="shared" si="2"/>
        <v>5</v>
      </c>
      <c r="H53" s="24">
        <f t="shared" si="3"/>
        <v>5</v>
      </c>
      <c r="I53" s="24">
        <f t="shared" si="7"/>
        <v>15</v>
      </c>
      <c r="J53" t="str">
        <f t="shared" si="5"/>
        <v>Чемпионы</v>
      </c>
      <c r="M53" s="3"/>
    </row>
    <row r="54" spans="1:13" x14ac:dyDescent="0.3">
      <c r="A54">
        <v>4009</v>
      </c>
      <c r="B54" s="13">
        <v>45193</v>
      </c>
      <c r="C54">
        <v>20</v>
      </c>
      <c r="D54" s="8">
        <v>1660.808333333332</v>
      </c>
      <c r="E54" s="24">
        <f t="shared" si="6"/>
        <v>7</v>
      </c>
      <c r="F54" s="24">
        <f t="shared" si="1"/>
        <v>5</v>
      </c>
      <c r="G54" s="24">
        <f t="shared" si="2"/>
        <v>4</v>
      </c>
      <c r="H54" s="24">
        <f t="shared" si="3"/>
        <v>3</v>
      </c>
      <c r="I54" s="24">
        <f t="shared" si="7"/>
        <v>12</v>
      </c>
      <c r="J54" t="str">
        <f t="shared" si="5"/>
        <v>Лояльные</v>
      </c>
      <c r="M54" s="3"/>
    </row>
    <row r="55" spans="1:13" x14ac:dyDescent="0.3">
      <c r="A55">
        <v>4010</v>
      </c>
      <c r="B55" s="13">
        <v>45176</v>
      </c>
      <c r="C55">
        <v>23</v>
      </c>
      <c r="D55" s="8">
        <v>2794.6641414141395</v>
      </c>
      <c r="E55" s="24">
        <f t="shared" si="6"/>
        <v>24</v>
      </c>
      <c r="F55" s="24">
        <f t="shared" si="1"/>
        <v>5</v>
      </c>
      <c r="G55" s="24">
        <f t="shared" si="2"/>
        <v>4</v>
      </c>
      <c r="H55" s="24">
        <f t="shared" si="3"/>
        <v>5</v>
      </c>
      <c r="I55" s="24">
        <f t="shared" si="7"/>
        <v>14</v>
      </c>
      <c r="J55" t="str">
        <f t="shared" si="5"/>
        <v>Чемпионы</v>
      </c>
      <c r="M55" s="3"/>
    </row>
    <row r="56" spans="1:13" x14ac:dyDescent="0.3">
      <c r="A56">
        <v>4011</v>
      </c>
      <c r="B56" s="13">
        <v>45198</v>
      </c>
      <c r="C56">
        <v>19</v>
      </c>
      <c r="D56" s="8">
        <v>1952.6926243567739</v>
      </c>
      <c r="E56" s="24">
        <f t="shared" si="6"/>
        <v>2</v>
      </c>
      <c r="F56" s="24">
        <f t="shared" si="1"/>
        <v>5</v>
      </c>
      <c r="G56" s="24">
        <f t="shared" si="2"/>
        <v>3</v>
      </c>
      <c r="H56" s="24">
        <f t="shared" si="3"/>
        <v>3</v>
      </c>
      <c r="I56" s="24">
        <f t="shared" si="7"/>
        <v>11</v>
      </c>
      <c r="J56" t="str">
        <f t="shared" si="5"/>
        <v>Прочие</v>
      </c>
      <c r="M56" s="3"/>
    </row>
    <row r="57" spans="1:13" x14ac:dyDescent="0.3">
      <c r="A57">
        <v>4012</v>
      </c>
      <c r="B57" s="13">
        <v>45187</v>
      </c>
      <c r="C57">
        <v>16</v>
      </c>
      <c r="D57" s="8">
        <v>1689.2848780019356</v>
      </c>
      <c r="E57" s="24">
        <f t="shared" si="6"/>
        <v>13</v>
      </c>
      <c r="F57" s="24">
        <f t="shared" si="1"/>
        <v>5</v>
      </c>
      <c r="G57" s="24">
        <f t="shared" si="2"/>
        <v>3</v>
      </c>
      <c r="H57" s="24">
        <f t="shared" si="3"/>
        <v>3</v>
      </c>
      <c r="I57" s="24">
        <f t="shared" si="7"/>
        <v>11</v>
      </c>
      <c r="J57" t="str">
        <f t="shared" si="5"/>
        <v>Прочие</v>
      </c>
      <c r="M57" s="3"/>
    </row>
    <row r="58" spans="1:13" x14ac:dyDescent="0.3">
      <c r="A58">
        <v>4013</v>
      </c>
      <c r="B58" s="13">
        <v>45160</v>
      </c>
      <c r="C58">
        <v>18</v>
      </c>
      <c r="D58" s="8">
        <v>1659.7767387492686</v>
      </c>
      <c r="E58" s="24">
        <f t="shared" si="6"/>
        <v>40</v>
      </c>
      <c r="F58" s="24">
        <f t="shared" si="1"/>
        <v>4</v>
      </c>
      <c r="G58" s="24">
        <f t="shared" si="2"/>
        <v>3</v>
      </c>
      <c r="H58" s="24">
        <f t="shared" si="3"/>
        <v>3</v>
      </c>
      <c r="I58" s="24">
        <f t="shared" si="7"/>
        <v>10</v>
      </c>
      <c r="J58" t="str">
        <f t="shared" si="5"/>
        <v>Прочие</v>
      </c>
      <c r="M58" s="3"/>
    </row>
    <row r="59" spans="1:13" x14ac:dyDescent="0.3">
      <c r="A59">
        <v>4014</v>
      </c>
      <c r="B59" s="13">
        <v>45191</v>
      </c>
      <c r="C59">
        <v>14</v>
      </c>
      <c r="D59" s="8">
        <v>1216.1441077441068</v>
      </c>
      <c r="E59" s="24">
        <f t="shared" si="6"/>
        <v>9</v>
      </c>
      <c r="F59" s="24">
        <f t="shared" si="1"/>
        <v>5</v>
      </c>
      <c r="G59" s="24">
        <f t="shared" si="2"/>
        <v>2</v>
      </c>
      <c r="H59" s="24">
        <f t="shared" si="3"/>
        <v>2</v>
      </c>
      <c r="I59" s="24">
        <f t="shared" si="7"/>
        <v>9</v>
      </c>
      <c r="J59" t="str">
        <f t="shared" si="5"/>
        <v>Новые</v>
      </c>
      <c r="M59" s="3"/>
    </row>
    <row r="60" spans="1:13" x14ac:dyDescent="0.3">
      <c r="A60">
        <v>4015</v>
      </c>
      <c r="B60" s="13">
        <v>45191</v>
      </c>
      <c r="C60">
        <v>16</v>
      </c>
      <c r="D60" s="8">
        <v>1679.5318181818179</v>
      </c>
      <c r="E60" s="24">
        <f t="shared" si="6"/>
        <v>9</v>
      </c>
      <c r="F60" s="24">
        <f t="shared" si="1"/>
        <v>5</v>
      </c>
      <c r="G60" s="24">
        <f t="shared" si="2"/>
        <v>3</v>
      </c>
      <c r="H60" s="24">
        <f t="shared" si="3"/>
        <v>3</v>
      </c>
      <c r="I60" s="24">
        <f t="shared" si="7"/>
        <v>11</v>
      </c>
      <c r="J60" t="str">
        <f t="shared" si="5"/>
        <v>Прочие</v>
      </c>
      <c r="M60" s="3"/>
    </row>
    <row r="61" spans="1:13" x14ac:dyDescent="0.3">
      <c r="A61">
        <v>4016</v>
      </c>
      <c r="B61" s="13">
        <v>45193</v>
      </c>
      <c r="C61">
        <v>16</v>
      </c>
      <c r="D61" s="8">
        <v>1455.8902636447722</v>
      </c>
      <c r="E61" s="24">
        <f t="shared" si="6"/>
        <v>7</v>
      </c>
      <c r="F61" s="24">
        <f t="shared" si="1"/>
        <v>5</v>
      </c>
      <c r="G61" s="24">
        <f t="shared" si="2"/>
        <v>3</v>
      </c>
      <c r="H61" s="24">
        <f t="shared" si="3"/>
        <v>2</v>
      </c>
      <c r="I61" s="24">
        <f t="shared" si="7"/>
        <v>10</v>
      </c>
      <c r="J61" t="str">
        <f t="shared" si="5"/>
        <v>Прочие</v>
      </c>
      <c r="M61" s="3"/>
    </row>
    <row r="62" spans="1:13" x14ac:dyDescent="0.3">
      <c r="A62">
        <v>4017</v>
      </c>
      <c r="B62" s="13">
        <v>45197</v>
      </c>
      <c r="C62">
        <v>23</v>
      </c>
      <c r="D62" s="8">
        <v>2313.0926739926736</v>
      </c>
      <c r="E62" s="24">
        <f t="shared" si="6"/>
        <v>3</v>
      </c>
      <c r="F62" s="24">
        <f t="shared" si="1"/>
        <v>5</v>
      </c>
      <c r="G62" s="24">
        <f t="shared" si="2"/>
        <v>4</v>
      </c>
      <c r="H62" s="24">
        <f t="shared" si="3"/>
        <v>4</v>
      </c>
      <c r="I62" s="24">
        <f t="shared" si="7"/>
        <v>13</v>
      </c>
      <c r="J62" t="str">
        <f t="shared" si="5"/>
        <v>Чемпионы</v>
      </c>
      <c r="M62" s="3"/>
    </row>
    <row r="63" spans="1:13" x14ac:dyDescent="0.3">
      <c r="A63">
        <v>4018</v>
      </c>
      <c r="B63" s="13">
        <v>45187</v>
      </c>
      <c r="C63">
        <v>19</v>
      </c>
      <c r="D63" s="8">
        <v>1692.0582835768871</v>
      </c>
      <c r="E63" s="24">
        <f t="shared" si="6"/>
        <v>13</v>
      </c>
      <c r="F63" s="24">
        <f t="shared" si="1"/>
        <v>5</v>
      </c>
      <c r="G63" s="24">
        <f t="shared" si="2"/>
        <v>3</v>
      </c>
      <c r="H63" s="24">
        <f t="shared" si="3"/>
        <v>3</v>
      </c>
      <c r="I63" s="24">
        <f t="shared" si="7"/>
        <v>11</v>
      </c>
      <c r="J63" t="str">
        <f t="shared" si="5"/>
        <v>Прочие</v>
      </c>
      <c r="M63" s="3"/>
    </row>
    <row r="64" spans="1:13" x14ac:dyDescent="0.3">
      <c r="A64">
        <v>4019</v>
      </c>
      <c r="B64" s="13">
        <v>45199</v>
      </c>
      <c r="C64">
        <v>16</v>
      </c>
      <c r="D64" s="8">
        <v>1822.8399888546055</v>
      </c>
      <c r="E64" s="24">
        <f t="shared" si="6"/>
        <v>1</v>
      </c>
      <c r="F64" s="24">
        <f t="shared" si="1"/>
        <v>5</v>
      </c>
      <c r="G64" s="24">
        <f t="shared" si="2"/>
        <v>3</v>
      </c>
      <c r="H64" s="24">
        <f t="shared" si="3"/>
        <v>3</v>
      </c>
      <c r="I64" s="24">
        <f t="shared" si="7"/>
        <v>11</v>
      </c>
      <c r="J64" t="str">
        <f t="shared" si="5"/>
        <v>Прочие</v>
      </c>
      <c r="M64" s="3"/>
    </row>
    <row r="65" spans="1:13" x14ac:dyDescent="0.3">
      <c r="A65">
        <v>4020</v>
      </c>
      <c r="B65" s="13">
        <v>45195</v>
      </c>
      <c r="C65">
        <v>16</v>
      </c>
      <c r="D65" s="8">
        <v>1973.3246997220858</v>
      </c>
      <c r="E65" s="24">
        <f t="shared" si="6"/>
        <v>5</v>
      </c>
      <c r="F65" s="24">
        <f t="shared" si="1"/>
        <v>5</v>
      </c>
      <c r="G65" s="24">
        <f t="shared" si="2"/>
        <v>3</v>
      </c>
      <c r="H65" s="24">
        <f t="shared" si="3"/>
        <v>3</v>
      </c>
      <c r="I65" s="24">
        <f t="shared" si="7"/>
        <v>11</v>
      </c>
      <c r="J65" t="str">
        <f t="shared" si="5"/>
        <v>Прочие</v>
      </c>
      <c r="M65" s="3"/>
    </row>
    <row r="66" spans="1:13" x14ac:dyDescent="0.3">
      <c r="A66">
        <v>4021</v>
      </c>
      <c r="B66" s="13">
        <v>45199</v>
      </c>
      <c r="C66">
        <v>19</v>
      </c>
      <c r="D66" s="8">
        <v>1883.9690686918618</v>
      </c>
      <c r="E66" s="24">
        <f t="shared" si="6"/>
        <v>1</v>
      </c>
      <c r="F66" s="24">
        <f t="shared" si="1"/>
        <v>5</v>
      </c>
      <c r="G66" s="24">
        <f t="shared" si="2"/>
        <v>3</v>
      </c>
      <c r="H66" s="24">
        <f t="shared" si="3"/>
        <v>3</v>
      </c>
      <c r="I66" s="24">
        <f t="shared" si="7"/>
        <v>11</v>
      </c>
      <c r="J66" t="str">
        <f t="shared" si="5"/>
        <v>Прочие</v>
      </c>
      <c r="M66" s="3"/>
    </row>
    <row r="67" spans="1:13" x14ac:dyDescent="0.3">
      <c r="A67">
        <v>4022</v>
      </c>
      <c r="B67" s="13">
        <v>45165</v>
      </c>
      <c r="C67">
        <v>13</v>
      </c>
      <c r="D67" s="8">
        <v>1476.597358490566</v>
      </c>
      <c r="E67" s="24">
        <f t="shared" si="6"/>
        <v>35</v>
      </c>
      <c r="F67" s="24">
        <f t="shared" ref="F67:F130" si="8">IF(E67&lt;=30,5,IF(E67&lt;=60,4,IF(E67&lt;=90,3,IF(E67&lt;=180,2,1))))</f>
        <v>4</v>
      </c>
      <c r="G67" s="24">
        <f t="shared" ref="G67:G130" si="9">IF(C67&gt;=25,5,IF(C67&gt;=20,4,IF(C67&gt;=15,3,IF(C67&gt;=10,2,1))))</f>
        <v>2</v>
      </c>
      <c r="H67" s="24">
        <f t="shared" ref="H67:H130" si="10">IF(D67&gt;=2500,5,IF(D67&gt;=2000,4,IF(D67&gt;=1500,3,IF(D67&gt;=1000,2,1))))</f>
        <v>2</v>
      </c>
      <c r="I67" s="24">
        <f t="shared" si="7"/>
        <v>8</v>
      </c>
      <c r="J67" t="str">
        <f t="shared" ref="J67:J130" si="11">IF(AND(F67&gt;=4,G67&gt;=4,H67&gt;=4),"Чемпионы",IF(AND(F67&gt;=3,G67&gt;=4),"Лояльные",IF(AND(F67&gt;=4,G67&lt;=2),"Новые",IF(AND(F67&lt;=2,G67&gt;=4),"В зоне риска",IF(AND(F67&lt;=2,G67&lt;=2),"Потерянные","Прочие")))))</f>
        <v>Новые</v>
      </c>
      <c r="M67" s="3"/>
    </row>
    <row r="68" spans="1:13" x14ac:dyDescent="0.3">
      <c r="A68">
        <v>4023</v>
      </c>
      <c r="B68" s="13">
        <v>45159</v>
      </c>
      <c r="C68">
        <v>25</v>
      </c>
      <c r="D68" s="8">
        <v>2764.4801191586598</v>
      </c>
      <c r="E68" s="24">
        <f t="shared" si="6"/>
        <v>41</v>
      </c>
      <c r="F68" s="24">
        <f t="shared" si="8"/>
        <v>4</v>
      </c>
      <c r="G68" s="24">
        <f t="shared" si="9"/>
        <v>5</v>
      </c>
      <c r="H68" s="24">
        <f t="shared" si="10"/>
        <v>5</v>
      </c>
      <c r="I68" s="24">
        <f t="shared" si="7"/>
        <v>14</v>
      </c>
      <c r="J68" t="str">
        <f t="shared" si="11"/>
        <v>Чемпионы</v>
      </c>
      <c r="M68" s="3"/>
    </row>
    <row r="69" spans="1:13" x14ac:dyDescent="0.3">
      <c r="A69">
        <v>4024</v>
      </c>
      <c r="B69" s="13">
        <v>45164</v>
      </c>
      <c r="C69">
        <v>15</v>
      </c>
      <c r="D69" s="8">
        <v>1498.2181818181809</v>
      </c>
      <c r="E69" s="24">
        <f t="shared" si="6"/>
        <v>36</v>
      </c>
      <c r="F69" s="24">
        <f t="shared" si="8"/>
        <v>4</v>
      </c>
      <c r="G69" s="24">
        <f t="shared" si="9"/>
        <v>3</v>
      </c>
      <c r="H69" s="24">
        <f t="shared" si="10"/>
        <v>2</v>
      </c>
      <c r="I69" s="24">
        <f t="shared" si="7"/>
        <v>9</v>
      </c>
      <c r="J69" t="str">
        <f t="shared" si="11"/>
        <v>Прочие</v>
      </c>
      <c r="M69" s="3"/>
    </row>
    <row r="70" spans="1:13" x14ac:dyDescent="0.3">
      <c r="A70">
        <v>4025</v>
      </c>
      <c r="B70" s="13">
        <v>45194</v>
      </c>
      <c r="C70">
        <v>16</v>
      </c>
      <c r="D70" s="8">
        <v>1946.3529055690065</v>
      </c>
      <c r="E70" s="24">
        <f t="shared" ref="E70:E133" si="12">DATE(2023,10,1)-B70</f>
        <v>6</v>
      </c>
      <c r="F70" s="24">
        <f t="shared" si="8"/>
        <v>5</v>
      </c>
      <c r="G70" s="24">
        <f t="shared" si="9"/>
        <v>3</v>
      </c>
      <c r="H70" s="24">
        <f t="shared" si="10"/>
        <v>3</v>
      </c>
      <c r="I70" s="24">
        <f t="shared" ref="I70:I133" si="13">F70+G70+H70</f>
        <v>11</v>
      </c>
      <c r="J70" t="str">
        <f t="shared" si="11"/>
        <v>Прочие</v>
      </c>
      <c r="M70" s="3"/>
    </row>
    <row r="71" spans="1:13" x14ac:dyDescent="0.3">
      <c r="A71">
        <v>4026</v>
      </c>
      <c r="B71" s="13">
        <v>45158</v>
      </c>
      <c r="C71">
        <v>16</v>
      </c>
      <c r="D71" s="8">
        <v>1595.5641025641021</v>
      </c>
      <c r="E71" s="24">
        <f t="shared" si="12"/>
        <v>42</v>
      </c>
      <c r="F71" s="24">
        <f t="shared" si="8"/>
        <v>4</v>
      </c>
      <c r="G71" s="24">
        <f t="shared" si="9"/>
        <v>3</v>
      </c>
      <c r="H71" s="24">
        <f t="shared" si="10"/>
        <v>3</v>
      </c>
      <c r="I71" s="24">
        <f t="shared" si="13"/>
        <v>10</v>
      </c>
      <c r="J71" t="str">
        <f t="shared" si="11"/>
        <v>Прочие</v>
      </c>
      <c r="M71" s="3"/>
    </row>
    <row r="72" spans="1:13" x14ac:dyDescent="0.3">
      <c r="A72">
        <v>4027</v>
      </c>
      <c r="B72" s="13">
        <v>45181</v>
      </c>
      <c r="C72">
        <v>17</v>
      </c>
      <c r="D72" s="8">
        <v>1736.453967840067</v>
      </c>
      <c r="E72" s="24">
        <f t="shared" si="12"/>
        <v>19</v>
      </c>
      <c r="F72" s="24">
        <f t="shared" si="8"/>
        <v>5</v>
      </c>
      <c r="G72" s="24">
        <f t="shared" si="9"/>
        <v>3</v>
      </c>
      <c r="H72" s="24">
        <f t="shared" si="10"/>
        <v>3</v>
      </c>
      <c r="I72" s="24">
        <f t="shared" si="13"/>
        <v>11</v>
      </c>
      <c r="J72" t="str">
        <f t="shared" si="11"/>
        <v>Прочие</v>
      </c>
      <c r="M72" s="3"/>
    </row>
    <row r="73" spans="1:13" x14ac:dyDescent="0.3">
      <c r="A73">
        <v>4028</v>
      </c>
      <c r="B73" s="13">
        <v>45160</v>
      </c>
      <c r="C73">
        <v>22</v>
      </c>
      <c r="D73" s="8">
        <v>1927.6651275642569</v>
      </c>
      <c r="E73" s="24">
        <f t="shared" si="12"/>
        <v>40</v>
      </c>
      <c r="F73" s="24">
        <f t="shared" si="8"/>
        <v>4</v>
      </c>
      <c r="G73" s="24">
        <f t="shared" si="9"/>
        <v>4</v>
      </c>
      <c r="H73" s="24">
        <f t="shared" si="10"/>
        <v>3</v>
      </c>
      <c r="I73" s="24">
        <f t="shared" si="13"/>
        <v>11</v>
      </c>
      <c r="J73" t="str">
        <f t="shared" si="11"/>
        <v>Лояльные</v>
      </c>
      <c r="M73" s="3"/>
    </row>
    <row r="74" spans="1:13" x14ac:dyDescent="0.3">
      <c r="A74">
        <v>4029</v>
      </c>
      <c r="B74" s="13">
        <v>45200</v>
      </c>
      <c r="C74">
        <v>25</v>
      </c>
      <c r="D74" s="8">
        <v>2236.2893600136035</v>
      </c>
      <c r="E74" s="24">
        <f t="shared" si="12"/>
        <v>0</v>
      </c>
      <c r="F74" s="24">
        <f t="shared" si="8"/>
        <v>5</v>
      </c>
      <c r="G74" s="24">
        <f t="shared" si="9"/>
        <v>5</v>
      </c>
      <c r="H74" s="24">
        <f t="shared" si="10"/>
        <v>4</v>
      </c>
      <c r="I74" s="24">
        <f t="shared" si="13"/>
        <v>14</v>
      </c>
      <c r="J74" t="str">
        <f t="shared" si="11"/>
        <v>Чемпионы</v>
      </c>
      <c r="M74" s="3"/>
    </row>
    <row r="75" spans="1:13" x14ac:dyDescent="0.3">
      <c r="A75">
        <v>4030</v>
      </c>
      <c r="B75" s="13">
        <v>45137</v>
      </c>
      <c r="C75">
        <v>16</v>
      </c>
      <c r="D75" s="8">
        <v>1753.6102785474718</v>
      </c>
      <c r="E75" s="24">
        <f t="shared" si="12"/>
        <v>63</v>
      </c>
      <c r="F75" s="24">
        <f t="shared" si="8"/>
        <v>3</v>
      </c>
      <c r="G75" s="24">
        <f t="shared" si="9"/>
        <v>3</v>
      </c>
      <c r="H75" s="24">
        <f t="shared" si="10"/>
        <v>3</v>
      </c>
      <c r="I75" s="24">
        <f t="shared" si="13"/>
        <v>9</v>
      </c>
      <c r="J75" t="str">
        <f t="shared" si="11"/>
        <v>Прочие</v>
      </c>
      <c r="M75" s="3"/>
    </row>
    <row r="76" spans="1:13" x14ac:dyDescent="0.3">
      <c r="A76">
        <v>4031</v>
      </c>
      <c r="B76" s="13">
        <v>45163</v>
      </c>
      <c r="C76">
        <v>21</v>
      </c>
      <c r="D76" s="8">
        <v>2688.766670190274</v>
      </c>
      <c r="E76" s="24">
        <f t="shared" si="12"/>
        <v>37</v>
      </c>
      <c r="F76" s="24">
        <f t="shared" si="8"/>
        <v>4</v>
      </c>
      <c r="G76" s="24">
        <f t="shared" si="9"/>
        <v>4</v>
      </c>
      <c r="H76" s="24">
        <f t="shared" si="10"/>
        <v>5</v>
      </c>
      <c r="I76" s="24">
        <f t="shared" si="13"/>
        <v>13</v>
      </c>
      <c r="J76" t="str">
        <f t="shared" si="11"/>
        <v>Чемпионы</v>
      </c>
      <c r="M76" s="3"/>
    </row>
    <row r="77" spans="1:13" x14ac:dyDescent="0.3">
      <c r="A77">
        <v>4032</v>
      </c>
      <c r="B77" s="13">
        <v>45181</v>
      </c>
      <c r="C77">
        <v>19</v>
      </c>
      <c r="D77" s="8">
        <v>1846.1619033536379</v>
      </c>
      <c r="E77" s="24">
        <f t="shared" si="12"/>
        <v>19</v>
      </c>
      <c r="F77" s="24">
        <f t="shared" si="8"/>
        <v>5</v>
      </c>
      <c r="G77" s="24">
        <f t="shared" si="9"/>
        <v>3</v>
      </c>
      <c r="H77" s="24">
        <f t="shared" si="10"/>
        <v>3</v>
      </c>
      <c r="I77" s="24">
        <f t="shared" si="13"/>
        <v>11</v>
      </c>
      <c r="J77" t="str">
        <f t="shared" si="11"/>
        <v>Прочие</v>
      </c>
      <c r="M77" s="3"/>
    </row>
    <row r="78" spans="1:13" x14ac:dyDescent="0.3">
      <c r="A78">
        <v>4033</v>
      </c>
      <c r="B78" s="13">
        <v>45169</v>
      </c>
      <c r="C78">
        <v>21</v>
      </c>
      <c r="D78" s="8">
        <v>2628.4177662396291</v>
      </c>
      <c r="E78" s="24">
        <f t="shared" si="12"/>
        <v>31</v>
      </c>
      <c r="F78" s="24">
        <f t="shared" si="8"/>
        <v>4</v>
      </c>
      <c r="G78" s="24">
        <f t="shared" si="9"/>
        <v>4</v>
      </c>
      <c r="H78" s="24">
        <f t="shared" si="10"/>
        <v>5</v>
      </c>
      <c r="I78" s="24">
        <f t="shared" si="13"/>
        <v>13</v>
      </c>
      <c r="J78" t="str">
        <f t="shared" si="11"/>
        <v>Чемпионы</v>
      </c>
      <c r="M78" s="3"/>
    </row>
    <row r="79" spans="1:13" x14ac:dyDescent="0.3">
      <c r="A79">
        <v>4034</v>
      </c>
      <c r="B79" s="13">
        <v>45176</v>
      </c>
      <c r="C79">
        <v>32</v>
      </c>
      <c r="D79" s="8">
        <v>3625.0745482821576</v>
      </c>
      <c r="E79" s="24">
        <f t="shared" si="12"/>
        <v>24</v>
      </c>
      <c r="F79" s="24">
        <f t="shared" si="8"/>
        <v>5</v>
      </c>
      <c r="G79" s="24">
        <f t="shared" si="9"/>
        <v>5</v>
      </c>
      <c r="H79" s="24">
        <f t="shared" si="10"/>
        <v>5</v>
      </c>
      <c r="I79" s="24">
        <f t="shared" si="13"/>
        <v>15</v>
      </c>
      <c r="J79" t="str">
        <f t="shared" si="11"/>
        <v>Чемпионы</v>
      </c>
      <c r="M79" s="3"/>
    </row>
    <row r="80" spans="1:13" x14ac:dyDescent="0.3">
      <c r="A80">
        <v>4035</v>
      </c>
      <c r="B80" s="13">
        <v>45191</v>
      </c>
      <c r="C80">
        <v>17</v>
      </c>
      <c r="D80" s="8">
        <v>1376.0625138279779</v>
      </c>
      <c r="E80" s="24">
        <f t="shared" si="12"/>
        <v>9</v>
      </c>
      <c r="F80" s="24">
        <f t="shared" si="8"/>
        <v>5</v>
      </c>
      <c r="G80" s="24">
        <f t="shared" si="9"/>
        <v>3</v>
      </c>
      <c r="H80" s="24">
        <f t="shared" si="10"/>
        <v>2</v>
      </c>
      <c r="I80" s="24">
        <f t="shared" si="13"/>
        <v>10</v>
      </c>
      <c r="J80" t="str">
        <f t="shared" si="11"/>
        <v>Прочие</v>
      </c>
      <c r="M80" s="3"/>
    </row>
    <row r="81" spans="1:13" x14ac:dyDescent="0.3">
      <c r="A81">
        <v>4036</v>
      </c>
      <c r="B81" s="13">
        <v>45197</v>
      </c>
      <c r="C81">
        <v>17</v>
      </c>
      <c r="D81" s="8">
        <v>2297.8052656546479</v>
      </c>
      <c r="E81" s="24">
        <f t="shared" si="12"/>
        <v>3</v>
      </c>
      <c r="F81" s="24">
        <f t="shared" si="8"/>
        <v>5</v>
      </c>
      <c r="G81" s="24">
        <f t="shared" si="9"/>
        <v>3</v>
      </c>
      <c r="H81" s="24">
        <f t="shared" si="10"/>
        <v>4</v>
      </c>
      <c r="I81" s="24">
        <f t="shared" si="13"/>
        <v>12</v>
      </c>
      <c r="J81" t="str">
        <f t="shared" si="11"/>
        <v>Прочие</v>
      </c>
      <c r="M81" s="3"/>
    </row>
    <row r="82" spans="1:13" x14ac:dyDescent="0.3">
      <c r="A82">
        <v>4037</v>
      </c>
      <c r="B82" s="13">
        <v>45182</v>
      </c>
      <c r="C82">
        <v>20</v>
      </c>
      <c r="D82" s="8">
        <v>2318.4580950551108</v>
      </c>
      <c r="E82" s="24">
        <f t="shared" si="12"/>
        <v>18</v>
      </c>
      <c r="F82" s="24">
        <f t="shared" si="8"/>
        <v>5</v>
      </c>
      <c r="G82" s="24">
        <f t="shared" si="9"/>
        <v>4</v>
      </c>
      <c r="H82" s="24">
        <f t="shared" si="10"/>
        <v>4</v>
      </c>
      <c r="I82" s="24">
        <f t="shared" si="13"/>
        <v>13</v>
      </c>
      <c r="J82" t="str">
        <f t="shared" si="11"/>
        <v>Чемпионы</v>
      </c>
      <c r="M82" s="3"/>
    </row>
    <row r="83" spans="1:13" x14ac:dyDescent="0.3">
      <c r="A83">
        <v>4038</v>
      </c>
      <c r="B83" s="13">
        <v>45152</v>
      </c>
      <c r="C83">
        <v>19</v>
      </c>
      <c r="D83" s="8">
        <v>1767.2010448247092</v>
      </c>
      <c r="E83" s="24">
        <f t="shared" si="12"/>
        <v>48</v>
      </c>
      <c r="F83" s="24">
        <f t="shared" si="8"/>
        <v>4</v>
      </c>
      <c r="G83" s="24">
        <f t="shared" si="9"/>
        <v>3</v>
      </c>
      <c r="H83" s="24">
        <f t="shared" si="10"/>
        <v>3</v>
      </c>
      <c r="I83" s="24">
        <f t="shared" si="13"/>
        <v>10</v>
      </c>
      <c r="J83" t="str">
        <f t="shared" si="11"/>
        <v>Прочие</v>
      </c>
      <c r="M83" s="3"/>
    </row>
    <row r="84" spans="1:13" x14ac:dyDescent="0.3">
      <c r="A84">
        <v>4039</v>
      </c>
      <c r="B84" s="13">
        <v>45139</v>
      </c>
      <c r="C84">
        <v>16</v>
      </c>
      <c r="D84" s="8">
        <v>1768.9171987003381</v>
      </c>
      <c r="E84" s="24">
        <f t="shared" si="12"/>
        <v>61</v>
      </c>
      <c r="F84" s="24">
        <f t="shared" si="8"/>
        <v>3</v>
      </c>
      <c r="G84" s="24">
        <f t="shared" si="9"/>
        <v>3</v>
      </c>
      <c r="H84" s="24">
        <f t="shared" si="10"/>
        <v>3</v>
      </c>
      <c r="I84" s="24">
        <f t="shared" si="13"/>
        <v>9</v>
      </c>
      <c r="J84" t="str">
        <f t="shared" si="11"/>
        <v>Прочие</v>
      </c>
      <c r="M84" s="3"/>
    </row>
    <row r="85" spans="1:13" x14ac:dyDescent="0.3">
      <c r="A85">
        <v>4040</v>
      </c>
      <c r="B85" s="13">
        <v>45196</v>
      </c>
      <c r="C85">
        <v>23</v>
      </c>
      <c r="D85" s="8">
        <v>2417.5704686340614</v>
      </c>
      <c r="E85" s="24">
        <f t="shared" si="12"/>
        <v>4</v>
      </c>
      <c r="F85" s="24">
        <f t="shared" si="8"/>
        <v>5</v>
      </c>
      <c r="G85" s="24">
        <f t="shared" si="9"/>
        <v>4</v>
      </c>
      <c r="H85" s="24">
        <f t="shared" si="10"/>
        <v>4</v>
      </c>
      <c r="I85" s="24">
        <f t="shared" si="13"/>
        <v>13</v>
      </c>
      <c r="J85" t="str">
        <f t="shared" si="11"/>
        <v>Чемпионы</v>
      </c>
      <c r="M85" s="3"/>
    </row>
    <row r="86" spans="1:13" x14ac:dyDescent="0.3">
      <c r="A86">
        <v>4041</v>
      </c>
      <c r="B86" s="13">
        <v>45192</v>
      </c>
      <c r="C86">
        <v>16</v>
      </c>
      <c r="D86" s="8">
        <v>1399.7160714285703</v>
      </c>
      <c r="E86" s="24">
        <f t="shared" si="12"/>
        <v>8</v>
      </c>
      <c r="F86" s="24">
        <f t="shared" si="8"/>
        <v>5</v>
      </c>
      <c r="G86" s="24">
        <f t="shared" si="9"/>
        <v>3</v>
      </c>
      <c r="H86" s="24">
        <f t="shared" si="10"/>
        <v>2</v>
      </c>
      <c r="I86" s="24">
        <f t="shared" si="13"/>
        <v>10</v>
      </c>
      <c r="J86" t="str">
        <f t="shared" si="11"/>
        <v>Прочие</v>
      </c>
      <c r="M86" s="3"/>
    </row>
    <row r="87" spans="1:13" x14ac:dyDescent="0.3">
      <c r="A87">
        <v>4042</v>
      </c>
      <c r="B87" s="13">
        <v>45172</v>
      </c>
      <c r="C87">
        <v>22</v>
      </c>
      <c r="D87" s="8">
        <v>2434.9844119036361</v>
      </c>
      <c r="E87" s="24">
        <f t="shared" si="12"/>
        <v>28</v>
      </c>
      <c r="F87" s="24">
        <f t="shared" si="8"/>
        <v>5</v>
      </c>
      <c r="G87" s="24">
        <f t="shared" si="9"/>
        <v>4</v>
      </c>
      <c r="H87" s="24">
        <f t="shared" si="10"/>
        <v>4</v>
      </c>
      <c r="I87" s="24">
        <f t="shared" si="13"/>
        <v>13</v>
      </c>
      <c r="J87" t="str">
        <f t="shared" si="11"/>
        <v>Чемпионы</v>
      </c>
      <c r="M87" s="3"/>
    </row>
    <row r="88" spans="1:13" x14ac:dyDescent="0.3">
      <c r="A88">
        <v>4043</v>
      </c>
      <c r="B88" s="13">
        <v>45194</v>
      </c>
      <c r="C88">
        <v>23</v>
      </c>
      <c r="D88" s="8">
        <v>2765.1747300778093</v>
      </c>
      <c r="E88" s="24">
        <f t="shared" si="12"/>
        <v>6</v>
      </c>
      <c r="F88" s="24">
        <f t="shared" si="8"/>
        <v>5</v>
      </c>
      <c r="G88" s="24">
        <f t="shared" si="9"/>
        <v>4</v>
      </c>
      <c r="H88" s="24">
        <f t="shared" si="10"/>
        <v>5</v>
      </c>
      <c r="I88" s="24">
        <f t="shared" si="13"/>
        <v>14</v>
      </c>
      <c r="J88" t="str">
        <f t="shared" si="11"/>
        <v>Чемпионы</v>
      </c>
      <c r="M88" s="3"/>
    </row>
    <row r="89" spans="1:13" x14ac:dyDescent="0.3">
      <c r="A89">
        <v>4044</v>
      </c>
      <c r="B89" s="13">
        <v>45162</v>
      </c>
      <c r="C89">
        <v>22</v>
      </c>
      <c r="D89" s="8">
        <v>2490.3051503603906</v>
      </c>
      <c r="E89" s="24">
        <f t="shared" si="12"/>
        <v>38</v>
      </c>
      <c r="F89" s="24">
        <f t="shared" si="8"/>
        <v>4</v>
      </c>
      <c r="G89" s="24">
        <f t="shared" si="9"/>
        <v>4</v>
      </c>
      <c r="H89" s="24">
        <f t="shared" si="10"/>
        <v>4</v>
      </c>
      <c r="I89" s="24">
        <f t="shared" si="13"/>
        <v>12</v>
      </c>
      <c r="J89" t="str">
        <f t="shared" si="11"/>
        <v>Чемпионы</v>
      </c>
      <c r="M89" s="3"/>
    </row>
    <row r="90" spans="1:13" x14ac:dyDescent="0.3">
      <c r="A90">
        <v>4045</v>
      </c>
      <c r="B90" s="13">
        <v>45170</v>
      </c>
      <c r="C90">
        <v>15</v>
      </c>
      <c r="D90" s="8">
        <v>1669.0714285714284</v>
      </c>
      <c r="E90" s="24">
        <f t="shared" si="12"/>
        <v>30</v>
      </c>
      <c r="F90" s="24">
        <f t="shared" si="8"/>
        <v>5</v>
      </c>
      <c r="G90" s="24">
        <f t="shared" si="9"/>
        <v>3</v>
      </c>
      <c r="H90" s="24">
        <f t="shared" si="10"/>
        <v>3</v>
      </c>
      <c r="I90" s="24">
        <f t="shared" si="13"/>
        <v>11</v>
      </c>
      <c r="J90" t="str">
        <f t="shared" si="11"/>
        <v>Прочие</v>
      </c>
      <c r="M90" s="3"/>
    </row>
    <row r="91" spans="1:13" x14ac:dyDescent="0.3">
      <c r="A91">
        <v>4046</v>
      </c>
      <c r="B91" s="13">
        <v>45189</v>
      </c>
      <c r="C91">
        <v>12</v>
      </c>
      <c r="D91" s="8">
        <v>1348.913893615595</v>
      </c>
      <c r="E91" s="24">
        <f t="shared" si="12"/>
        <v>11</v>
      </c>
      <c r="F91" s="24">
        <f t="shared" si="8"/>
        <v>5</v>
      </c>
      <c r="G91" s="24">
        <f t="shared" si="9"/>
        <v>2</v>
      </c>
      <c r="H91" s="24">
        <f t="shared" si="10"/>
        <v>2</v>
      </c>
      <c r="I91" s="24">
        <f t="shared" si="13"/>
        <v>9</v>
      </c>
      <c r="J91" t="str">
        <f t="shared" si="11"/>
        <v>Новые</v>
      </c>
      <c r="M91" s="3"/>
    </row>
    <row r="92" spans="1:13" x14ac:dyDescent="0.3">
      <c r="A92">
        <v>4047</v>
      </c>
      <c r="B92" s="13">
        <v>45164</v>
      </c>
      <c r="C92">
        <v>18</v>
      </c>
      <c r="D92" s="8">
        <v>1948.6470588235291</v>
      </c>
      <c r="E92" s="24">
        <f t="shared" si="12"/>
        <v>36</v>
      </c>
      <c r="F92" s="24">
        <f t="shared" si="8"/>
        <v>4</v>
      </c>
      <c r="G92" s="24">
        <f t="shared" si="9"/>
        <v>3</v>
      </c>
      <c r="H92" s="24">
        <f t="shared" si="10"/>
        <v>3</v>
      </c>
      <c r="I92" s="24">
        <f t="shared" si="13"/>
        <v>10</v>
      </c>
      <c r="J92" t="str">
        <f t="shared" si="11"/>
        <v>Прочие</v>
      </c>
      <c r="M92" s="3"/>
    </row>
    <row r="93" spans="1:13" x14ac:dyDescent="0.3">
      <c r="A93">
        <v>4048</v>
      </c>
      <c r="B93" s="13">
        <v>45166</v>
      </c>
      <c r="C93">
        <v>21</v>
      </c>
      <c r="D93" s="8">
        <v>2296.0561204263413</v>
      </c>
      <c r="E93" s="24">
        <f t="shared" si="12"/>
        <v>34</v>
      </c>
      <c r="F93" s="24">
        <f t="shared" si="8"/>
        <v>4</v>
      </c>
      <c r="G93" s="24">
        <f t="shared" si="9"/>
        <v>4</v>
      </c>
      <c r="H93" s="24">
        <f t="shared" si="10"/>
        <v>4</v>
      </c>
      <c r="I93" s="24">
        <f t="shared" si="13"/>
        <v>12</v>
      </c>
      <c r="J93" t="str">
        <f t="shared" si="11"/>
        <v>Чемпионы</v>
      </c>
      <c r="M93" s="3"/>
    </row>
    <row r="94" spans="1:13" x14ac:dyDescent="0.3">
      <c r="A94">
        <v>4049</v>
      </c>
      <c r="B94" s="13">
        <v>45197</v>
      </c>
      <c r="C94">
        <v>22</v>
      </c>
      <c r="D94" s="8">
        <v>2415.6321595558138</v>
      </c>
      <c r="E94" s="24">
        <f t="shared" si="12"/>
        <v>3</v>
      </c>
      <c r="F94" s="24">
        <f t="shared" si="8"/>
        <v>5</v>
      </c>
      <c r="G94" s="24">
        <f t="shared" si="9"/>
        <v>4</v>
      </c>
      <c r="H94" s="24">
        <f t="shared" si="10"/>
        <v>4</v>
      </c>
      <c r="I94" s="24">
        <f t="shared" si="13"/>
        <v>13</v>
      </c>
      <c r="J94" t="str">
        <f t="shared" si="11"/>
        <v>Чемпионы</v>
      </c>
      <c r="M94" s="3"/>
    </row>
    <row r="95" spans="1:13" x14ac:dyDescent="0.3">
      <c r="A95">
        <v>4050</v>
      </c>
      <c r="B95" s="13">
        <v>45133</v>
      </c>
      <c r="C95">
        <v>14</v>
      </c>
      <c r="D95" s="8">
        <v>1420.889359138492</v>
      </c>
      <c r="E95" s="24">
        <f t="shared" si="12"/>
        <v>67</v>
      </c>
      <c r="F95" s="24">
        <f t="shared" si="8"/>
        <v>3</v>
      </c>
      <c r="G95" s="24">
        <f t="shared" si="9"/>
        <v>2</v>
      </c>
      <c r="H95" s="24">
        <f t="shared" si="10"/>
        <v>2</v>
      </c>
      <c r="I95" s="24">
        <f t="shared" si="13"/>
        <v>7</v>
      </c>
      <c r="J95" t="str">
        <f t="shared" si="11"/>
        <v>Прочие</v>
      </c>
      <c r="M95" s="3"/>
    </row>
    <row r="96" spans="1:13" x14ac:dyDescent="0.3">
      <c r="A96">
        <v>4051</v>
      </c>
      <c r="B96" s="13">
        <v>45193</v>
      </c>
      <c r="C96">
        <v>26</v>
      </c>
      <c r="D96" s="8">
        <v>2615.8877161484716</v>
      </c>
      <c r="E96" s="24">
        <f t="shared" si="12"/>
        <v>7</v>
      </c>
      <c r="F96" s="24">
        <f t="shared" si="8"/>
        <v>5</v>
      </c>
      <c r="G96" s="24">
        <f t="shared" si="9"/>
        <v>5</v>
      </c>
      <c r="H96" s="24">
        <f t="shared" si="10"/>
        <v>5</v>
      </c>
      <c r="I96" s="24">
        <f t="shared" si="13"/>
        <v>15</v>
      </c>
      <c r="J96" t="str">
        <f t="shared" si="11"/>
        <v>Чемпионы</v>
      </c>
      <c r="M96" s="3"/>
    </row>
    <row r="97" spans="1:13" x14ac:dyDescent="0.3">
      <c r="A97">
        <v>4052</v>
      </c>
      <c r="B97" s="13">
        <v>45187</v>
      </c>
      <c r="C97">
        <v>21</v>
      </c>
      <c r="D97" s="8">
        <v>2358.5405138339911</v>
      </c>
      <c r="E97" s="24">
        <f t="shared" si="12"/>
        <v>13</v>
      </c>
      <c r="F97" s="24">
        <f t="shared" si="8"/>
        <v>5</v>
      </c>
      <c r="G97" s="24">
        <f t="shared" si="9"/>
        <v>4</v>
      </c>
      <c r="H97" s="24">
        <f t="shared" si="10"/>
        <v>4</v>
      </c>
      <c r="I97" s="24">
        <f t="shared" si="13"/>
        <v>13</v>
      </c>
      <c r="J97" t="str">
        <f t="shared" si="11"/>
        <v>Чемпионы</v>
      </c>
      <c r="M97" s="3"/>
    </row>
    <row r="98" spans="1:13" x14ac:dyDescent="0.3">
      <c r="A98">
        <v>4053</v>
      </c>
      <c r="B98" s="13">
        <v>45169</v>
      </c>
      <c r="C98">
        <v>17</v>
      </c>
      <c r="D98" s="8">
        <v>2283.6820140131167</v>
      </c>
      <c r="E98" s="24">
        <f t="shared" si="12"/>
        <v>31</v>
      </c>
      <c r="F98" s="24">
        <f t="shared" si="8"/>
        <v>4</v>
      </c>
      <c r="G98" s="24">
        <f t="shared" si="9"/>
        <v>3</v>
      </c>
      <c r="H98" s="24">
        <f t="shared" si="10"/>
        <v>4</v>
      </c>
      <c r="I98" s="24">
        <f t="shared" si="13"/>
        <v>11</v>
      </c>
      <c r="J98" t="str">
        <f t="shared" si="11"/>
        <v>Прочие</v>
      </c>
      <c r="M98" s="3"/>
    </row>
    <row r="99" spans="1:13" x14ac:dyDescent="0.3">
      <c r="A99">
        <v>4054</v>
      </c>
      <c r="B99" s="13">
        <v>45176</v>
      </c>
      <c r="C99">
        <v>19</v>
      </c>
      <c r="D99" s="8">
        <v>2347.1453710274172</v>
      </c>
      <c r="E99" s="24">
        <f t="shared" si="12"/>
        <v>24</v>
      </c>
      <c r="F99" s="24">
        <f t="shared" si="8"/>
        <v>5</v>
      </c>
      <c r="G99" s="24">
        <f t="shared" si="9"/>
        <v>3</v>
      </c>
      <c r="H99" s="24">
        <f t="shared" si="10"/>
        <v>4</v>
      </c>
      <c r="I99" s="24">
        <f t="shared" si="13"/>
        <v>12</v>
      </c>
      <c r="J99" t="str">
        <f t="shared" si="11"/>
        <v>Прочие</v>
      </c>
      <c r="M99" s="3"/>
    </row>
    <row r="100" spans="1:13" x14ac:dyDescent="0.3">
      <c r="A100">
        <v>4055</v>
      </c>
      <c r="B100" s="13">
        <v>45186</v>
      </c>
      <c r="C100">
        <v>17</v>
      </c>
      <c r="D100" s="8">
        <v>1892.517241379308</v>
      </c>
      <c r="E100" s="24">
        <f t="shared" si="12"/>
        <v>14</v>
      </c>
      <c r="F100" s="24">
        <f t="shared" si="8"/>
        <v>5</v>
      </c>
      <c r="G100" s="24">
        <f t="shared" si="9"/>
        <v>3</v>
      </c>
      <c r="H100" s="24">
        <f t="shared" si="10"/>
        <v>3</v>
      </c>
      <c r="I100" s="24">
        <f t="shared" si="13"/>
        <v>11</v>
      </c>
      <c r="J100" t="str">
        <f t="shared" si="11"/>
        <v>Прочие</v>
      </c>
      <c r="M100" s="3"/>
    </row>
    <row r="101" spans="1:13" x14ac:dyDescent="0.3">
      <c r="A101">
        <v>4056</v>
      </c>
      <c r="B101" s="13">
        <v>45199</v>
      </c>
      <c r="C101">
        <v>23</v>
      </c>
      <c r="D101" s="8">
        <v>2390.6055103983135</v>
      </c>
      <c r="E101" s="24">
        <f t="shared" si="12"/>
        <v>1</v>
      </c>
      <c r="F101" s="24">
        <f t="shared" si="8"/>
        <v>5</v>
      </c>
      <c r="G101" s="24">
        <f t="shared" si="9"/>
        <v>4</v>
      </c>
      <c r="H101" s="24">
        <f t="shared" si="10"/>
        <v>4</v>
      </c>
      <c r="I101" s="24">
        <f t="shared" si="13"/>
        <v>13</v>
      </c>
      <c r="J101" t="str">
        <f t="shared" si="11"/>
        <v>Чемпионы</v>
      </c>
      <c r="M101" s="3"/>
    </row>
    <row r="102" spans="1:13" x14ac:dyDescent="0.3">
      <c r="A102">
        <v>4057</v>
      </c>
      <c r="B102" s="13">
        <v>45197</v>
      </c>
      <c r="C102">
        <v>22</v>
      </c>
      <c r="D102" s="8">
        <v>2090.4716476421072</v>
      </c>
      <c r="E102" s="24">
        <f t="shared" si="12"/>
        <v>3</v>
      </c>
      <c r="F102" s="24">
        <f t="shared" si="8"/>
        <v>5</v>
      </c>
      <c r="G102" s="24">
        <f t="shared" si="9"/>
        <v>4</v>
      </c>
      <c r="H102" s="24">
        <f t="shared" si="10"/>
        <v>4</v>
      </c>
      <c r="I102" s="24">
        <f t="shared" si="13"/>
        <v>13</v>
      </c>
      <c r="J102" t="str">
        <f t="shared" si="11"/>
        <v>Чемпионы</v>
      </c>
      <c r="M102" s="3"/>
    </row>
    <row r="103" spans="1:13" x14ac:dyDescent="0.3">
      <c r="A103">
        <v>4058</v>
      </c>
      <c r="B103" s="13">
        <v>45193</v>
      </c>
      <c r="C103">
        <v>16</v>
      </c>
      <c r="D103" s="8">
        <v>1595.0128959276017</v>
      </c>
      <c r="E103" s="24">
        <f t="shared" si="12"/>
        <v>7</v>
      </c>
      <c r="F103" s="24">
        <f t="shared" si="8"/>
        <v>5</v>
      </c>
      <c r="G103" s="24">
        <f t="shared" si="9"/>
        <v>3</v>
      </c>
      <c r="H103" s="24">
        <f t="shared" si="10"/>
        <v>3</v>
      </c>
      <c r="I103" s="24">
        <f t="shared" si="13"/>
        <v>11</v>
      </c>
      <c r="J103" t="str">
        <f t="shared" si="11"/>
        <v>Прочие</v>
      </c>
      <c r="M103" s="3"/>
    </row>
    <row r="104" spans="1:13" x14ac:dyDescent="0.3">
      <c r="A104">
        <v>4059</v>
      </c>
      <c r="B104" s="13">
        <v>45199</v>
      </c>
      <c r="C104">
        <v>22</v>
      </c>
      <c r="D104" s="8">
        <v>2222.0611892342599</v>
      </c>
      <c r="E104" s="24">
        <f t="shared" si="12"/>
        <v>1</v>
      </c>
      <c r="F104" s="24">
        <f t="shared" si="8"/>
        <v>5</v>
      </c>
      <c r="G104" s="24">
        <f t="shared" si="9"/>
        <v>4</v>
      </c>
      <c r="H104" s="24">
        <f t="shared" si="10"/>
        <v>4</v>
      </c>
      <c r="I104" s="24">
        <f t="shared" si="13"/>
        <v>13</v>
      </c>
      <c r="J104" t="str">
        <f t="shared" si="11"/>
        <v>Чемпионы</v>
      </c>
      <c r="M104" s="3"/>
    </row>
    <row r="105" spans="1:13" x14ac:dyDescent="0.3">
      <c r="A105">
        <v>4060</v>
      </c>
      <c r="B105" s="13">
        <v>45195</v>
      </c>
      <c r="C105">
        <v>17</v>
      </c>
      <c r="D105" s="8">
        <v>1991.7205882352941</v>
      </c>
      <c r="E105" s="24">
        <f t="shared" si="12"/>
        <v>5</v>
      </c>
      <c r="F105" s="24">
        <f t="shared" si="8"/>
        <v>5</v>
      </c>
      <c r="G105" s="24">
        <f t="shared" si="9"/>
        <v>3</v>
      </c>
      <c r="H105" s="24">
        <f t="shared" si="10"/>
        <v>3</v>
      </c>
      <c r="I105" s="24">
        <f t="shared" si="13"/>
        <v>11</v>
      </c>
      <c r="J105" t="str">
        <f t="shared" si="11"/>
        <v>Прочие</v>
      </c>
      <c r="M105" s="3"/>
    </row>
    <row r="106" spans="1:13" x14ac:dyDescent="0.3">
      <c r="A106">
        <v>4061</v>
      </c>
      <c r="B106" s="13">
        <v>45137</v>
      </c>
      <c r="C106">
        <v>18</v>
      </c>
      <c r="D106" s="8">
        <v>1604.311003010999</v>
      </c>
      <c r="E106" s="24">
        <f t="shared" si="12"/>
        <v>63</v>
      </c>
      <c r="F106" s="24">
        <f t="shared" si="8"/>
        <v>3</v>
      </c>
      <c r="G106" s="24">
        <f t="shared" si="9"/>
        <v>3</v>
      </c>
      <c r="H106" s="24">
        <f t="shared" si="10"/>
        <v>3</v>
      </c>
      <c r="I106" s="24">
        <f t="shared" si="13"/>
        <v>9</v>
      </c>
      <c r="J106" t="str">
        <f t="shared" si="11"/>
        <v>Прочие</v>
      </c>
      <c r="M106" s="3"/>
    </row>
    <row r="107" spans="1:13" x14ac:dyDescent="0.3">
      <c r="A107">
        <v>4062</v>
      </c>
      <c r="B107" s="13">
        <v>45191</v>
      </c>
      <c r="C107">
        <v>22</v>
      </c>
      <c r="D107" s="8">
        <v>1891.9476202395838</v>
      </c>
      <c r="E107" s="24">
        <f t="shared" si="12"/>
        <v>9</v>
      </c>
      <c r="F107" s="24">
        <f t="shared" si="8"/>
        <v>5</v>
      </c>
      <c r="G107" s="24">
        <f t="shared" si="9"/>
        <v>4</v>
      </c>
      <c r="H107" s="24">
        <f t="shared" si="10"/>
        <v>3</v>
      </c>
      <c r="I107" s="24">
        <f t="shared" si="13"/>
        <v>12</v>
      </c>
      <c r="J107" t="str">
        <f t="shared" si="11"/>
        <v>Лояльные</v>
      </c>
      <c r="M107" s="3"/>
    </row>
    <row r="108" spans="1:13" x14ac:dyDescent="0.3">
      <c r="A108">
        <v>4063</v>
      </c>
      <c r="B108" s="13">
        <v>45197</v>
      </c>
      <c r="C108">
        <v>27</v>
      </c>
      <c r="D108" s="8">
        <v>2691.9616046981023</v>
      </c>
      <c r="E108" s="24">
        <f t="shared" si="12"/>
        <v>3</v>
      </c>
      <c r="F108" s="24">
        <f t="shared" si="8"/>
        <v>5</v>
      </c>
      <c r="G108" s="24">
        <f t="shared" si="9"/>
        <v>5</v>
      </c>
      <c r="H108" s="24">
        <f t="shared" si="10"/>
        <v>5</v>
      </c>
      <c r="I108" s="24">
        <f t="shared" si="13"/>
        <v>15</v>
      </c>
      <c r="J108" t="str">
        <f t="shared" si="11"/>
        <v>Чемпионы</v>
      </c>
      <c r="M108" s="3"/>
    </row>
    <row r="109" spans="1:13" x14ac:dyDescent="0.3">
      <c r="A109">
        <v>4064</v>
      </c>
      <c r="B109" s="13">
        <v>45185</v>
      </c>
      <c r="C109">
        <v>18</v>
      </c>
      <c r="D109" s="8">
        <v>1990.1805351428218</v>
      </c>
      <c r="E109" s="24">
        <f t="shared" si="12"/>
        <v>15</v>
      </c>
      <c r="F109" s="24">
        <f t="shared" si="8"/>
        <v>5</v>
      </c>
      <c r="G109" s="24">
        <f t="shared" si="9"/>
        <v>3</v>
      </c>
      <c r="H109" s="24">
        <f t="shared" si="10"/>
        <v>3</v>
      </c>
      <c r="I109" s="24">
        <f t="shared" si="13"/>
        <v>11</v>
      </c>
      <c r="J109" t="str">
        <f t="shared" si="11"/>
        <v>Прочие</v>
      </c>
      <c r="M109" s="3"/>
    </row>
    <row r="110" spans="1:13" x14ac:dyDescent="0.3">
      <c r="A110">
        <v>4065</v>
      </c>
      <c r="B110" s="13">
        <v>45194</v>
      </c>
      <c r="C110">
        <v>29</v>
      </c>
      <c r="D110" s="8">
        <v>3374.475460047538</v>
      </c>
      <c r="E110" s="24">
        <f t="shared" si="12"/>
        <v>6</v>
      </c>
      <c r="F110" s="24">
        <f t="shared" si="8"/>
        <v>5</v>
      </c>
      <c r="G110" s="24">
        <f t="shared" si="9"/>
        <v>5</v>
      </c>
      <c r="H110" s="24">
        <f t="shared" si="10"/>
        <v>5</v>
      </c>
      <c r="I110" s="24">
        <f t="shared" si="13"/>
        <v>15</v>
      </c>
      <c r="J110" t="str">
        <f t="shared" si="11"/>
        <v>Чемпионы</v>
      </c>
      <c r="M110" s="3"/>
    </row>
    <row r="111" spans="1:13" x14ac:dyDescent="0.3">
      <c r="A111">
        <v>4066</v>
      </c>
      <c r="B111" s="13">
        <v>45191</v>
      </c>
      <c r="C111">
        <v>18</v>
      </c>
      <c r="D111" s="8">
        <v>1824.936751435218</v>
      </c>
      <c r="E111" s="24">
        <f t="shared" si="12"/>
        <v>9</v>
      </c>
      <c r="F111" s="24">
        <f t="shared" si="8"/>
        <v>5</v>
      </c>
      <c r="G111" s="24">
        <f t="shared" si="9"/>
        <v>3</v>
      </c>
      <c r="H111" s="24">
        <f t="shared" si="10"/>
        <v>3</v>
      </c>
      <c r="I111" s="24">
        <f t="shared" si="13"/>
        <v>11</v>
      </c>
      <c r="J111" t="str">
        <f t="shared" si="11"/>
        <v>Прочие</v>
      </c>
      <c r="M111" s="3"/>
    </row>
    <row r="112" spans="1:13" x14ac:dyDescent="0.3">
      <c r="A112">
        <v>4067</v>
      </c>
      <c r="B112" s="13">
        <v>45186</v>
      </c>
      <c r="C112">
        <v>20</v>
      </c>
      <c r="D112" s="8">
        <v>2227.1724137931033</v>
      </c>
      <c r="E112" s="24">
        <f t="shared" si="12"/>
        <v>14</v>
      </c>
      <c r="F112" s="24">
        <f t="shared" si="8"/>
        <v>5</v>
      </c>
      <c r="G112" s="24">
        <f t="shared" si="9"/>
        <v>4</v>
      </c>
      <c r="H112" s="24">
        <f t="shared" si="10"/>
        <v>4</v>
      </c>
      <c r="I112" s="24">
        <f t="shared" si="13"/>
        <v>13</v>
      </c>
      <c r="J112" t="str">
        <f t="shared" si="11"/>
        <v>Чемпионы</v>
      </c>
      <c r="M112" s="3"/>
    </row>
    <row r="113" spans="1:13" x14ac:dyDescent="0.3">
      <c r="A113">
        <v>4068</v>
      </c>
      <c r="B113" s="13">
        <v>45183</v>
      </c>
      <c r="C113">
        <v>25</v>
      </c>
      <c r="D113" s="8">
        <v>2425.6230505466729</v>
      </c>
      <c r="E113" s="24">
        <f t="shared" si="12"/>
        <v>17</v>
      </c>
      <c r="F113" s="24">
        <f t="shared" si="8"/>
        <v>5</v>
      </c>
      <c r="G113" s="24">
        <f t="shared" si="9"/>
        <v>5</v>
      </c>
      <c r="H113" s="24">
        <f t="shared" si="10"/>
        <v>4</v>
      </c>
      <c r="I113" s="24">
        <f t="shared" si="13"/>
        <v>14</v>
      </c>
      <c r="J113" t="str">
        <f t="shared" si="11"/>
        <v>Чемпионы</v>
      </c>
      <c r="M113" s="3"/>
    </row>
    <row r="114" spans="1:13" x14ac:dyDescent="0.3">
      <c r="A114">
        <v>4069</v>
      </c>
      <c r="B114" s="13">
        <v>45143</v>
      </c>
      <c r="C114">
        <v>19</v>
      </c>
      <c r="D114" s="8">
        <v>1590.4866236939647</v>
      </c>
      <c r="E114" s="24">
        <f t="shared" si="12"/>
        <v>57</v>
      </c>
      <c r="F114" s="24">
        <f t="shared" si="8"/>
        <v>4</v>
      </c>
      <c r="G114" s="24">
        <f t="shared" si="9"/>
        <v>3</v>
      </c>
      <c r="H114" s="24">
        <f t="shared" si="10"/>
        <v>3</v>
      </c>
      <c r="I114" s="24">
        <f t="shared" si="13"/>
        <v>10</v>
      </c>
      <c r="J114" t="str">
        <f t="shared" si="11"/>
        <v>Прочие</v>
      </c>
      <c r="M114" s="3"/>
    </row>
    <row r="115" spans="1:13" x14ac:dyDescent="0.3">
      <c r="A115">
        <v>4070</v>
      </c>
      <c r="B115" s="13">
        <v>45174</v>
      </c>
      <c r="C115">
        <v>27</v>
      </c>
      <c r="D115" s="8">
        <v>2811.9139846471689</v>
      </c>
      <c r="E115" s="24">
        <f t="shared" si="12"/>
        <v>26</v>
      </c>
      <c r="F115" s="24">
        <f t="shared" si="8"/>
        <v>5</v>
      </c>
      <c r="G115" s="24">
        <f t="shared" si="9"/>
        <v>5</v>
      </c>
      <c r="H115" s="24">
        <f t="shared" si="10"/>
        <v>5</v>
      </c>
      <c r="I115" s="24">
        <f t="shared" si="13"/>
        <v>15</v>
      </c>
      <c r="J115" t="str">
        <f t="shared" si="11"/>
        <v>Чемпионы</v>
      </c>
      <c r="M115" s="3"/>
    </row>
    <row r="116" spans="1:13" x14ac:dyDescent="0.3">
      <c r="A116">
        <v>4071</v>
      </c>
      <c r="B116" s="13">
        <v>45161</v>
      </c>
      <c r="C116">
        <v>19</v>
      </c>
      <c r="D116" s="8">
        <v>2348.299625824453</v>
      </c>
      <c r="E116" s="24">
        <f t="shared" si="12"/>
        <v>39</v>
      </c>
      <c r="F116" s="24">
        <f t="shared" si="8"/>
        <v>4</v>
      </c>
      <c r="G116" s="24">
        <f t="shared" si="9"/>
        <v>3</v>
      </c>
      <c r="H116" s="24">
        <f t="shared" si="10"/>
        <v>4</v>
      </c>
      <c r="I116" s="24">
        <f t="shared" si="13"/>
        <v>11</v>
      </c>
      <c r="J116" t="str">
        <f t="shared" si="11"/>
        <v>Прочие</v>
      </c>
      <c r="M116" s="3"/>
    </row>
    <row r="117" spans="1:13" x14ac:dyDescent="0.3">
      <c r="A117">
        <v>4072</v>
      </c>
      <c r="B117" s="13">
        <v>45191</v>
      </c>
      <c r="C117">
        <v>22</v>
      </c>
      <c r="D117" s="8">
        <v>2409.8345407444949</v>
      </c>
      <c r="E117" s="24">
        <f t="shared" si="12"/>
        <v>9</v>
      </c>
      <c r="F117" s="24">
        <f t="shared" si="8"/>
        <v>5</v>
      </c>
      <c r="G117" s="24">
        <f t="shared" si="9"/>
        <v>4</v>
      </c>
      <c r="H117" s="24">
        <f t="shared" si="10"/>
        <v>4</v>
      </c>
      <c r="I117" s="24">
        <f t="shared" si="13"/>
        <v>13</v>
      </c>
      <c r="J117" t="str">
        <f t="shared" si="11"/>
        <v>Чемпионы</v>
      </c>
      <c r="M117" s="3"/>
    </row>
    <row r="118" spans="1:13" x14ac:dyDescent="0.3">
      <c r="A118">
        <v>4073</v>
      </c>
      <c r="B118" s="13">
        <v>45199</v>
      </c>
      <c r="C118">
        <v>26</v>
      </c>
      <c r="D118" s="8">
        <v>2848.3669159189094</v>
      </c>
      <c r="E118" s="24">
        <f t="shared" si="12"/>
        <v>1</v>
      </c>
      <c r="F118" s="24">
        <f t="shared" si="8"/>
        <v>5</v>
      </c>
      <c r="G118" s="24">
        <f t="shared" si="9"/>
        <v>5</v>
      </c>
      <c r="H118" s="24">
        <f t="shared" si="10"/>
        <v>5</v>
      </c>
      <c r="I118" s="24">
        <f t="shared" si="13"/>
        <v>15</v>
      </c>
      <c r="J118" t="str">
        <f t="shared" si="11"/>
        <v>Чемпионы</v>
      </c>
      <c r="M118" s="3"/>
    </row>
    <row r="119" spans="1:13" x14ac:dyDescent="0.3">
      <c r="A119">
        <v>4074</v>
      </c>
      <c r="B119" s="13">
        <v>45191</v>
      </c>
      <c r="C119">
        <v>24</v>
      </c>
      <c r="D119" s="8">
        <v>2421.3070812807855</v>
      </c>
      <c r="E119" s="24">
        <f t="shared" si="12"/>
        <v>9</v>
      </c>
      <c r="F119" s="24">
        <f t="shared" si="8"/>
        <v>5</v>
      </c>
      <c r="G119" s="24">
        <f t="shared" si="9"/>
        <v>4</v>
      </c>
      <c r="H119" s="24">
        <f t="shared" si="10"/>
        <v>4</v>
      </c>
      <c r="I119" s="24">
        <f t="shared" si="13"/>
        <v>13</v>
      </c>
      <c r="J119" t="str">
        <f t="shared" si="11"/>
        <v>Чемпионы</v>
      </c>
      <c r="M119" s="3"/>
    </row>
    <row r="120" spans="1:13" x14ac:dyDescent="0.3">
      <c r="A120">
        <v>4075</v>
      </c>
      <c r="B120" s="13">
        <v>45194</v>
      </c>
      <c r="C120">
        <v>27</v>
      </c>
      <c r="D120" s="8">
        <v>3066.5073880921332</v>
      </c>
      <c r="E120" s="24">
        <f t="shared" si="12"/>
        <v>6</v>
      </c>
      <c r="F120" s="24">
        <f t="shared" si="8"/>
        <v>5</v>
      </c>
      <c r="G120" s="24">
        <f t="shared" si="9"/>
        <v>5</v>
      </c>
      <c r="H120" s="24">
        <f t="shared" si="10"/>
        <v>5</v>
      </c>
      <c r="I120" s="24">
        <f t="shared" si="13"/>
        <v>15</v>
      </c>
      <c r="J120" t="str">
        <f t="shared" si="11"/>
        <v>Чемпионы</v>
      </c>
      <c r="M120" s="3"/>
    </row>
    <row r="121" spans="1:13" x14ac:dyDescent="0.3">
      <c r="A121">
        <v>4076</v>
      </c>
      <c r="B121" s="13">
        <v>45107</v>
      </c>
      <c r="C121">
        <v>17</v>
      </c>
      <c r="D121" s="8">
        <v>1587.6394149093228</v>
      </c>
      <c r="E121" s="24">
        <f t="shared" si="12"/>
        <v>93</v>
      </c>
      <c r="F121" s="24">
        <f t="shared" si="8"/>
        <v>2</v>
      </c>
      <c r="G121" s="24">
        <f t="shared" si="9"/>
        <v>3</v>
      </c>
      <c r="H121" s="24">
        <f t="shared" si="10"/>
        <v>3</v>
      </c>
      <c r="I121" s="24">
        <f t="shared" si="13"/>
        <v>8</v>
      </c>
      <c r="J121" t="str">
        <f t="shared" si="11"/>
        <v>Прочие</v>
      </c>
      <c r="M121" s="3"/>
    </row>
    <row r="122" spans="1:13" x14ac:dyDescent="0.3">
      <c r="A122">
        <v>4077</v>
      </c>
      <c r="B122" s="13">
        <v>45172</v>
      </c>
      <c r="C122">
        <v>22</v>
      </c>
      <c r="D122" s="8">
        <v>2700.399877414814</v>
      </c>
      <c r="E122" s="24">
        <f t="shared" si="12"/>
        <v>28</v>
      </c>
      <c r="F122" s="24">
        <f t="shared" si="8"/>
        <v>5</v>
      </c>
      <c r="G122" s="24">
        <f t="shared" si="9"/>
        <v>4</v>
      </c>
      <c r="H122" s="24">
        <f t="shared" si="10"/>
        <v>5</v>
      </c>
      <c r="I122" s="24">
        <f t="shared" si="13"/>
        <v>14</v>
      </c>
      <c r="J122" t="str">
        <f t="shared" si="11"/>
        <v>Чемпионы</v>
      </c>
      <c r="M122" s="3"/>
    </row>
    <row r="123" spans="1:13" x14ac:dyDescent="0.3">
      <c r="A123">
        <v>4078</v>
      </c>
      <c r="B123" s="13">
        <v>45195</v>
      </c>
      <c r="C123">
        <v>34</v>
      </c>
      <c r="D123" s="8">
        <v>3690.6961836428363</v>
      </c>
      <c r="E123" s="24">
        <f t="shared" si="12"/>
        <v>5</v>
      </c>
      <c r="F123" s="24">
        <f t="shared" si="8"/>
        <v>5</v>
      </c>
      <c r="G123" s="24">
        <f t="shared" si="9"/>
        <v>5</v>
      </c>
      <c r="H123" s="24">
        <f t="shared" si="10"/>
        <v>5</v>
      </c>
      <c r="I123" s="24">
        <f t="shared" si="13"/>
        <v>15</v>
      </c>
      <c r="J123" t="str">
        <f t="shared" si="11"/>
        <v>Чемпионы</v>
      </c>
      <c r="M123" s="3"/>
    </row>
    <row r="124" spans="1:13" x14ac:dyDescent="0.3">
      <c r="A124">
        <v>4079</v>
      </c>
      <c r="B124" s="13">
        <v>45183</v>
      </c>
      <c r="C124">
        <v>12</v>
      </c>
      <c r="D124" s="8">
        <v>1440.8553156813302</v>
      </c>
      <c r="E124" s="24">
        <f t="shared" si="12"/>
        <v>17</v>
      </c>
      <c r="F124" s="24">
        <f t="shared" si="8"/>
        <v>5</v>
      </c>
      <c r="G124" s="24">
        <f t="shared" si="9"/>
        <v>2</v>
      </c>
      <c r="H124" s="24">
        <f t="shared" si="10"/>
        <v>2</v>
      </c>
      <c r="I124" s="24">
        <f t="shared" si="13"/>
        <v>9</v>
      </c>
      <c r="J124" t="str">
        <f t="shared" si="11"/>
        <v>Новые</v>
      </c>
      <c r="M124" s="3"/>
    </row>
    <row r="125" spans="1:13" x14ac:dyDescent="0.3">
      <c r="A125">
        <v>4080</v>
      </c>
      <c r="B125" s="13">
        <v>45191</v>
      </c>
      <c r="C125">
        <v>14</v>
      </c>
      <c r="D125" s="8">
        <v>1574.3541666666661</v>
      </c>
      <c r="E125" s="24">
        <f t="shared" si="12"/>
        <v>9</v>
      </c>
      <c r="F125" s="24">
        <f t="shared" si="8"/>
        <v>5</v>
      </c>
      <c r="G125" s="24">
        <f t="shared" si="9"/>
        <v>2</v>
      </c>
      <c r="H125" s="24">
        <f t="shared" si="10"/>
        <v>3</v>
      </c>
      <c r="I125" s="24">
        <f t="shared" si="13"/>
        <v>10</v>
      </c>
      <c r="J125" t="str">
        <f t="shared" si="11"/>
        <v>Новые</v>
      </c>
      <c r="M125" s="3"/>
    </row>
    <row r="126" spans="1:13" x14ac:dyDescent="0.3">
      <c r="A126">
        <v>4081</v>
      </c>
      <c r="B126" s="13">
        <v>45191</v>
      </c>
      <c r="C126">
        <v>24</v>
      </c>
      <c r="D126" s="8">
        <v>2504.292307692308</v>
      </c>
      <c r="E126" s="24">
        <f t="shared" si="12"/>
        <v>9</v>
      </c>
      <c r="F126" s="24">
        <f t="shared" si="8"/>
        <v>5</v>
      </c>
      <c r="G126" s="24">
        <f t="shared" si="9"/>
        <v>4</v>
      </c>
      <c r="H126" s="24">
        <f t="shared" si="10"/>
        <v>5</v>
      </c>
      <c r="I126" s="24">
        <f t="shared" si="13"/>
        <v>14</v>
      </c>
      <c r="J126" t="str">
        <f t="shared" si="11"/>
        <v>Чемпионы</v>
      </c>
      <c r="M126" s="3"/>
    </row>
    <row r="127" spans="1:13" x14ac:dyDescent="0.3">
      <c r="A127">
        <v>4082</v>
      </c>
      <c r="B127" s="13">
        <v>45183</v>
      </c>
      <c r="C127">
        <v>28</v>
      </c>
      <c r="D127" s="8">
        <v>3454.3155704189498</v>
      </c>
      <c r="E127" s="24">
        <f t="shared" si="12"/>
        <v>17</v>
      </c>
      <c r="F127" s="24">
        <f t="shared" si="8"/>
        <v>5</v>
      </c>
      <c r="G127" s="24">
        <f t="shared" si="9"/>
        <v>5</v>
      </c>
      <c r="H127" s="24">
        <f t="shared" si="10"/>
        <v>5</v>
      </c>
      <c r="I127" s="24">
        <f t="shared" si="13"/>
        <v>15</v>
      </c>
      <c r="J127" t="str">
        <f t="shared" si="11"/>
        <v>Чемпионы</v>
      </c>
      <c r="M127" s="3"/>
    </row>
    <row r="128" spans="1:13" x14ac:dyDescent="0.3">
      <c r="A128">
        <v>4083</v>
      </c>
      <c r="B128" s="13">
        <v>45177</v>
      </c>
      <c r="C128">
        <v>25</v>
      </c>
      <c r="D128" s="8">
        <v>2621.2909769741673</v>
      </c>
      <c r="E128" s="24">
        <f t="shared" si="12"/>
        <v>23</v>
      </c>
      <c r="F128" s="24">
        <f t="shared" si="8"/>
        <v>5</v>
      </c>
      <c r="G128" s="24">
        <f t="shared" si="9"/>
        <v>5</v>
      </c>
      <c r="H128" s="24">
        <f t="shared" si="10"/>
        <v>5</v>
      </c>
      <c r="I128" s="24">
        <f t="shared" si="13"/>
        <v>15</v>
      </c>
      <c r="J128" t="str">
        <f t="shared" si="11"/>
        <v>Чемпионы</v>
      </c>
      <c r="M128" s="3"/>
    </row>
    <row r="129" spans="1:13" x14ac:dyDescent="0.3">
      <c r="A129">
        <v>4084</v>
      </c>
      <c r="B129" s="13">
        <v>45169</v>
      </c>
      <c r="C129">
        <v>24</v>
      </c>
      <c r="D129" s="8">
        <v>2602.8108708995424</v>
      </c>
      <c r="E129" s="24">
        <f t="shared" si="12"/>
        <v>31</v>
      </c>
      <c r="F129" s="24">
        <f t="shared" si="8"/>
        <v>4</v>
      </c>
      <c r="G129" s="24">
        <f t="shared" si="9"/>
        <v>4</v>
      </c>
      <c r="H129" s="24">
        <f t="shared" si="10"/>
        <v>5</v>
      </c>
      <c r="I129" s="24">
        <f t="shared" si="13"/>
        <v>13</v>
      </c>
      <c r="J129" t="str">
        <f t="shared" si="11"/>
        <v>Чемпионы</v>
      </c>
      <c r="M129" s="3"/>
    </row>
    <row r="130" spans="1:13" x14ac:dyDescent="0.3">
      <c r="A130">
        <v>4085</v>
      </c>
      <c r="B130" s="13">
        <v>45167</v>
      </c>
      <c r="C130">
        <v>15</v>
      </c>
      <c r="D130" s="8">
        <v>1526.2222222222219</v>
      </c>
      <c r="E130" s="24">
        <f t="shared" si="12"/>
        <v>33</v>
      </c>
      <c r="F130" s="24">
        <f t="shared" si="8"/>
        <v>4</v>
      </c>
      <c r="G130" s="24">
        <f t="shared" si="9"/>
        <v>3</v>
      </c>
      <c r="H130" s="24">
        <f t="shared" si="10"/>
        <v>3</v>
      </c>
      <c r="I130" s="24">
        <f t="shared" si="13"/>
        <v>10</v>
      </c>
      <c r="J130" t="str">
        <f t="shared" si="11"/>
        <v>Прочие</v>
      </c>
      <c r="M130" s="3"/>
    </row>
    <row r="131" spans="1:13" x14ac:dyDescent="0.3">
      <c r="A131">
        <v>4086</v>
      </c>
      <c r="B131" s="13">
        <v>45176</v>
      </c>
      <c r="C131">
        <v>24</v>
      </c>
      <c r="D131" s="8">
        <v>2495.8917422490586</v>
      </c>
      <c r="E131" s="24">
        <f t="shared" si="12"/>
        <v>24</v>
      </c>
      <c r="F131" s="24">
        <f t="shared" ref="F131:F168" si="14">IF(E131&lt;=30,5,IF(E131&lt;=60,4,IF(E131&lt;=90,3,IF(E131&lt;=180,2,1))))</f>
        <v>5</v>
      </c>
      <c r="G131" s="24">
        <f t="shared" ref="G131:G168" si="15">IF(C131&gt;=25,5,IF(C131&gt;=20,4,IF(C131&gt;=15,3,IF(C131&gt;=10,2,1))))</f>
        <v>4</v>
      </c>
      <c r="H131" s="24">
        <f t="shared" ref="H131:H168" si="16">IF(D131&gt;=2500,5,IF(D131&gt;=2000,4,IF(D131&gt;=1500,3,IF(D131&gt;=1000,2,1))))</f>
        <v>4</v>
      </c>
      <c r="I131" s="24">
        <f t="shared" si="13"/>
        <v>13</v>
      </c>
      <c r="J131" t="str">
        <f t="shared" ref="J131:J168" si="17">IF(AND(F131&gt;=4,G131&gt;=4,H131&gt;=4),"Чемпионы",IF(AND(F131&gt;=3,G131&gt;=4),"Лояльные",IF(AND(F131&gt;=4,G131&lt;=2),"Новые",IF(AND(F131&lt;=2,G131&gt;=4),"В зоне риска",IF(AND(F131&lt;=2,G131&lt;=2),"Потерянные","Прочие")))))</f>
        <v>Чемпионы</v>
      </c>
      <c r="M131" s="3"/>
    </row>
    <row r="132" spans="1:13" x14ac:dyDescent="0.3">
      <c r="A132">
        <v>4087</v>
      </c>
      <c r="B132" s="13">
        <v>45177</v>
      </c>
      <c r="C132">
        <v>13</v>
      </c>
      <c r="D132" s="8">
        <v>1432.2376002142496</v>
      </c>
      <c r="E132" s="24">
        <f t="shared" si="12"/>
        <v>23</v>
      </c>
      <c r="F132" s="24">
        <f t="shared" si="14"/>
        <v>5</v>
      </c>
      <c r="G132" s="24">
        <f t="shared" si="15"/>
        <v>2</v>
      </c>
      <c r="H132" s="24">
        <f t="shared" si="16"/>
        <v>2</v>
      </c>
      <c r="I132" s="24">
        <f t="shared" si="13"/>
        <v>9</v>
      </c>
      <c r="J132" t="str">
        <f t="shared" si="17"/>
        <v>Новые</v>
      </c>
      <c r="M132" s="3"/>
    </row>
    <row r="133" spans="1:13" x14ac:dyDescent="0.3">
      <c r="A133">
        <v>4088</v>
      </c>
      <c r="B133" s="13">
        <v>45194</v>
      </c>
      <c r="C133">
        <v>22</v>
      </c>
      <c r="D133" s="8">
        <v>2414.6168256967389</v>
      </c>
      <c r="E133" s="24">
        <f t="shared" si="12"/>
        <v>6</v>
      </c>
      <c r="F133" s="24">
        <f t="shared" si="14"/>
        <v>5</v>
      </c>
      <c r="G133" s="24">
        <f t="shared" si="15"/>
        <v>4</v>
      </c>
      <c r="H133" s="24">
        <f t="shared" si="16"/>
        <v>4</v>
      </c>
      <c r="I133" s="24">
        <f t="shared" si="13"/>
        <v>13</v>
      </c>
      <c r="J133" t="str">
        <f t="shared" si="17"/>
        <v>Чемпионы</v>
      </c>
      <c r="M133" s="3"/>
    </row>
    <row r="134" spans="1:13" x14ac:dyDescent="0.3">
      <c r="A134">
        <v>4089</v>
      </c>
      <c r="B134" s="13">
        <v>45172</v>
      </c>
      <c r="C134">
        <v>17</v>
      </c>
      <c r="D134" s="8">
        <v>1982.5063557241606</v>
      </c>
      <c r="E134" s="24">
        <f t="shared" ref="E134:E168" si="18">DATE(2023,10,1)-B134</f>
        <v>28</v>
      </c>
      <c r="F134" s="24">
        <f t="shared" si="14"/>
        <v>5</v>
      </c>
      <c r="G134" s="24">
        <f t="shared" si="15"/>
        <v>3</v>
      </c>
      <c r="H134" s="24">
        <f t="shared" si="16"/>
        <v>3</v>
      </c>
      <c r="I134" s="24">
        <f t="shared" ref="I134:I168" si="19">F134+G134+H134</f>
        <v>11</v>
      </c>
      <c r="J134" t="str">
        <f t="shared" si="17"/>
        <v>Прочие</v>
      </c>
      <c r="M134" s="3"/>
    </row>
    <row r="135" spans="1:13" x14ac:dyDescent="0.3">
      <c r="A135">
        <v>4090</v>
      </c>
      <c r="B135" s="13">
        <v>45198</v>
      </c>
      <c r="C135">
        <v>23</v>
      </c>
      <c r="D135" s="8">
        <v>2290.4375722734312</v>
      </c>
      <c r="E135" s="24">
        <f t="shared" si="18"/>
        <v>2</v>
      </c>
      <c r="F135" s="24">
        <f t="shared" si="14"/>
        <v>5</v>
      </c>
      <c r="G135" s="24">
        <f t="shared" si="15"/>
        <v>4</v>
      </c>
      <c r="H135" s="24">
        <f t="shared" si="16"/>
        <v>4</v>
      </c>
      <c r="I135" s="24">
        <f t="shared" si="19"/>
        <v>13</v>
      </c>
      <c r="J135" t="str">
        <f t="shared" si="17"/>
        <v>Чемпионы</v>
      </c>
      <c r="M135" s="3"/>
    </row>
    <row r="136" spans="1:13" x14ac:dyDescent="0.3">
      <c r="A136">
        <v>4091</v>
      </c>
      <c r="B136" s="13">
        <v>45157</v>
      </c>
      <c r="C136">
        <v>16</v>
      </c>
      <c r="D136" s="8">
        <v>1873.5733489187605</v>
      </c>
      <c r="E136" s="24">
        <f t="shared" si="18"/>
        <v>43</v>
      </c>
      <c r="F136" s="24">
        <f t="shared" si="14"/>
        <v>4</v>
      </c>
      <c r="G136" s="24">
        <f t="shared" si="15"/>
        <v>3</v>
      </c>
      <c r="H136" s="24">
        <f t="shared" si="16"/>
        <v>3</v>
      </c>
      <c r="I136" s="24">
        <f t="shared" si="19"/>
        <v>10</v>
      </c>
      <c r="J136" t="str">
        <f t="shared" si="17"/>
        <v>Прочие</v>
      </c>
      <c r="M136" s="3"/>
    </row>
    <row r="137" spans="1:13" x14ac:dyDescent="0.3">
      <c r="A137">
        <v>4092</v>
      </c>
      <c r="B137" s="13">
        <v>45175</v>
      </c>
      <c r="C137">
        <v>16</v>
      </c>
      <c r="D137" s="8">
        <v>2037.7205882352941</v>
      </c>
      <c r="E137" s="24">
        <f t="shared" si="18"/>
        <v>25</v>
      </c>
      <c r="F137" s="24">
        <f t="shared" si="14"/>
        <v>5</v>
      </c>
      <c r="G137" s="24">
        <f t="shared" si="15"/>
        <v>3</v>
      </c>
      <c r="H137" s="24">
        <f t="shared" si="16"/>
        <v>4</v>
      </c>
      <c r="I137" s="24">
        <f t="shared" si="19"/>
        <v>12</v>
      </c>
      <c r="J137" t="str">
        <f t="shared" si="17"/>
        <v>Прочие</v>
      </c>
      <c r="M137" s="3"/>
    </row>
    <row r="138" spans="1:13" x14ac:dyDescent="0.3">
      <c r="A138">
        <v>4093</v>
      </c>
      <c r="B138" s="13">
        <v>45193</v>
      </c>
      <c r="C138">
        <v>25</v>
      </c>
      <c r="D138" s="8">
        <v>2532.9319144577735</v>
      </c>
      <c r="E138" s="24">
        <f t="shared" si="18"/>
        <v>7</v>
      </c>
      <c r="F138" s="24">
        <f t="shared" si="14"/>
        <v>5</v>
      </c>
      <c r="G138" s="24">
        <f t="shared" si="15"/>
        <v>5</v>
      </c>
      <c r="H138" s="24">
        <f t="shared" si="16"/>
        <v>5</v>
      </c>
      <c r="I138" s="24">
        <f t="shared" si="19"/>
        <v>15</v>
      </c>
      <c r="J138" t="str">
        <f t="shared" si="17"/>
        <v>Чемпионы</v>
      </c>
      <c r="M138" s="3"/>
    </row>
    <row r="139" spans="1:13" x14ac:dyDescent="0.3">
      <c r="A139">
        <v>4094</v>
      </c>
      <c r="B139" s="13">
        <v>45157</v>
      </c>
      <c r="C139">
        <v>18</v>
      </c>
      <c r="D139" s="8">
        <v>2011.118181818181</v>
      </c>
      <c r="E139" s="24">
        <f t="shared" si="18"/>
        <v>43</v>
      </c>
      <c r="F139" s="24">
        <f t="shared" si="14"/>
        <v>4</v>
      </c>
      <c r="G139" s="24">
        <f t="shared" si="15"/>
        <v>3</v>
      </c>
      <c r="H139" s="24">
        <f t="shared" si="16"/>
        <v>4</v>
      </c>
      <c r="I139" s="24">
        <f t="shared" si="19"/>
        <v>11</v>
      </c>
      <c r="J139" t="str">
        <f t="shared" si="17"/>
        <v>Прочие</v>
      </c>
      <c r="M139" s="3"/>
    </row>
    <row r="140" spans="1:13" x14ac:dyDescent="0.3">
      <c r="A140">
        <v>4095</v>
      </c>
      <c r="B140" s="13">
        <v>45188</v>
      </c>
      <c r="C140">
        <v>21</v>
      </c>
      <c r="D140" s="8">
        <v>1943.7962949962082</v>
      </c>
      <c r="E140" s="24">
        <f t="shared" si="18"/>
        <v>12</v>
      </c>
      <c r="F140" s="24">
        <f t="shared" si="14"/>
        <v>5</v>
      </c>
      <c r="G140" s="24">
        <f t="shared" si="15"/>
        <v>4</v>
      </c>
      <c r="H140" s="24">
        <f t="shared" si="16"/>
        <v>3</v>
      </c>
      <c r="I140" s="24">
        <f t="shared" si="19"/>
        <v>12</v>
      </c>
      <c r="J140" t="str">
        <f t="shared" si="17"/>
        <v>Лояльные</v>
      </c>
      <c r="M140" s="3"/>
    </row>
    <row r="141" spans="1:13" x14ac:dyDescent="0.3">
      <c r="A141">
        <v>4096</v>
      </c>
      <c r="B141" s="13">
        <v>45199</v>
      </c>
      <c r="C141">
        <v>11</v>
      </c>
      <c r="D141" s="8">
        <v>1113.6716886377899</v>
      </c>
      <c r="E141" s="24">
        <f t="shared" si="18"/>
        <v>1</v>
      </c>
      <c r="F141" s="24">
        <f t="shared" si="14"/>
        <v>5</v>
      </c>
      <c r="G141" s="24">
        <f t="shared" si="15"/>
        <v>2</v>
      </c>
      <c r="H141" s="24">
        <f t="shared" si="16"/>
        <v>2</v>
      </c>
      <c r="I141" s="24">
        <f t="shared" si="19"/>
        <v>9</v>
      </c>
      <c r="J141" t="str">
        <f t="shared" si="17"/>
        <v>Новые</v>
      </c>
      <c r="M141" s="3"/>
    </row>
    <row r="142" spans="1:13" x14ac:dyDescent="0.3">
      <c r="A142">
        <v>4097</v>
      </c>
      <c r="B142" s="13">
        <v>45084</v>
      </c>
      <c r="C142">
        <v>10</v>
      </c>
      <c r="D142" s="8">
        <v>1111.5921473225635</v>
      </c>
      <c r="E142" s="24">
        <f t="shared" si="18"/>
        <v>116</v>
      </c>
      <c r="F142" s="24">
        <f t="shared" si="14"/>
        <v>2</v>
      </c>
      <c r="G142" s="24">
        <f t="shared" si="15"/>
        <v>2</v>
      </c>
      <c r="H142" s="24">
        <f t="shared" si="16"/>
        <v>2</v>
      </c>
      <c r="I142" s="24">
        <f t="shared" si="19"/>
        <v>6</v>
      </c>
      <c r="J142" t="str">
        <f t="shared" si="17"/>
        <v>Потерянные</v>
      </c>
      <c r="M142" s="3"/>
    </row>
    <row r="143" spans="1:13" x14ac:dyDescent="0.3">
      <c r="A143">
        <v>4098</v>
      </c>
      <c r="B143" s="13">
        <v>45190</v>
      </c>
      <c r="C143">
        <v>22</v>
      </c>
      <c r="D143" s="8">
        <v>2139.5574419628315</v>
      </c>
      <c r="E143" s="24">
        <f t="shared" si="18"/>
        <v>10</v>
      </c>
      <c r="F143" s="24">
        <f t="shared" si="14"/>
        <v>5</v>
      </c>
      <c r="G143" s="24">
        <f t="shared" si="15"/>
        <v>4</v>
      </c>
      <c r="H143" s="24">
        <f t="shared" si="16"/>
        <v>4</v>
      </c>
      <c r="I143" s="24">
        <f t="shared" si="19"/>
        <v>13</v>
      </c>
      <c r="J143" t="str">
        <f t="shared" si="17"/>
        <v>Чемпионы</v>
      </c>
      <c r="M143" s="3"/>
    </row>
    <row r="144" spans="1:13" x14ac:dyDescent="0.3">
      <c r="A144">
        <v>4099</v>
      </c>
      <c r="B144" s="13">
        <v>45185</v>
      </c>
      <c r="C144">
        <v>17</v>
      </c>
      <c r="D144" s="8">
        <v>1990.733149389042</v>
      </c>
      <c r="E144" s="24">
        <f t="shared" si="18"/>
        <v>15</v>
      </c>
      <c r="F144" s="24">
        <f t="shared" si="14"/>
        <v>5</v>
      </c>
      <c r="G144" s="24">
        <f t="shared" si="15"/>
        <v>3</v>
      </c>
      <c r="H144" s="24">
        <f t="shared" si="16"/>
        <v>3</v>
      </c>
      <c r="I144" s="24">
        <f t="shared" si="19"/>
        <v>11</v>
      </c>
      <c r="J144" t="str">
        <f t="shared" si="17"/>
        <v>Прочие</v>
      </c>
      <c r="M144" s="3"/>
    </row>
    <row r="145" spans="1:13" x14ac:dyDescent="0.3">
      <c r="A145">
        <v>4100</v>
      </c>
      <c r="B145" s="13">
        <v>45192</v>
      </c>
      <c r="C145">
        <v>21</v>
      </c>
      <c r="D145" s="8">
        <v>2371.4236584863897</v>
      </c>
      <c r="E145" s="24">
        <f t="shared" si="18"/>
        <v>8</v>
      </c>
      <c r="F145" s="24">
        <f t="shared" si="14"/>
        <v>5</v>
      </c>
      <c r="G145" s="24">
        <f t="shared" si="15"/>
        <v>4</v>
      </c>
      <c r="H145" s="24">
        <f t="shared" si="16"/>
        <v>4</v>
      </c>
      <c r="I145" s="24">
        <f t="shared" si="19"/>
        <v>13</v>
      </c>
      <c r="J145" t="str">
        <f t="shared" si="17"/>
        <v>Чемпионы</v>
      </c>
      <c r="M145" s="3"/>
    </row>
    <row r="146" spans="1:13" x14ac:dyDescent="0.3">
      <c r="A146">
        <v>4101</v>
      </c>
      <c r="B146" s="13">
        <v>45191</v>
      </c>
      <c r="C146">
        <v>13</v>
      </c>
      <c r="D146" s="8">
        <v>1488.4547125987149</v>
      </c>
      <c r="E146" s="24">
        <f t="shared" si="18"/>
        <v>9</v>
      </c>
      <c r="F146" s="24">
        <f t="shared" si="14"/>
        <v>5</v>
      </c>
      <c r="G146" s="24">
        <f t="shared" si="15"/>
        <v>2</v>
      </c>
      <c r="H146" s="24">
        <f t="shared" si="16"/>
        <v>2</v>
      </c>
      <c r="I146" s="24">
        <f t="shared" si="19"/>
        <v>9</v>
      </c>
      <c r="J146" t="str">
        <f t="shared" si="17"/>
        <v>Новые</v>
      </c>
      <c r="M146" s="3"/>
    </row>
    <row r="147" spans="1:13" x14ac:dyDescent="0.3">
      <c r="A147">
        <v>4102</v>
      </c>
      <c r="B147" s="13">
        <v>45176</v>
      </c>
      <c r="C147">
        <v>25</v>
      </c>
      <c r="D147" s="8">
        <v>2711.8346282053267</v>
      </c>
      <c r="E147" s="24">
        <f t="shared" si="18"/>
        <v>24</v>
      </c>
      <c r="F147" s="24">
        <f t="shared" si="14"/>
        <v>5</v>
      </c>
      <c r="G147" s="24">
        <f t="shared" si="15"/>
        <v>5</v>
      </c>
      <c r="H147" s="24">
        <f t="shared" si="16"/>
        <v>5</v>
      </c>
      <c r="I147" s="24">
        <f t="shared" si="19"/>
        <v>15</v>
      </c>
      <c r="J147" t="str">
        <f t="shared" si="17"/>
        <v>Чемпионы</v>
      </c>
      <c r="M147" s="3"/>
    </row>
    <row r="148" spans="1:13" x14ac:dyDescent="0.3">
      <c r="A148">
        <v>4103</v>
      </c>
      <c r="B148" s="13">
        <v>45189</v>
      </c>
      <c r="C148">
        <v>22</v>
      </c>
      <c r="D148" s="8">
        <v>2241.1886904761886</v>
      </c>
      <c r="E148" s="24">
        <f t="shared" si="18"/>
        <v>11</v>
      </c>
      <c r="F148" s="24">
        <f t="shared" si="14"/>
        <v>5</v>
      </c>
      <c r="G148" s="24">
        <f t="shared" si="15"/>
        <v>4</v>
      </c>
      <c r="H148" s="24">
        <f t="shared" si="16"/>
        <v>4</v>
      </c>
      <c r="I148" s="24">
        <f t="shared" si="19"/>
        <v>13</v>
      </c>
      <c r="J148" t="str">
        <f t="shared" si="17"/>
        <v>Чемпионы</v>
      </c>
      <c r="M148" s="3"/>
    </row>
    <row r="149" spans="1:13" x14ac:dyDescent="0.3">
      <c r="A149">
        <v>4104</v>
      </c>
      <c r="B149" s="13">
        <v>45199</v>
      </c>
      <c r="C149">
        <v>18</v>
      </c>
      <c r="D149" s="8">
        <v>2149.6213836477982</v>
      </c>
      <c r="E149" s="24">
        <f t="shared" si="18"/>
        <v>1</v>
      </c>
      <c r="F149" s="24">
        <f t="shared" si="14"/>
        <v>5</v>
      </c>
      <c r="G149" s="24">
        <f t="shared" si="15"/>
        <v>3</v>
      </c>
      <c r="H149" s="24">
        <f t="shared" si="16"/>
        <v>4</v>
      </c>
      <c r="I149" s="24">
        <f t="shared" si="19"/>
        <v>12</v>
      </c>
      <c r="J149" t="str">
        <f t="shared" si="17"/>
        <v>Прочие</v>
      </c>
      <c r="M149" s="3"/>
    </row>
    <row r="150" spans="1:13" x14ac:dyDescent="0.3">
      <c r="A150">
        <v>4105</v>
      </c>
      <c r="B150" s="13">
        <v>45193</v>
      </c>
      <c r="C150">
        <v>26</v>
      </c>
      <c r="D150" s="8">
        <v>2379.5874437839211</v>
      </c>
      <c r="E150" s="24">
        <f t="shared" si="18"/>
        <v>7</v>
      </c>
      <c r="F150" s="24">
        <f t="shared" si="14"/>
        <v>5</v>
      </c>
      <c r="G150" s="24">
        <f t="shared" si="15"/>
        <v>5</v>
      </c>
      <c r="H150" s="24">
        <f t="shared" si="16"/>
        <v>4</v>
      </c>
      <c r="I150" s="24">
        <f t="shared" si="19"/>
        <v>14</v>
      </c>
      <c r="J150" t="str">
        <f t="shared" si="17"/>
        <v>Чемпионы</v>
      </c>
      <c r="M150" s="3"/>
    </row>
    <row r="151" spans="1:13" x14ac:dyDescent="0.3">
      <c r="A151">
        <v>4106</v>
      </c>
      <c r="B151" s="13">
        <v>45176</v>
      </c>
      <c r="C151">
        <v>22</v>
      </c>
      <c r="D151" s="8">
        <v>2499.9086950405904</v>
      </c>
      <c r="E151" s="24">
        <f t="shared" si="18"/>
        <v>24</v>
      </c>
      <c r="F151" s="24">
        <f t="shared" si="14"/>
        <v>5</v>
      </c>
      <c r="G151" s="24">
        <f t="shared" si="15"/>
        <v>4</v>
      </c>
      <c r="H151" s="24">
        <f t="shared" si="16"/>
        <v>4</v>
      </c>
      <c r="I151" s="24">
        <f t="shared" si="19"/>
        <v>13</v>
      </c>
      <c r="J151" t="str">
        <f t="shared" si="17"/>
        <v>Чемпионы</v>
      </c>
      <c r="M151" s="3"/>
    </row>
    <row r="152" spans="1:13" x14ac:dyDescent="0.3">
      <c r="A152">
        <v>4107</v>
      </c>
      <c r="B152" s="13">
        <v>45134</v>
      </c>
      <c r="C152">
        <v>20</v>
      </c>
      <c r="D152" s="8">
        <v>2288.9414610546683</v>
      </c>
      <c r="E152" s="24">
        <f t="shared" si="18"/>
        <v>66</v>
      </c>
      <c r="F152" s="24">
        <f t="shared" si="14"/>
        <v>3</v>
      </c>
      <c r="G152" s="24">
        <f t="shared" si="15"/>
        <v>4</v>
      </c>
      <c r="H152" s="24">
        <f t="shared" si="16"/>
        <v>4</v>
      </c>
      <c r="I152" s="24">
        <f t="shared" si="19"/>
        <v>11</v>
      </c>
      <c r="J152" t="str">
        <f t="shared" si="17"/>
        <v>Лояльные</v>
      </c>
      <c r="M152" s="3"/>
    </row>
    <row r="153" spans="1:13" x14ac:dyDescent="0.3">
      <c r="A153">
        <v>4108</v>
      </c>
      <c r="B153" s="13">
        <v>45200</v>
      </c>
      <c r="C153">
        <v>24</v>
      </c>
      <c r="D153" s="8">
        <v>2429.4934579309329</v>
      </c>
      <c r="E153" s="24">
        <f t="shared" si="18"/>
        <v>0</v>
      </c>
      <c r="F153" s="24">
        <f t="shared" si="14"/>
        <v>5</v>
      </c>
      <c r="G153" s="24">
        <f t="shared" si="15"/>
        <v>4</v>
      </c>
      <c r="H153" s="24">
        <f t="shared" si="16"/>
        <v>4</v>
      </c>
      <c r="I153" s="24">
        <f t="shared" si="19"/>
        <v>13</v>
      </c>
      <c r="J153" t="str">
        <f t="shared" si="17"/>
        <v>Чемпионы</v>
      </c>
      <c r="M153" s="3"/>
    </row>
    <row r="154" spans="1:13" x14ac:dyDescent="0.3">
      <c r="A154">
        <v>4109</v>
      </c>
      <c r="B154" s="13">
        <v>45199</v>
      </c>
      <c r="C154">
        <v>14</v>
      </c>
      <c r="D154" s="8">
        <v>1346.15363515133</v>
      </c>
      <c r="E154" s="24">
        <f t="shared" si="18"/>
        <v>1</v>
      </c>
      <c r="F154" s="24">
        <f t="shared" si="14"/>
        <v>5</v>
      </c>
      <c r="G154" s="24">
        <f t="shared" si="15"/>
        <v>2</v>
      </c>
      <c r="H154" s="24">
        <f t="shared" si="16"/>
        <v>2</v>
      </c>
      <c r="I154" s="24">
        <f t="shared" si="19"/>
        <v>9</v>
      </c>
      <c r="J154" t="str">
        <f t="shared" si="17"/>
        <v>Новые</v>
      </c>
      <c r="M154" s="3"/>
    </row>
    <row r="155" spans="1:13" x14ac:dyDescent="0.3">
      <c r="A155">
        <v>4110</v>
      </c>
      <c r="B155" s="13">
        <v>45200</v>
      </c>
      <c r="C155">
        <v>21</v>
      </c>
      <c r="D155" s="8">
        <v>1914.6799999999989</v>
      </c>
      <c r="E155" s="24">
        <f t="shared" si="18"/>
        <v>0</v>
      </c>
      <c r="F155" s="24">
        <f t="shared" si="14"/>
        <v>5</v>
      </c>
      <c r="G155" s="24">
        <f t="shared" si="15"/>
        <v>4</v>
      </c>
      <c r="H155" s="24">
        <f t="shared" si="16"/>
        <v>3</v>
      </c>
      <c r="I155" s="24">
        <f t="shared" si="19"/>
        <v>12</v>
      </c>
      <c r="J155" t="str">
        <f t="shared" si="17"/>
        <v>Лояльные</v>
      </c>
      <c r="M155" s="3"/>
    </row>
    <row r="156" spans="1:13" x14ac:dyDescent="0.3">
      <c r="A156">
        <v>4111</v>
      </c>
      <c r="B156" s="13">
        <v>45194</v>
      </c>
      <c r="C156">
        <v>26</v>
      </c>
      <c r="D156" s="8">
        <v>2758.2520947176677</v>
      </c>
      <c r="E156" s="24">
        <f t="shared" si="18"/>
        <v>6</v>
      </c>
      <c r="F156" s="24">
        <f t="shared" si="14"/>
        <v>5</v>
      </c>
      <c r="G156" s="24">
        <f t="shared" si="15"/>
        <v>5</v>
      </c>
      <c r="H156" s="24">
        <f t="shared" si="16"/>
        <v>5</v>
      </c>
      <c r="I156" s="24">
        <f t="shared" si="19"/>
        <v>15</v>
      </c>
      <c r="J156" t="str">
        <f t="shared" si="17"/>
        <v>Чемпионы</v>
      </c>
      <c r="M156" s="3"/>
    </row>
    <row r="157" spans="1:13" x14ac:dyDescent="0.3">
      <c r="A157">
        <v>4112</v>
      </c>
      <c r="B157" s="13">
        <v>45170</v>
      </c>
      <c r="C157">
        <v>10</v>
      </c>
      <c r="D157" s="8">
        <v>1187.6872549019606</v>
      </c>
      <c r="E157" s="24">
        <f t="shared" si="18"/>
        <v>30</v>
      </c>
      <c r="F157" s="24">
        <f t="shared" si="14"/>
        <v>5</v>
      </c>
      <c r="G157" s="24">
        <f t="shared" si="15"/>
        <v>2</v>
      </c>
      <c r="H157" s="24">
        <f t="shared" si="16"/>
        <v>2</v>
      </c>
      <c r="I157" s="24">
        <f t="shared" si="19"/>
        <v>9</v>
      </c>
      <c r="J157" t="str">
        <f t="shared" si="17"/>
        <v>Новые</v>
      </c>
      <c r="M157" s="3"/>
    </row>
    <row r="158" spans="1:13" x14ac:dyDescent="0.3">
      <c r="A158">
        <v>4113</v>
      </c>
      <c r="B158" s="13">
        <v>45184</v>
      </c>
      <c r="C158">
        <v>22</v>
      </c>
      <c r="D158" s="8">
        <v>2456.9408916092493</v>
      </c>
      <c r="E158" s="24">
        <f t="shared" si="18"/>
        <v>16</v>
      </c>
      <c r="F158" s="24">
        <f t="shared" si="14"/>
        <v>5</v>
      </c>
      <c r="G158" s="24">
        <f t="shared" si="15"/>
        <v>4</v>
      </c>
      <c r="H158" s="24">
        <f t="shared" si="16"/>
        <v>4</v>
      </c>
      <c r="I158" s="24">
        <f t="shared" si="19"/>
        <v>13</v>
      </c>
      <c r="J158" t="str">
        <f t="shared" si="17"/>
        <v>Чемпионы</v>
      </c>
      <c r="M158" s="3"/>
    </row>
    <row r="159" spans="1:13" x14ac:dyDescent="0.3">
      <c r="A159">
        <v>4114</v>
      </c>
      <c r="B159" s="13">
        <v>45197</v>
      </c>
      <c r="C159">
        <v>17</v>
      </c>
      <c r="D159" s="8">
        <v>1644.5872549019607</v>
      </c>
      <c r="E159" s="24">
        <f t="shared" si="18"/>
        <v>3</v>
      </c>
      <c r="F159" s="24">
        <f t="shared" si="14"/>
        <v>5</v>
      </c>
      <c r="G159" s="24">
        <f t="shared" si="15"/>
        <v>3</v>
      </c>
      <c r="H159" s="24">
        <f t="shared" si="16"/>
        <v>3</v>
      </c>
      <c r="I159" s="24">
        <f t="shared" si="19"/>
        <v>11</v>
      </c>
      <c r="J159" t="str">
        <f t="shared" si="17"/>
        <v>Прочие</v>
      </c>
      <c r="M159" s="3"/>
    </row>
    <row r="160" spans="1:13" x14ac:dyDescent="0.3">
      <c r="A160">
        <v>4115</v>
      </c>
      <c r="B160" s="13">
        <v>45189</v>
      </c>
      <c r="C160">
        <v>22</v>
      </c>
      <c r="D160" s="8">
        <v>2462.8548387096771</v>
      </c>
      <c r="E160" s="24">
        <f t="shared" si="18"/>
        <v>11</v>
      </c>
      <c r="F160" s="24">
        <f t="shared" si="14"/>
        <v>5</v>
      </c>
      <c r="G160" s="24">
        <f t="shared" si="15"/>
        <v>4</v>
      </c>
      <c r="H160" s="24">
        <f t="shared" si="16"/>
        <v>4</v>
      </c>
      <c r="I160" s="24">
        <f t="shared" si="19"/>
        <v>13</v>
      </c>
      <c r="J160" t="str">
        <f t="shared" si="17"/>
        <v>Чемпионы</v>
      </c>
      <c r="M160" s="3"/>
    </row>
    <row r="161" spans="1:13" x14ac:dyDescent="0.3">
      <c r="A161">
        <v>4116</v>
      </c>
      <c r="B161" s="13">
        <v>45187</v>
      </c>
      <c r="C161">
        <v>19</v>
      </c>
      <c r="D161" s="8">
        <v>2193.105086170659</v>
      </c>
      <c r="E161" s="24">
        <f t="shared" si="18"/>
        <v>13</v>
      </c>
      <c r="F161" s="24">
        <f t="shared" si="14"/>
        <v>5</v>
      </c>
      <c r="G161" s="24">
        <f t="shared" si="15"/>
        <v>3</v>
      </c>
      <c r="H161" s="24">
        <f t="shared" si="16"/>
        <v>4</v>
      </c>
      <c r="I161" s="24">
        <f t="shared" si="19"/>
        <v>12</v>
      </c>
      <c r="J161" t="str">
        <f t="shared" si="17"/>
        <v>Прочие</v>
      </c>
      <c r="M161" s="3"/>
    </row>
    <row r="162" spans="1:13" x14ac:dyDescent="0.3">
      <c r="A162">
        <v>4117</v>
      </c>
      <c r="B162" s="13">
        <v>45182</v>
      </c>
      <c r="C162">
        <v>26</v>
      </c>
      <c r="D162" s="8">
        <v>2611.8311326696676</v>
      </c>
      <c r="E162" s="24">
        <f t="shared" si="18"/>
        <v>18</v>
      </c>
      <c r="F162" s="24">
        <f t="shared" si="14"/>
        <v>5</v>
      </c>
      <c r="G162" s="24">
        <f t="shared" si="15"/>
        <v>5</v>
      </c>
      <c r="H162" s="24">
        <f t="shared" si="16"/>
        <v>5</v>
      </c>
      <c r="I162" s="24">
        <f t="shared" si="19"/>
        <v>15</v>
      </c>
      <c r="J162" t="str">
        <f t="shared" si="17"/>
        <v>Чемпионы</v>
      </c>
      <c r="M162" s="3"/>
    </row>
    <row r="163" spans="1:13" x14ac:dyDescent="0.3">
      <c r="A163">
        <v>4118</v>
      </c>
      <c r="B163" s="13">
        <v>45193</v>
      </c>
      <c r="C163">
        <v>22</v>
      </c>
      <c r="D163" s="8">
        <v>2228.9890875319229</v>
      </c>
      <c r="E163" s="24">
        <f t="shared" si="18"/>
        <v>7</v>
      </c>
      <c r="F163" s="24">
        <f t="shared" si="14"/>
        <v>5</v>
      </c>
      <c r="G163" s="24">
        <f t="shared" si="15"/>
        <v>4</v>
      </c>
      <c r="H163" s="24">
        <f t="shared" si="16"/>
        <v>4</v>
      </c>
      <c r="I163" s="24">
        <f t="shared" si="19"/>
        <v>13</v>
      </c>
      <c r="J163" t="str">
        <f t="shared" si="17"/>
        <v>Чемпионы</v>
      </c>
      <c r="M163" s="3"/>
    </row>
    <row r="164" spans="1:13" x14ac:dyDescent="0.3">
      <c r="A164">
        <v>4119</v>
      </c>
      <c r="B164" s="13">
        <v>45193</v>
      </c>
      <c r="C164">
        <v>16</v>
      </c>
      <c r="D164" s="8">
        <v>1648.0642857142855</v>
      </c>
      <c r="E164" s="24">
        <f t="shared" si="18"/>
        <v>7</v>
      </c>
      <c r="F164" s="24">
        <f t="shared" si="14"/>
        <v>5</v>
      </c>
      <c r="G164" s="24">
        <f t="shared" si="15"/>
        <v>3</v>
      </c>
      <c r="H164" s="24">
        <f t="shared" si="16"/>
        <v>3</v>
      </c>
      <c r="I164" s="24">
        <f t="shared" si="19"/>
        <v>11</v>
      </c>
      <c r="J164" t="str">
        <f t="shared" si="17"/>
        <v>Прочие</v>
      </c>
      <c r="M164" s="3"/>
    </row>
    <row r="165" spans="1:13" x14ac:dyDescent="0.3">
      <c r="A165">
        <v>4120</v>
      </c>
      <c r="B165" s="13">
        <v>45199</v>
      </c>
      <c r="C165">
        <v>19</v>
      </c>
      <c r="D165" s="8">
        <v>2204.2181818181807</v>
      </c>
      <c r="E165" s="24">
        <f t="shared" si="18"/>
        <v>1</v>
      </c>
      <c r="F165" s="24">
        <f t="shared" si="14"/>
        <v>5</v>
      </c>
      <c r="G165" s="24">
        <f t="shared" si="15"/>
        <v>3</v>
      </c>
      <c r="H165" s="24">
        <f t="shared" si="16"/>
        <v>4</v>
      </c>
      <c r="I165" s="24">
        <f t="shared" si="19"/>
        <v>12</v>
      </c>
      <c r="J165" t="str">
        <f t="shared" si="17"/>
        <v>Прочие</v>
      </c>
      <c r="M165" s="3"/>
    </row>
    <row r="166" spans="1:13" x14ac:dyDescent="0.3">
      <c r="A166">
        <v>4121</v>
      </c>
      <c r="B166" s="13">
        <v>45137</v>
      </c>
      <c r="C166">
        <v>18</v>
      </c>
      <c r="D166" s="8">
        <v>2142.6851851851852</v>
      </c>
      <c r="E166" s="24">
        <f t="shared" si="18"/>
        <v>63</v>
      </c>
      <c r="F166" s="24">
        <f t="shared" si="14"/>
        <v>3</v>
      </c>
      <c r="G166" s="24">
        <f t="shared" si="15"/>
        <v>3</v>
      </c>
      <c r="H166" s="24">
        <f t="shared" si="16"/>
        <v>4</v>
      </c>
      <c r="I166" s="24">
        <f t="shared" si="19"/>
        <v>10</v>
      </c>
      <c r="J166" t="str">
        <f t="shared" si="17"/>
        <v>Прочие</v>
      </c>
      <c r="M166" s="3"/>
    </row>
    <row r="167" spans="1:13" x14ac:dyDescent="0.3">
      <c r="A167">
        <v>4122</v>
      </c>
      <c r="B167" s="13">
        <v>45198</v>
      </c>
      <c r="C167">
        <v>31</v>
      </c>
      <c r="D167" s="8">
        <v>3196.4137475945276</v>
      </c>
      <c r="E167" s="24">
        <f t="shared" si="18"/>
        <v>2</v>
      </c>
      <c r="F167" s="24">
        <f t="shared" si="14"/>
        <v>5</v>
      </c>
      <c r="G167" s="24">
        <f t="shared" si="15"/>
        <v>5</v>
      </c>
      <c r="H167" s="24">
        <f t="shared" si="16"/>
        <v>5</v>
      </c>
      <c r="I167" s="24">
        <f t="shared" si="19"/>
        <v>15</v>
      </c>
      <c r="J167" t="str">
        <f t="shared" si="17"/>
        <v>Чемпионы</v>
      </c>
      <c r="M167" s="3"/>
    </row>
    <row r="168" spans="1:13" x14ac:dyDescent="0.3">
      <c r="A168" t="s">
        <v>77</v>
      </c>
      <c r="B168" s="13">
        <v>45200</v>
      </c>
      <c r="C168">
        <v>3357</v>
      </c>
      <c r="D168" s="8">
        <v>357025.62699207262</v>
      </c>
      <c r="E168" s="24">
        <f t="shared" si="18"/>
        <v>0</v>
      </c>
      <c r="F168" s="24">
        <f t="shared" si="14"/>
        <v>5</v>
      </c>
      <c r="G168" s="24">
        <f t="shared" si="15"/>
        <v>5</v>
      </c>
      <c r="H168" s="24">
        <f t="shared" si="16"/>
        <v>5</v>
      </c>
      <c r="I168" s="24">
        <f t="shared" si="19"/>
        <v>15</v>
      </c>
      <c r="J168" t="str">
        <f t="shared" si="17"/>
        <v>Чемпионы</v>
      </c>
      <c r="M16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BCC7-08FB-43B4-A122-1D7B783EF637}">
  <dimension ref="A3:C6"/>
  <sheetViews>
    <sheetView workbookViewId="0">
      <selection activeCell="C3" sqref="C3"/>
    </sheetView>
  </sheetViews>
  <sheetFormatPr defaultRowHeight="14.4" x14ac:dyDescent="0.3"/>
  <cols>
    <col min="1" max="1" width="17" bestFit="1" customWidth="1"/>
    <col min="2" max="2" width="10.88671875" customWidth="1"/>
    <col min="3" max="3" width="16.109375" customWidth="1"/>
  </cols>
  <sheetData>
    <row r="3" spans="1:3" x14ac:dyDescent="0.3">
      <c r="A3" s="5" t="s">
        <v>76</v>
      </c>
      <c r="B3" t="s">
        <v>116</v>
      </c>
      <c r="C3" t="s">
        <v>54</v>
      </c>
    </row>
    <row r="4" spans="1:3" x14ac:dyDescent="0.3">
      <c r="A4" s="6" t="s">
        <v>114</v>
      </c>
      <c r="B4">
        <v>119</v>
      </c>
      <c r="C4" s="8">
        <v>284880.25480076938</v>
      </c>
    </row>
    <row r="5" spans="1:3" x14ac:dyDescent="0.3">
      <c r="A5" s="6" t="s">
        <v>115</v>
      </c>
      <c r="B5">
        <v>47</v>
      </c>
      <c r="C5" s="8">
        <v>72145.372191304195</v>
      </c>
    </row>
    <row r="6" spans="1:3" x14ac:dyDescent="0.3">
      <c r="A6" s="6" t="s">
        <v>77</v>
      </c>
      <c r="B6">
        <v>166</v>
      </c>
      <c r="C6" s="8">
        <v>357025.62699207361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3C40-2664-45FD-AD51-9F82E37A19E9}">
  <dimension ref="A1:E173"/>
  <sheetViews>
    <sheetView tabSelected="1" workbookViewId="0">
      <pane ySplit="1" topLeftCell="A2" activePane="bottomLeft" state="frozen"/>
      <selection pane="bottomLeft" activeCell="K24" sqref="K24"/>
    </sheetView>
  </sheetViews>
  <sheetFormatPr defaultRowHeight="14.4" x14ac:dyDescent="0.3"/>
  <cols>
    <col min="1" max="1" width="17" bestFit="1" customWidth="1"/>
    <col min="2" max="2" width="15" style="8" bestFit="1" customWidth="1"/>
    <col min="3" max="3" width="19.21875" customWidth="1"/>
    <col min="4" max="4" width="17.88671875" customWidth="1"/>
  </cols>
  <sheetData>
    <row r="1" spans="1:5" x14ac:dyDescent="0.3">
      <c r="A1" s="15" t="s">
        <v>52</v>
      </c>
      <c r="B1" s="10" t="s">
        <v>99</v>
      </c>
      <c r="C1" s="9" t="s">
        <v>106</v>
      </c>
      <c r="D1" s="9" t="s">
        <v>107</v>
      </c>
      <c r="E1" s="9" t="s">
        <v>108</v>
      </c>
    </row>
    <row r="2" spans="1:5" x14ac:dyDescent="0.3">
      <c r="A2">
        <v>3957</v>
      </c>
      <c r="B2" s="8">
        <v>3690.6961836428363</v>
      </c>
      <c r="C2" s="8">
        <v>3690.6961836428363</v>
      </c>
      <c r="D2" s="25">
        <f>C2/SUM($B$2:$B$167)</f>
        <v>1.0337342489212333E-2</v>
      </c>
      <c r="E2" t="str">
        <f>IF(D2&lt;=0.8,"Да","Нет")</f>
        <v>Да</v>
      </c>
    </row>
    <row r="3" spans="1:5" x14ac:dyDescent="0.3">
      <c r="A3">
        <v>3958</v>
      </c>
      <c r="B3" s="8">
        <v>3625.0745482821576</v>
      </c>
      <c r="C3" s="8">
        <f>C2+B3</f>
        <v>7315.7707319249939</v>
      </c>
      <c r="D3" s="25">
        <f t="shared" ref="D3:D66" si="0">C3/SUM($B$2:$B$167)</f>
        <v>2.0490884067791058E-2</v>
      </c>
      <c r="E3" t="str">
        <f t="shared" ref="E3:E66" si="1">IF(D3&lt;=0.8,"Да","Нет")</f>
        <v>Да</v>
      </c>
    </row>
    <row r="4" spans="1:5" x14ac:dyDescent="0.3">
      <c r="A4">
        <v>3959</v>
      </c>
      <c r="B4" s="8">
        <v>3454.3155704189498</v>
      </c>
      <c r="C4" s="8">
        <f t="shared" ref="C4:C67" si="2">C3+B4</f>
        <v>10770.086302343943</v>
      </c>
      <c r="D4" s="25">
        <f t="shared" si="0"/>
        <v>3.0166143514910912E-2</v>
      </c>
      <c r="E4" t="str">
        <f t="shared" si="1"/>
        <v>Да</v>
      </c>
    </row>
    <row r="5" spans="1:5" x14ac:dyDescent="0.3">
      <c r="A5">
        <v>3960</v>
      </c>
      <c r="B5" s="8">
        <v>3436.0647607475153</v>
      </c>
      <c r="C5" s="8">
        <f t="shared" si="2"/>
        <v>14206.151063091458</v>
      </c>
      <c r="D5" s="25">
        <f t="shared" si="0"/>
        <v>3.9790283915408828E-2</v>
      </c>
      <c r="E5" t="str">
        <f t="shared" si="1"/>
        <v>Да</v>
      </c>
    </row>
    <row r="6" spans="1:5" x14ac:dyDescent="0.3">
      <c r="A6">
        <v>3961</v>
      </c>
      <c r="B6" s="8">
        <v>3374.475460047538</v>
      </c>
      <c r="C6" s="8">
        <f t="shared" si="2"/>
        <v>17580.626523138995</v>
      </c>
      <c r="D6" s="25">
        <f t="shared" si="0"/>
        <v>4.9241917649595797E-2</v>
      </c>
      <c r="E6" t="str">
        <f t="shared" si="1"/>
        <v>Да</v>
      </c>
    </row>
    <row r="7" spans="1:5" x14ac:dyDescent="0.3">
      <c r="A7">
        <v>3962</v>
      </c>
      <c r="B7" s="8">
        <v>3196.4137475945276</v>
      </c>
      <c r="C7" s="8">
        <f t="shared" si="2"/>
        <v>20777.040270733523</v>
      </c>
      <c r="D7" s="25">
        <f t="shared" si="0"/>
        <v>5.8194814881439301E-2</v>
      </c>
      <c r="E7" t="str">
        <f t="shared" si="1"/>
        <v>Да</v>
      </c>
    </row>
    <row r="8" spans="1:5" x14ac:dyDescent="0.3">
      <c r="A8">
        <v>3963</v>
      </c>
      <c r="B8" s="8">
        <v>3107.066927851633</v>
      </c>
      <c r="C8" s="8">
        <f t="shared" si="2"/>
        <v>23884.107198585156</v>
      </c>
      <c r="D8" s="25">
        <f t="shared" si="0"/>
        <v>6.68974588737727E-2</v>
      </c>
      <c r="E8" t="str">
        <f t="shared" si="1"/>
        <v>Да</v>
      </c>
    </row>
    <row r="9" spans="1:5" x14ac:dyDescent="0.3">
      <c r="A9">
        <v>3964</v>
      </c>
      <c r="B9" s="8">
        <v>3066.5073880921332</v>
      </c>
      <c r="C9" s="8">
        <f t="shared" si="2"/>
        <v>26950.614586677289</v>
      </c>
      <c r="D9" s="25">
        <f t="shared" si="0"/>
        <v>7.5486498864899762E-2</v>
      </c>
      <c r="E9" t="str">
        <f t="shared" si="1"/>
        <v>Да</v>
      </c>
    </row>
    <row r="10" spans="1:5" x14ac:dyDescent="0.3">
      <c r="A10">
        <v>3965</v>
      </c>
      <c r="B10" s="8">
        <v>2958.8799805592348</v>
      </c>
      <c r="C10" s="8">
        <f t="shared" si="2"/>
        <v>29909.494567236525</v>
      </c>
      <c r="D10" s="25">
        <f t="shared" si="0"/>
        <v>8.3774083163785193E-2</v>
      </c>
      <c r="E10" t="str">
        <f t="shared" si="1"/>
        <v>Да</v>
      </c>
    </row>
    <row r="11" spans="1:5" x14ac:dyDescent="0.3">
      <c r="A11">
        <v>3966</v>
      </c>
      <c r="B11" s="8">
        <v>2905.6980686467232</v>
      </c>
      <c r="C11" s="8">
        <f t="shared" si="2"/>
        <v>32815.19263588325</v>
      </c>
      <c r="D11" s="25">
        <f t="shared" si="0"/>
        <v>9.1912709214601526E-2</v>
      </c>
      <c r="E11" t="str">
        <f t="shared" si="1"/>
        <v>Да</v>
      </c>
    </row>
    <row r="12" spans="1:5" x14ac:dyDescent="0.3">
      <c r="A12">
        <v>3967</v>
      </c>
      <c r="B12" s="8">
        <v>2864.1937452890884</v>
      </c>
      <c r="C12" s="8">
        <f t="shared" si="2"/>
        <v>35679.386381172335</v>
      </c>
      <c r="D12" s="25">
        <f t="shared" si="0"/>
        <v>9.9935085001515753E-2</v>
      </c>
      <c r="E12" t="str">
        <f t="shared" si="1"/>
        <v>Да</v>
      </c>
    </row>
    <row r="13" spans="1:5" x14ac:dyDescent="0.3">
      <c r="A13">
        <v>3968</v>
      </c>
      <c r="B13" s="8">
        <v>2855.1005943841769</v>
      </c>
      <c r="C13" s="8">
        <f t="shared" si="2"/>
        <v>38534.486975556509</v>
      </c>
      <c r="D13" s="25">
        <f t="shared" si="0"/>
        <v>0.1079319916057791</v>
      </c>
      <c r="E13" t="str">
        <f t="shared" si="1"/>
        <v>Да</v>
      </c>
    </row>
    <row r="14" spans="1:5" x14ac:dyDescent="0.3">
      <c r="A14">
        <v>3969</v>
      </c>
      <c r="B14" s="8">
        <v>2848.3669159189094</v>
      </c>
      <c r="C14" s="8">
        <f t="shared" si="2"/>
        <v>41382.853891475417</v>
      </c>
      <c r="D14" s="25">
        <f t="shared" si="0"/>
        <v>0.11591003771948888</v>
      </c>
      <c r="E14" t="str">
        <f t="shared" si="1"/>
        <v>Да</v>
      </c>
    </row>
    <row r="15" spans="1:5" x14ac:dyDescent="0.3">
      <c r="A15">
        <v>3970</v>
      </c>
      <c r="B15" s="8">
        <v>2811.9139846471689</v>
      </c>
      <c r="C15" s="8">
        <f t="shared" si="2"/>
        <v>44194.767876122583</v>
      </c>
      <c r="D15" s="25">
        <f t="shared" si="0"/>
        <v>0.12378598211131707</v>
      </c>
      <c r="E15" t="str">
        <f t="shared" si="1"/>
        <v>Да</v>
      </c>
    </row>
    <row r="16" spans="1:5" x14ac:dyDescent="0.3">
      <c r="A16">
        <v>3971</v>
      </c>
      <c r="B16" s="8">
        <v>2794.6641414141395</v>
      </c>
      <c r="C16" s="8">
        <f t="shared" si="2"/>
        <v>46989.432017536725</v>
      </c>
      <c r="D16" s="25">
        <f t="shared" si="0"/>
        <v>0.13161361108282557</v>
      </c>
      <c r="E16" t="str">
        <f t="shared" si="1"/>
        <v>Да</v>
      </c>
    </row>
    <row r="17" spans="1:5" x14ac:dyDescent="0.3">
      <c r="A17">
        <v>3972</v>
      </c>
      <c r="B17" s="8">
        <v>2765.1747300778093</v>
      </c>
      <c r="C17" s="8">
        <f t="shared" si="2"/>
        <v>49754.606747614533</v>
      </c>
      <c r="D17" s="25">
        <f t="shared" si="0"/>
        <v>0.13935864259043551</v>
      </c>
      <c r="E17" t="str">
        <f t="shared" si="1"/>
        <v>Да</v>
      </c>
    </row>
    <row r="18" spans="1:5" x14ac:dyDescent="0.3">
      <c r="A18">
        <v>3973</v>
      </c>
      <c r="B18" s="8">
        <v>2765.0225404247008</v>
      </c>
      <c r="C18" s="8">
        <f t="shared" si="2"/>
        <v>52519.629288039236</v>
      </c>
      <c r="D18" s="25">
        <f t="shared" si="0"/>
        <v>0.14710324782709572</v>
      </c>
      <c r="E18" t="str">
        <f t="shared" si="1"/>
        <v>Да</v>
      </c>
    </row>
    <row r="19" spans="1:5" x14ac:dyDescent="0.3">
      <c r="A19">
        <v>3974</v>
      </c>
      <c r="B19" s="8">
        <v>2764.4801191586598</v>
      </c>
      <c r="C19" s="8">
        <f t="shared" si="2"/>
        <v>55284.109407197895</v>
      </c>
      <c r="D19" s="25">
        <f t="shared" si="0"/>
        <v>0.15484633378551638</v>
      </c>
      <c r="E19" t="str">
        <f t="shared" si="1"/>
        <v>Да</v>
      </c>
    </row>
    <row r="20" spans="1:5" x14ac:dyDescent="0.3">
      <c r="A20">
        <v>3975</v>
      </c>
      <c r="B20" s="8">
        <v>2758.2520947176677</v>
      </c>
      <c r="C20" s="8">
        <f t="shared" si="2"/>
        <v>58042.361501915562</v>
      </c>
      <c r="D20" s="25">
        <f t="shared" si="0"/>
        <v>0.16257197554954275</v>
      </c>
      <c r="E20" t="str">
        <f t="shared" si="1"/>
        <v>Да</v>
      </c>
    </row>
    <row r="21" spans="1:5" x14ac:dyDescent="0.3">
      <c r="A21">
        <v>3976</v>
      </c>
      <c r="B21" s="8">
        <v>2730.016717089884</v>
      </c>
      <c r="C21" s="8">
        <f t="shared" si="2"/>
        <v>60772.378219005448</v>
      </c>
      <c r="D21" s="25">
        <f t="shared" si="0"/>
        <v>0.17021853229699577</v>
      </c>
      <c r="E21" t="str">
        <f t="shared" si="1"/>
        <v>Да</v>
      </c>
    </row>
    <row r="22" spans="1:5" x14ac:dyDescent="0.3">
      <c r="A22">
        <v>3977</v>
      </c>
      <c r="B22" s="8">
        <v>2711.8346282053267</v>
      </c>
      <c r="C22" s="8">
        <f t="shared" si="2"/>
        <v>63484.212847210772</v>
      </c>
      <c r="D22" s="25">
        <f t="shared" si="0"/>
        <v>0.17781416247921103</v>
      </c>
      <c r="E22" t="str">
        <f t="shared" si="1"/>
        <v>Да</v>
      </c>
    </row>
    <row r="23" spans="1:5" x14ac:dyDescent="0.3">
      <c r="A23">
        <v>3978</v>
      </c>
      <c r="B23" s="8">
        <v>2700.399877414814</v>
      </c>
      <c r="C23" s="8">
        <f t="shared" si="2"/>
        <v>66184.612724625593</v>
      </c>
      <c r="D23" s="25">
        <f t="shared" si="0"/>
        <v>0.18537776484626123</v>
      </c>
      <c r="E23" t="str">
        <f t="shared" si="1"/>
        <v>Да</v>
      </c>
    </row>
    <row r="24" spans="1:5" x14ac:dyDescent="0.3">
      <c r="A24">
        <v>3979</v>
      </c>
      <c r="B24" s="8">
        <v>2691.9616046981023</v>
      </c>
      <c r="C24" s="8">
        <f t="shared" si="2"/>
        <v>68876.574329323688</v>
      </c>
      <c r="D24" s="25">
        <f t="shared" si="0"/>
        <v>0.19291773229167336</v>
      </c>
      <c r="E24" t="str">
        <f t="shared" si="1"/>
        <v>Да</v>
      </c>
    </row>
    <row r="25" spans="1:5" x14ac:dyDescent="0.3">
      <c r="A25">
        <v>3980</v>
      </c>
      <c r="B25" s="8">
        <v>2688.766670190274</v>
      </c>
      <c r="C25" s="8">
        <f t="shared" si="2"/>
        <v>71565.340999513966</v>
      </c>
      <c r="D25" s="25">
        <f t="shared" si="0"/>
        <v>0.20044875098308504</v>
      </c>
      <c r="E25" t="str">
        <f t="shared" si="1"/>
        <v>Да</v>
      </c>
    </row>
    <row r="26" spans="1:5" x14ac:dyDescent="0.3">
      <c r="A26">
        <v>3981</v>
      </c>
      <c r="B26" s="8">
        <v>2644.7351502732222</v>
      </c>
      <c r="C26" s="8">
        <f t="shared" si="2"/>
        <v>74210.076149787186</v>
      </c>
      <c r="D26" s="25">
        <f t="shared" si="0"/>
        <v>0.20785644093675867</v>
      </c>
      <c r="E26" t="str">
        <f t="shared" si="1"/>
        <v>Да</v>
      </c>
    </row>
    <row r="27" spans="1:5" x14ac:dyDescent="0.3">
      <c r="A27">
        <v>3982</v>
      </c>
      <c r="B27" s="8">
        <v>2628.4177662396291</v>
      </c>
      <c r="C27" s="8">
        <f t="shared" si="2"/>
        <v>76838.493916026811</v>
      </c>
      <c r="D27" s="25">
        <f t="shared" si="0"/>
        <v>0.21521842721316115</v>
      </c>
      <c r="E27" t="str">
        <f t="shared" si="1"/>
        <v>Да</v>
      </c>
    </row>
    <row r="28" spans="1:5" x14ac:dyDescent="0.3">
      <c r="A28">
        <v>3983</v>
      </c>
      <c r="B28" s="8">
        <v>2621.2909769741673</v>
      </c>
      <c r="C28" s="8">
        <f t="shared" si="2"/>
        <v>79459.784893000979</v>
      </c>
      <c r="D28" s="25">
        <f t="shared" si="0"/>
        <v>0.22256045192734886</v>
      </c>
      <c r="E28" t="str">
        <f t="shared" si="1"/>
        <v>Да</v>
      </c>
    </row>
    <row r="29" spans="1:5" x14ac:dyDescent="0.3">
      <c r="A29">
        <v>3984</v>
      </c>
      <c r="B29" s="8">
        <v>2615.8877161484716</v>
      </c>
      <c r="C29" s="8">
        <f t="shared" si="2"/>
        <v>82075.672609149449</v>
      </c>
      <c r="D29" s="25">
        <f t="shared" si="0"/>
        <v>0.22988734254354135</v>
      </c>
      <c r="E29" t="str">
        <f t="shared" si="1"/>
        <v>Да</v>
      </c>
    </row>
    <row r="30" spans="1:5" x14ac:dyDescent="0.3">
      <c r="A30">
        <v>3985</v>
      </c>
      <c r="B30" s="8">
        <v>2611.8311326696676</v>
      </c>
      <c r="C30" s="8">
        <f t="shared" si="2"/>
        <v>84687.50374181912</v>
      </c>
      <c r="D30" s="25">
        <f t="shared" si="0"/>
        <v>0.23720287099642648</v>
      </c>
      <c r="E30" t="str">
        <f t="shared" si="1"/>
        <v>Да</v>
      </c>
    </row>
    <row r="31" spans="1:5" x14ac:dyDescent="0.3">
      <c r="A31">
        <v>3986</v>
      </c>
      <c r="B31" s="8">
        <v>2602.8108708995424</v>
      </c>
      <c r="C31" s="8">
        <f t="shared" si="2"/>
        <v>87290.314612718663</v>
      </c>
      <c r="D31" s="25">
        <f t="shared" si="0"/>
        <v>0.24449313442325138</v>
      </c>
      <c r="E31" t="str">
        <f t="shared" si="1"/>
        <v>Да</v>
      </c>
    </row>
    <row r="32" spans="1:5" x14ac:dyDescent="0.3">
      <c r="A32">
        <v>3987</v>
      </c>
      <c r="B32" s="8">
        <v>2591.2299022665952</v>
      </c>
      <c r="C32" s="8">
        <f t="shared" si="2"/>
        <v>89881.54451498526</v>
      </c>
      <c r="D32" s="25">
        <f t="shared" si="0"/>
        <v>0.2517509604905217</v>
      </c>
      <c r="E32" t="str">
        <f t="shared" si="1"/>
        <v>Да</v>
      </c>
    </row>
    <row r="33" spans="1:5" x14ac:dyDescent="0.3">
      <c r="A33">
        <v>3988</v>
      </c>
      <c r="B33" s="8">
        <v>2573.536904352477</v>
      </c>
      <c r="C33" s="8">
        <f t="shared" si="2"/>
        <v>92455.081419337745</v>
      </c>
      <c r="D33" s="25">
        <f t="shared" si="0"/>
        <v>0.25895922989693498</v>
      </c>
      <c r="E33" t="str">
        <f t="shared" si="1"/>
        <v>Да</v>
      </c>
    </row>
    <row r="34" spans="1:5" x14ac:dyDescent="0.3">
      <c r="A34">
        <v>3989</v>
      </c>
      <c r="B34" s="8">
        <v>2559.3489417634369</v>
      </c>
      <c r="C34" s="8">
        <f t="shared" si="2"/>
        <v>95014.430361101186</v>
      </c>
      <c r="D34" s="25">
        <f t="shared" si="0"/>
        <v>0.26612775996388244</v>
      </c>
      <c r="E34" t="str">
        <f t="shared" si="1"/>
        <v>Да</v>
      </c>
    </row>
    <row r="35" spans="1:5" x14ac:dyDescent="0.3">
      <c r="A35">
        <v>3990</v>
      </c>
      <c r="B35" s="8">
        <v>2532.9319144577735</v>
      </c>
      <c r="C35" s="8">
        <f t="shared" si="2"/>
        <v>97547.36227555896</v>
      </c>
      <c r="D35" s="25">
        <f t="shared" si="0"/>
        <v>0.27322229806692455</v>
      </c>
      <c r="E35" t="str">
        <f t="shared" si="1"/>
        <v>Да</v>
      </c>
    </row>
    <row r="36" spans="1:5" x14ac:dyDescent="0.3">
      <c r="A36">
        <v>3991</v>
      </c>
      <c r="B36" s="8">
        <v>2529.1524064171122</v>
      </c>
      <c r="C36" s="8">
        <f t="shared" si="2"/>
        <v>100076.51468197607</v>
      </c>
      <c r="D36" s="25">
        <f t="shared" si="0"/>
        <v>0.28030625007262544</v>
      </c>
      <c r="E36" t="str">
        <f t="shared" si="1"/>
        <v>Да</v>
      </c>
    </row>
    <row r="37" spans="1:5" x14ac:dyDescent="0.3">
      <c r="A37">
        <v>3992</v>
      </c>
      <c r="B37" s="8">
        <v>2504.292307692308</v>
      </c>
      <c r="C37" s="8">
        <f t="shared" si="2"/>
        <v>102580.80698966837</v>
      </c>
      <c r="D37" s="25">
        <f t="shared" si="0"/>
        <v>0.28732057094586599</v>
      </c>
      <c r="E37" t="str">
        <f t="shared" si="1"/>
        <v>Да</v>
      </c>
    </row>
    <row r="38" spans="1:5" x14ac:dyDescent="0.3">
      <c r="A38">
        <v>3993</v>
      </c>
      <c r="B38" s="8">
        <v>2499.9086950405904</v>
      </c>
      <c r="C38" s="8">
        <f t="shared" si="2"/>
        <v>105080.71568470896</v>
      </c>
      <c r="D38" s="25">
        <f t="shared" si="0"/>
        <v>0.29432261367344892</v>
      </c>
      <c r="E38" t="str">
        <f t="shared" si="1"/>
        <v>Да</v>
      </c>
    </row>
    <row r="39" spans="1:5" x14ac:dyDescent="0.3">
      <c r="A39">
        <v>3994</v>
      </c>
      <c r="B39" s="8">
        <v>2495.8917422490586</v>
      </c>
      <c r="C39" s="8">
        <f t="shared" si="2"/>
        <v>107576.60742695803</v>
      </c>
      <c r="D39" s="25">
        <f t="shared" si="0"/>
        <v>0.30131340524008476</v>
      </c>
      <c r="E39" t="str">
        <f t="shared" si="1"/>
        <v>Да</v>
      </c>
    </row>
    <row r="40" spans="1:5" x14ac:dyDescent="0.3">
      <c r="A40">
        <v>3995</v>
      </c>
      <c r="B40" s="8">
        <v>2490.3051503603906</v>
      </c>
      <c r="C40" s="8">
        <f t="shared" si="2"/>
        <v>110066.91257731842</v>
      </c>
      <c r="D40" s="25">
        <f t="shared" si="0"/>
        <v>0.30828854921319704</v>
      </c>
      <c r="E40" t="str">
        <f t="shared" si="1"/>
        <v>Да</v>
      </c>
    </row>
    <row r="41" spans="1:5" x14ac:dyDescent="0.3">
      <c r="A41">
        <v>3996</v>
      </c>
      <c r="B41" s="8">
        <v>2462.8548387096771</v>
      </c>
      <c r="C41" s="8">
        <f t="shared" si="2"/>
        <v>112529.7674160281</v>
      </c>
      <c r="D41" s="25">
        <f t="shared" si="0"/>
        <v>0.31518680707625057</v>
      </c>
      <c r="E41" t="str">
        <f t="shared" si="1"/>
        <v>Да</v>
      </c>
    </row>
    <row r="42" spans="1:5" x14ac:dyDescent="0.3">
      <c r="A42">
        <v>3997</v>
      </c>
      <c r="B42" s="8">
        <v>2456.9408916092493</v>
      </c>
      <c r="C42" s="8">
        <f t="shared" si="2"/>
        <v>114986.70830763735</v>
      </c>
      <c r="D42" s="25">
        <f t="shared" si="0"/>
        <v>0.32206850045022173</v>
      </c>
      <c r="E42" t="str">
        <f t="shared" si="1"/>
        <v>Да</v>
      </c>
    </row>
    <row r="43" spans="1:5" x14ac:dyDescent="0.3">
      <c r="A43">
        <v>3998</v>
      </c>
      <c r="B43" s="8">
        <v>2451.3500048194442</v>
      </c>
      <c r="C43" s="8">
        <f t="shared" si="2"/>
        <v>117438.05831245679</v>
      </c>
      <c r="D43" s="25">
        <f t="shared" si="0"/>
        <v>0.32893453420099744</v>
      </c>
      <c r="E43" t="str">
        <f t="shared" si="1"/>
        <v>Да</v>
      </c>
    </row>
    <row r="44" spans="1:5" x14ac:dyDescent="0.3">
      <c r="A44">
        <v>3999</v>
      </c>
      <c r="B44" s="8">
        <v>2434.9844119036361</v>
      </c>
      <c r="C44" s="8">
        <f t="shared" si="2"/>
        <v>119873.04272436044</v>
      </c>
      <c r="D44" s="25">
        <f t="shared" si="0"/>
        <v>0.33575472924530919</v>
      </c>
      <c r="E44" t="str">
        <f t="shared" si="1"/>
        <v>Да</v>
      </c>
    </row>
    <row r="45" spans="1:5" x14ac:dyDescent="0.3">
      <c r="A45">
        <v>4000</v>
      </c>
      <c r="B45" s="8">
        <v>2429.4934579309329</v>
      </c>
      <c r="C45" s="8">
        <f t="shared" si="2"/>
        <v>122302.53618229137</v>
      </c>
      <c r="D45" s="25">
        <f t="shared" si="0"/>
        <v>0.34255954457019028</v>
      </c>
      <c r="E45" t="str">
        <f t="shared" si="1"/>
        <v>Да</v>
      </c>
    </row>
    <row r="46" spans="1:5" x14ac:dyDescent="0.3">
      <c r="A46">
        <v>4001</v>
      </c>
      <c r="B46" s="8">
        <v>2425.6230505466729</v>
      </c>
      <c r="C46" s="8">
        <f t="shared" si="2"/>
        <v>124728.15923283804</v>
      </c>
      <c r="D46" s="25">
        <f t="shared" si="0"/>
        <v>0.34935351919599639</v>
      </c>
      <c r="E46" t="str">
        <f t="shared" si="1"/>
        <v>Да</v>
      </c>
    </row>
    <row r="47" spans="1:5" x14ac:dyDescent="0.3">
      <c r="A47">
        <v>4002</v>
      </c>
      <c r="B47" s="8">
        <v>2424.8502412479033</v>
      </c>
      <c r="C47" s="8">
        <f t="shared" si="2"/>
        <v>127153.00947408593</v>
      </c>
      <c r="D47" s="25">
        <f t="shared" si="0"/>
        <v>0.35614532924525577</v>
      </c>
      <c r="E47" t="str">
        <f t="shared" si="1"/>
        <v>Да</v>
      </c>
    </row>
    <row r="48" spans="1:5" x14ac:dyDescent="0.3">
      <c r="A48">
        <v>4003</v>
      </c>
      <c r="B48" s="8">
        <v>2421.3070812807855</v>
      </c>
      <c r="C48" s="8">
        <f t="shared" si="2"/>
        <v>129574.31655536672</v>
      </c>
      <c r="D48" s="25">
        <f t="shared" si="0"/>
        <v>0.362927215189075</v>
      </c>
      <c r="E48" t="str">
        <f t="shared" si="1"/>
        <v>Да</v>
      </c>
    </row>
    <row r="49" spans="1:5" x14ac:dyDescent="0.3">
      <c r="A49">
        <v>4004</v>
      </c>
      <c r="B49" s="8">
        <v>2417.5704686340614</v>
      </c>
      <c r="C49" s="8">
        <f t="shared" si="2"/>
        <v>131991.88702400078</v>
      </c>
      <c r="D49" s="25">
        <f t="shared" si="0"/>
        <v>0.36969863518209339</v>
      </c>
      <c r="E49" t="str">
        <f t="shared" si="1"/>
        <v>Да</v>
      </c>
    </row>
    <row r="50" spans="1:5" x14ac:dyDescent="0.3">
      <c r="A50">
        <v>4005</v>
      </c>
      <c r="B50" s="8">
        <v>2415.6321595558138</v>
      </c>
      <c r="C50" s="8">
        <f t="shared" si="2"/>
        <v>134407.51918355661</v>
      </c>
      <c r="D50" s="25">
        <f t="shared" si="0"/>
        <v>0.3764646261276382</v>
      </c>
      <c r="E50" t="str">
        <f t="shared" si="1"/>
        <v>Да</v>
      </c>
    </row>
    <row r="51" spans="1:5" x14ac:dyDescent="0.3">
      <c r="A51">
        <v>4006</v>
      </c>
      <c r="B51" s="8">
        <v>2414.6168256967389</v>
      </c>
      <c r="C51" s="8">
        <f t="shared" si="2"/>
        <v>136822.13600925336</v>
      </c>
      <c r="D51" s="25">
        <f t="shared" si="0"/>
        <v>0.38322777320489371</v>
      </c>
      <c r="E51" t="str">
        <f t="shared" si="1"/>
        <v>Да</v>
      </c>
    </row>
    <row r="52" spans="1:5" x14ac:dyDescent="0.3">
      <c r="A52">
        <v>4007</v>
      </c>
      <c r="B52" s="8">
        <v>2409.8345407444949</v>
      </c>
      <c r="C52" s="8">
        <f t="shared" si="2"/>
        <v>139231.97054999784</v>
      </c>
      <c r="D52" s="25">
        <f t="shared" si="0"/>
        <v>0.38997752548751624</v>
      </c>
      <c r="E52" t="str">
        <f t="shared" si="1"/>
        <v>Да</v>
      </c>
    </row>
    <row r="53" spans="1:5" x14ac:dyDescent="0.3">
      <c r="A53">
        <v>4008</v>
      </c>
      <c r="B53" s="8">
        <v>2408.2965382159337</v>
      </c>
      <c r="C53" s="8">
        <f t="shared" si="2"/>
        <v>141640.26708821379</v>
      </c>
      <c r="D53" s="25">
        <f t="shared" si="0"/>
        <v>0.3967229699490406</v>
      </c>
      <c r="E53" t="str">
        <f t="shared" si="1"/>
        <v>Да</v>
      </c>
    </row>
    <row r="54" spans="1:5" x14ac:dyDescent="0.3">
      <c r="A54">
        <v>4009</v>
      </c>
      <c r="B54" s="8">
        <v>2406.4302432735999</v>
      </c>
      <c r="C54" s="8">
        <f t="shared" si="2"/>
        <v>144046.69733148738</v>
      </c>
      <c r="D54" s="25">
        <f t="shared" si="0"/>
        <v>0.40346318706888057</v>
      </c>
      <c r="E54" t="str">
        <f t="shared" si="1"/>
        <v>Да</v>
      </c>
    </row>
    <row r="55" spans="1:5" x14ac:dyDescent="0.3">
      <c r="A55">
        <v>4010</v>
      </c>
      <c r="B55" s="8">
        <v>2390.6055103983135</v>
      </c>
      <c r="C55" s="8">
        <f t="shared" si="2"/>
        <v>146437.30284188568</v>
      </c>
      <c r="D55" s="25">
        <f t="shared" si="0"/>
        <v>0.41015908038762933</v>
      </c>
      <c r="E55" t="str">
        <f t="shared" si="1"/>
        <v>Да</v>
      </c>
    </row>
    <row r="56" spans="1:5" x14ac:dyDescent="0.3">
      <c r="A56">
        <v>4011</v>
      </c>
      <c r="B56" s="8">
        <v>2379.5874437839211</v>
      </c>
      <c r="C56" s="8">
        <f t="shared" si="2"/>
        <v>148816.89028566959</v>
      </c>
      <c r="D56" s="25">
        <f t="shared" si="0"/>
        <v>0.41682411298999977</v>
      </c>
      <c r="E56" t="str">
        <f t="shared" si="1"/>
        <v>Да</v>
      </c>
    </row>
    <row r="57" spans="1:5" x14ac:dyDescent="0.3">
      <c r="A57">
        <v>4012</v>
      </c>
      <c r="B57" s="8">
        <v>2371.4236584863897</v>
      </c>
      <c r="C57" s="8">
        <f t="shared" si="2"/>
        <v>151188.31394415599</v>
      </c>
      <c r="D57" s="25">
        <f t="shared" si="0"/>
        <v>0.42346627948786586</v>
      </c>
      <c r="E57" t="str">
        <f t="shared" si="1"/>
        <v>Да</v>
      </c>
    </row>
    <row r="58" spans="1:5" x14ac:dyDescent="0.3">
      <c r="A58">
        <v>4013</v>
      </c>
      <c r="B58" s="8">
        <v>2367.5922038980498</v>
      </c>
      <c r="C58" s="8">
        <f t="shared" si="2"/>
        <v>153555.90614805405</v>
      </c>
      <c r="D58" s="25">
        <f t="shared" si="0"/>
        <v>0.43009771439029831</v>
      </c>
      <c r="E58" t="str">
        <f t="shared" si="1"/>
        <v>Да</v>
      </c>
    </row>
    <row r="59" spans="1:5" x14ac:dyDescent="0.3">
      <c r="A59">
        <v>4014</v>
      </c>
      <c r="B59" s="8">
        <v>2358.5405138339911</v>
      </c>
      <c r="C59" s="8">
        <f t="shared" si="2"/>
        <v>155914.44666188804</v>
      </c>
      <c r="D59" s="25">
        <f t="shared" si="0"/>
        <v>0.43670379623855271</v>
      </c>
      <c r="E59" t="str">
        <f t="shared" si="1"/>
        <v>Да</v>
      </c>
    </row>
    <row r="60" spans="1:5" x14ac:dyDescent="0.3">
      <c r="A60">
        <v>4015</v>
      </c>
      <c r="B60" s="8">
        <v>2348.299625824453</v>
      </c>
      <c r="C60" s="8">
        <f t="shared" si="2"/>
        <v>158262.74628771248</v>
      </c>
      <c r="D60" s="25">
        <f t="shared" si="0"/>
        <v>0.44328119418504963</v>
      </c>
      <c r="E60" t="str">
        <f t="shared" si="1"/>
        <v>Да</v>
      </c>
    </row>
    <row r="61" spans="1:5" x14ac:dyDescent="0.3">
      <c r="A61">
        <v>4016</v>
      </c>
      <c r="B61" s="8">
        <v>2347.541090854244</v>
      </c>
      <c r="C61" s="8">
        <f t="shared" si="2"/>
        <v>160610.28737856672</v>
      </c>
      <c r="D61" s="25">
        <f t="shared" si="0"/>
        <v>0.44985646753624342</v>
      </c>
      <c r="E61" t="str">
        <f t="shared" si="1"/>
        <v>Да</v>
      </c>
    </row>
    <row r="62" spans="1:5" x14ac:dyDescent="0.3">
      <c r="A62">
        <v>4017</v>
      </c>
      <c r="B62" s="8">
        <v>2347.1453710274172</v>
      </c>
      <c r="C62" s="8">
        <f t="shared" si="2"/>
        <v>162957.43274959413</v>
      </c>
      <c r="D62" s="25">
        <f t="shared" si="0"/>
        <v>0.45643063250810278</v>
      </c>
      <c r="E62" t="str">
        <f t="shared" si="1"/>
        <v>Да</v>
      </c>
    </row>
    <row r="63" spans="1:5" x14ac:dyDescent="0.3">
      <c r="A63">
        <v>4018</v>
      </c>
      <c r="B63" s="8">
        <v>2335.7864232901165</v>
      </c>
      <c r="C63" s="8">
        <f t="shared" si="2"/>
        <v>165293.21917288424</v>
      </c>
      <c r="D63" s="25">
        <f t="shared" si="0"/>
        <v>0.46297298198303827</v>
      </c>
      <c r="E63" t="str">
        <f t="shared" si="1"/>
        <v>Да</v>
      </c>
    </row>
    <row r="64" spans="1:5" x14ac:dyDescent="0.3">
      <c r="A64">
        <v>4019</v>
      </c>
      <c r="B64" s="8">
        <v>2328.6671398182525</v>
      </c>
      <c r="C64" s="8">
        <f t="shared" si="2"/>
        <v>167621.8863127025</v>
      </c>
      <c r="D64" s="25">
        <f t="shared" si="0"/>
        <v>0.46949539091888187</v>
      </c>
      <c r="E64" t="str">
        <f t="shared" si="1"/>
        <v>Да</v>
      </c>
    </row>
    <row r="65" spans="1:5" x14ac:dyDescent="0.3">
      <c r="A65">
        <v>4020</v>
      </c>
      <c r="B65" s="8">
        <v>2328.2036367490227</v>
      </c>
      <c r="C65" s="8">
        <f t="shared" si="2"/>
        <v>169950.08994945153</v>
      </c>
      <c r="D65" s="25">
        <f t="shared" si="0"/>
        <v>0.47601650161999332</v>
      </c>
      <c r="E65" t="str">
        <f t="shared" si="1"/>
        <v>Да</v>
      </c>
    </row>
    <row r="66" spans="1:5" x14ac:dyDescent="0.3">
      <c r="A66">
        <v>4021</v>
      </c>
      <c r="B66" s="8">
        <v>2318.4580950551108</v>
      </c>
      <c r="C66" s="8">
        <f t="shared" si="2"/>
        <v>172268.54804450664</v>
      </c>
      <c r="D66" s="25">
        <f t="shared" si="0"/>
        <v>0.48251031584444554</v>
      </c>
      <c r="E66" t="str">
        <f t="shared" si="1"/>
        <v>Да</v>
      </c>
    </row>
    <row r="67" spans="1:5" x14ac:dyDescent="0.3">
      <c r="A67">
        <v>4022</v>
      </c>
      <c r="B67" s="8">
        <v>2313.0926739926736</v>
      </c>
      <c r="C67" s="8">
        <f t="shared" si="2"/>
        <v>174581.64071849931</v>
      </c>
      <c r="D67" s="25">
        <f t="shared" ref="D67:D130" si="3">C67/SUM($B$2:$B$167)</f>
        <v>0.4889891019570291</v>
      </c>
      <c r="E67" t="str">
        <f t="shared" ref="E67:E130" si="4">IF(D67&lt;=0.8,"Да","Нет")</f>
        <v>Да</v>
      </c>
    </row>
    <row r="68" spans="1:5" x14ac:dyDescent="0.3">
      <c r="A68">
        <v>4023</v>
      </c>
      <c r="B68" s="8">
        <v>2297.8052656546479</v>
      </c>
      <c r="C68" s="8">
        <f t="shared" ref="C68:C131" si="5">C67+B68</f>
        <v>176879.44598415395</v>
      </c>
      <c r="D68" s="25">
        <f t="shared" si="3"/>
        <v>0.49542506927123436</v>
      </c>
      <c r="E68" t="str">
        <f t="shared" si="4"/>
        <v>Да</v>
      </c>
    </row>
    <row r="69" spans="1:5" x14ac:dyDescent="0.3">
      <c r="A69">
        <v>4024</v>
      </c>
      <c r="B69" s="8">
        <v>2296.0561204263413</v>
      </c>
      <c r="C69" s="8">
        <f t="shared" si="5"/>
        <v>179175.50210458029</v>
      </c>
      <c r="D69" s="25">
        <f t="shared" si="3"/>
        <v>0.50185613737066048</v>
      </c>
      <c r="E69" t="str">
        <f t="shared" si="4"/>
        <v>Да</v>
      </c>
    </row>
    <row r="70" spans="1:5" x14ac:dyDescent="0.3">
      <c r="A70">
        <v>4025</v>
      </c>
      <c r="B70" s="8">
        <v>2290.4375722734312</v>
      </c>
      <c r="C70" s="8">
        <f t="shared" si="5"/>
        <v>181465.93967685371</v>
      </c>
      <c r="D70" s="25">
        <f t="shared" si="3"/>
        <v>0.50827146836964299</v>
      </c>
      <c r="E70" t="str">
        <f t="shared" si="4"/>
        <v>Да</v>
      </c>
    </row>
    <row r="71" spans="1:5" x14ac:dyDescent="0.3">
      <c r="A71">
        <v>4026</v>
      </c>
      <c r="B71" s="8">
        <v>2289.8947629830573</v>
      </c>
      <c r="C71" s="8">
        <f t="shared" si="5"/>
        <v>183755.83443983676</v>
      </c>
      <c r="D71" s="25">
        <f t="shared" si="3"/>
        <v>0.5146852790035612</v>
      </c>
      <c r="E71" t="str">
        <f t="shared" si="4"/>
        <v>Да</v>
      </c>
    </row>
    <row r="72" spans="1:5" x14ac:dyDescent="0.3">
      <c r="A72">
        <v>4027</v>
      </c>
      <c r="B72" s="8">
        <v>2288.9414610546683</v>
      </c>
      <c r="C72" s="8">
        <f t="shared" si="5"/>
        <v>186044.77590089143</v>
      </c>
      <c r="D72" s="25">
        <f t="shared" si="3"/>
        <v>0.52109641951562724</v>
      </c>
      <c r="E72" t="str">
        <f t="shared" si="4"/>
        <v>Да</v>
      </c>
    </row>
    <row r="73" spans="1:5" x14ac:dyDescent="0.3">
      <c r="A73">
        <v>4028</v>
      </c>
      <c r="B73" s="8">
        <v>2288.4079843509571</v>
      </c>
      <c r="C73" s="8">
        <f t="shared" si="5"/>
        <v>188333.18388524238</v>
      </c>
      <c r="D73" s="25">
        <f t="shared" si="3"/>
        <v>0.52750606580245174</v>
      </c>
      <c r="E73" t="str">
        <f t="shared" si="4"/>
        <v>Да</v>
      </c>
    </row>
    <row r="74" spans="1:5" x14ac:dyDescent="0.3">
      <c r="A74">
        <v>4029</v>
      </c>
      <c r="B74" s="8">
        <v>2283.6820140131167</v>
      </c>
      <c r="C74" s="8">
        <f t="shared" si="5"/>
        <v>190616.8658992555</v>
      </c>
      <c r="D74" s="25">
        <f t="shared" si="3"/>
        <v>0.53390247502733867</v>
      </c>
      <c r="E74" t="str">
        <f t="shared" si="4"/>
        <v>Да</v>
      </c>
    </row>
    <row r="75" spans="1:5" x14ac:dyDescent="0.3">
      <c r="A75">
        <v>4030</v>
      </c>
      <c r="B75" s="8">
        <v>2262.1944459109859</v>
      </c>
      <c r="C75" s="8">
        <f t="shared" si="5"/>
        <v>192879.06034516648</v>
      </c>
      <c r="D75" s="25">
        <f t="shared" si="3"/>
        <v>0.54023869930616664</v>
      </c>
      <c r="E75" t="str">
        <f t="shared" si="4"/>
        <v>Да</v>
      </c>
    </row>
    <row r="76" spans="1:5" x14ac:dyDescent="0.3">
      <c r="A76">
        <v>4031</v>
      </c>
      <c r="B76" s="8">
        <v>2241.1886904761886</v>
      </c>
      <c r="C76" s="8">
        <f t="shared" si="5"/>
        <v>195120.24903564266</v>
      </c>
      <c r="D76" s="25">
        <f t="shared" si="3"/>
        <v>0.54651608815737629</v>
      </c>
      <c r="E76" t="str">
        <f t="shared" si="4"/>
        <v>Да</v>
      </c>
    </row>
    <row r="77" spans="1:5" x14ac:dyDescent="0.3">
      <c r="A77">
        <v>4032</v>
      </c>
      <c r="B77" s="8">
        <v>2236.2893600136035</v>
      </c>
      <c r="C77" s="8">
        <f t="shared" si="5"/>
        <v>197356.53839565627</v>
      </c>
      <c r="D77" s="25">
        <f t="shared" si="3"/>
        <v>0.55277975437891413</v>
      </c>
      <c r="E77" t="str">
        <f t="shared" si="4"/>
        <v>Да</v>
      </c>
    </row>
    <row r="78" spans="1:5" x14ac:dyDescent="0.3">
      <c r="A78">
        <v>4033</v>
      </c>
      <c r="B78" s="8">
        <v>2228.9890875319229</v>
      </c>
      <c r="C78" s="8">
        <f t="shared" si="5"/>
        <v>199585.5274831882</v>
      </c>
      <c r="D78" s="25">
        <f t="shared" si="3"/>
        <v>0.55902297312573368</v>
      </c>
      <c r="E78" t="str">
        <f t="shared" si="4"/>
        <v>Да</v>
      </c>
    </row>
    <row r="79" spans="1:5" x14ac:dyDescent="0.3">
      <c r="A79">
        <v>4034</v>
      </c>
      <c r="B79" s="8">
        <v>2227.1724137931033</v>
      </c>
      <c r="C79" s="8">
        <f t="shared" si="5"/>
        <v>201812.6998969813</v>
      </c>
      <c r="D79" s="25">
        <f t="shared" si="3"/>
        <v>0.5652611035158599</v>
      </c>
      <c r="E79" t="str">
        <f t="shared" si="4"/>
        <v>Да</v>
      </c>
    </row>
    <row r="80" spans="1:5" x14ac:dyDescent="0.3">
      <c r="A80">
        <v>4035</v>
      </c>
      <c r="B80" s="8">
        <v>2222.0611892342599</v>
      </c>
      <c r="C80" s="8">
        <f t="shared" si="5"/>
        <v>204034.76108621556</v>
      </c>
      <c r="D80" s="25">
        <f t="shared" si="3"/>
        <v>0.57148491777803212</v>
      </c>
      <c r="E80" t="str">
        <f t="shared" si="4"/>
        <v>Да</v>
      </c>
    </row>
    <row r="81" spans="1:5" x14ac:dyDescent="0.3">
      <c r="A81">
        <v>4036</v>
      </c>
      <c r="B81" s="8">
        <v>2204.6470588235288</v>
      </c>
      <c r="C81" s="8">
        <f t="shared" si="5"/>
        <v>206239.40814503908</v>
      </c>
      <c r="D81" s="25">
        <f t="shared" si="3"/>
        <v>0.57765995646474377</v>
      </c>
      <c r="E81" t="str">
        <f t="shared" si="4"/>
        <v>Да</v>
      </c>
    </row>
    <row r="82" spans="1:5" x14ac:dyDescent="0.3">
      <c r="A82">
        <v>4037</v>
      </c>
      <c r="B82" s="8">
        <v>2204.2181818181807</v>
      </c>
      <c r="C82" s="8">
        <f t="shared" si="5"/>
        <v>208443.62632685725</v>
      </c>
      <c r="D82" s="25">
        <f t="shared" si="3"/>
        <v>0.58383379390153678</v>
      </c>
      <c r="E82" t="str">
        <f t="shared" si="4"/>
        <v>Да</v>
      </c>
    </row>
    <row r="83" spans="1:5" x14ac:dyDescent="0.3">
      <c r="A83">
        <v>4038</v>
      </c>
      <c r="B83" s="8">
        <v>2203.9571798185334</v>
      </c>
      <c r="C83" s="8">
        <f t="shared" si="5"/>
        <v>210647.58350667579</v>
      </c>
      <c r="D83" s="25">
        <f t="shared" si="3"/>
        <v>0.59000690029276925</v>
      </c>
      <c r="E83" t="str">
        <f t="shared" si="4"/>
        <v>Да</v>
      </c>
    </row>
    <row r="84" spans="1:5" x14ac:dyDescent="0.3">
      <c r="A84">
        <v>4039</v>
      </c>
      <c r="B84" s="8">
        <v>2193.105086170659</v>
      </c>
      <c r="C84" s="8">
        <f t="shared" si="5"/>
        <v>212840.68859284645</v>
      </c>
      <c r="D84" s="25">
        <f t="shared" si="3"/>
        <v>0.59614961084452278</v>
      </c>
      <c r="E84" t="str">
        <f t="shared" si="4"/>
        <v>Да</v>
      </c>
    </row>
    <row r="85" spans="1:5" x14ac:dyDescent="0.3">
      <c r="A85">
        <v>4040</v>
      </c>
      <c r="B85" s="8">
        <v>2186.8644067796599</v>
      </c>
      <c r="C85" s="8">
        <f t="shared" si="5"/>
        <v>215027.55299962612</v>
      </c>
      <c r="D85" s="25">
        <f t="shared" si="3"/>
        <v>0.60227484175638735</v>
      </c>
      <c r="E85" t="str">
        <f t="shared" si="4"/>
        <v>Да</v>
      </c>
    </row>
    <row r="86" spans="1:5" x14ac:dyDescent="0.3">
      <c r="A86">
        <v>4041</v>
      </c>
      <c r="B86" s="8">
        <v>2184.7591654247381</v>
      </c>
      <c r="C86" s="8">
        <f t="shared" si="5"/>
        <v>217212.31216505085</v>
      </c>
      <c r="D86" s="25">
        <f t="shared" si="3"/>
        <v>0.60839417605692836</v>
      </c>
      <c r="E86" t="str">
        <f t="shared" si="4"/>
        <v>Да</v>
      </c>
    </row>
    <row r="87" spans="1:5" x14ac:dyDescent="0.3">
      <c r="A87">
        <v>4042</v>
      </c>
      <c r="B87" s="8">
        <v>2166.1265100554087</v>
      </c>
      <c r="C87" s="8">
        <f t="shared" si="5"/>
        <v>219378.43867510627</v>
      </c>
      <c r="D87" s="25">
        <f t="shared" si="3"/>
        <v>0.61446132179182966</v>
      </c>
      <c r="E87" t="str">
        <f t="shared" si="4"/>
        <v>Да</v>
      </c>
    </row>
    <row r="88" spans="1:5" x14ac:dyDescent="0.3">
      <c r="A88">
        <v>4043</v>
      </c>
      <c r="B88" s="8">
        <v>2149.6213836477982</v>
      </c>
      <c r="C88" s="8">
        <f t="shared" si="5"/>
        <v>221528.06005875405</v>
      </c>
      <c r="D88" s="25">
        <f t="shared" si="3"/>
        <v>0.62048223799820468</v>
      </c>
      <c r="E88" t="str">
        <f t="shared" si="4"/>
        <v>Да</v>
      </c>
    </row>
    <row r="89" spans="1:5" x14ac:dyDescent="0.3">
      <c r="A89">
        <v>4044</v>
      </c>
      <c r="B89" s="8">
        <v>2142.6851851851852</v>
      </c>
      <c r="C89" s="8">
        <f t="shared" si="5"/>
        <v>223670.74524393925</v>
      </c>
      <c r="D89" s="25">
        <f t="shared" si="3"/>
        <v>0.62648372647183947</v>
      </c>
      <c r="E89" t="str">
        <f t="shared" si="4"/>
        <v>Да</v>
      </c>
    </row>
    <row r="90" spans="1:5" x14ac:dyDescent="0.3">
      <c r="A90">
        <v>4045</v>
      </c>
      <c r="B90" s="8">
        <v>2139.5574419628315</v>
      </c>
      <c r="C90" s="8">
        <f t="shared" si="5"/>
        <v>225810.30268590208</v>
      </c>
      <c r="D90" s="25">
        <f t="shared" si="3"/>
        <v>0.63247645438884792</v>
      </c>
      <c r="E90" t="str">
        <f t="shared" si="4"/>
        <v>Да</v>
      </c>
    </row>
    <row r="91" spans="1:5" x14ac:dyDescent="0.3">
      <c r="A91">
        <v>4046</v>
      </c>
      <c r="B91" s="8">
        <v>2113.2169105889861</v>
      </c>
      <c r="C91" s="8">
        <f t="shared" si="5"/>
        <v>227923.51959649107</v>
      </c>
      <c r="D91" s="25">
        <f t="shared" si="3"/>
        <v>0.63839540460088939</v>
      </c>
      <c r="E91" t="str">
        <f t="shared" si="4"/>
        <v>Да</v>
      </c>
    </row>
    <row r="92" spans="1:5" x14ac:dyDescent="0.3">
      <c r="A92">
        <v>4047</v>
      </c>
      <c r="B92" s="8">
        <v>2099.7610047277763</v>
      </c>
      <c r="C92" s="8">
        <f t="shared" si="5"/>
        <v>230023.28060121884</v>
      </c>
      <c r="D92" s="25">
        <f t="shared" si="3"/>
        <v>0.64427666590534582</v>
      </c>
      <c r="E92" t="str">
        <f t="shared" si="4"/>
        <v>Да</v>
      </c>
    </row>
    <row r="93" spans="1:5" x14ac:dyDescent="0.3">
      <c r="A93">
        <v>4048</v>
      </c>
      <c r="B93" s="8">
        <v>2097.9491525423718</v>
      </c>
      <c r="C93" s="8">
        <f t="shared" si="5"/>
        <v>232121.2297537612</v>
      </c>
      <c r="D93" s="25">
        <f t="shared" si="3"/>
        <v>0.65015285235789133</v>
      </c>
      <c r="E93" t="str">
        <f t="shared" si="4"/>
        <v>Да</v>
      </c>
    </row>
    <row r="94" spans="1:5" x14ac:dyDescent="0.3">
      <c r="A94">
        <v>4049</v>
      </c>
      <c r="B94" s="8">
        <v>2090.4716476421072</v>
      </c>
      <c r="C94" s="8">
        <f t="shared" si="5"/>
        <v>234211.70140140332</v>
      </c>
      <c r="D94" s="25">
        <f t="shared" si="3"/>
        <v>0.65600809492200152</v>
      </c>
      <c r="E94" t="str">
        <f t="shared" si="4"/>
        <v>Да</v>
      </c>
    </row>
    <row r="95" spans="1:5" x14ac:dyDescent="0.3">
      <c r="A95">
        <v>4050</v>
      </c>
      <c r="B95" s="8">
        <v>2050.9491525423718</v>
      </c>
      <c r="C95" s="8">
        <f t="shared" si="5"/>
        <v>236262.65055394568</v>
      </c>
      <c r="D95" s="25">
        <f t="shared" si="3"/>
        <v>0.66175263816339713</v>
      </c>
      <c r="E95" t="str">
        <f t="shared" si="4"/>
        <v>Да</v>
      </c>
    </row>
    <row r="96" spans="1:5" x14ac:dyDescent="0.3">
      <c r="A96">
        <v>4051</v>
      </c>
      <c r="B96" s="8">
        <v>2037.7205882352941</v>
      </c>
      <c r="C96" s="8">
        <f t="shared" si="5"/>
        <v>238300.37114218099</v>
      </c>
      <c r="D96" s="25">
        <f t="shared" si="3"/>
        <v>0.66746012926257403</v>
      </c>
      <c r="E96" t="str">
        <f t="shared" si="4"/>
        <v>Да</v>
      </c>
    </row>
    <row r="97" spans="1:5" x14ac:dyDescent="0.3">
      <c r="A97">
        <v>4052</v>
      </c>
      <c r="B97" s="8">
        <v>2025.685185185185</v>
      </c>
      <c r="C97" s="8">
        <f t="shared" si="5"/>
        <v>240326.05632736618</v>
      </c>
      <c r="D97" s="25">
        <f t="shared" si="3"/>
        <v>0.67313391016802748</v>
      </c>
      <c r="E97" t="str">
        <f t="shared" si="4"/>
        <v>Да</v>
      </c>
    </row>
    <row r="98" spans="1:5" x14ac:dyDescent="0.3">
      <c r="A98">
        <v>4053</v>
      </c>
      <c r="B98" s="8">
        <v>2011.118181818181</v>
      </c>
      <c r="C98" s="8">
        <f t="shared" si="5"/>
        <v>242337.17450918438</v>
      </c>
      <c r="D98" s="25">
        <f t="shared" si="3"/>
        <v>0.67876689007135205</v>
      </c>
      <c r="E98" t="str">
        <f t="shared" si="4"/>
        <v>Да</v>
      </c>
    </row>
    <row r="99" spans="1:5" x14ac:dyDescent="0.3">
      <c r="A99">
        <v>4054</v>
      </c>
      <c r="B99" s="8">
        <v>2009.077533357374</v>
      </c>
      <c r="C99" s="8">
        <f t="shared" si="5"/>
        <v>244346.25204254175</v>
      </c>
      <c r="D99" s="25">
        <f t="shared" si="3"/>
        <v>0.68439415428284234</v>
      </c>
      <c r="E99" t="str">
        <f t="shared" si="4"/>
        <v>Да</v>
      </c>
    </row>
    <row r="100" spans="1:5" x14ac:dyDescent="0.3">
      <c r="A100">
        <v>4055</v>
      </c>
      <c r="B100" s="8">
        <v>1991.7205882352941</v>
      </c>
      <c r="C100" s="8">
        <f t="shared" si="5"/>
        <v>246337.97263077705</v>
      </c>
      <c r="D100" s="25">
        <f t="shared" si="3"/>
        <v>0.68997280309025555</v>
      </c>
      <c r="E100" t="str">
        <f t="shared" si="4"/>
        <v>Да</v>
      </c>
    </row>
    <row r="101" spans="1:5" x14ac:dyDescent="0.3">
      <c r="A101">
        <v>4056</v>
      </c>
      <c r="B101" s="8">
        <v>1990.733149389042</v>
      </c>
      <c r="C101" s="8">
        <f t="shared" si="5"/>
        <v>248328.70578016608</v>
      </c>
      <c r="D101" s="25">
        <f t="shared" si="3"/>
        <v>0.69554868616106169</v>
      </c>
      <c r="E101" t="str">
        <f t="shared" si="4"/>
        <v>Да</v>
      </c>
    </row>
    <row r="102" spans="1:5" x14ac:dyDescent="0.3">
      <c r="A102">
        <v>4057</v>
      </c>
      <c r="B102" s="8">
        <v>1990.1805351428218</v>
      </c>
      <c r="C102" s="8">
        <f t="shared" si="5"/>
        <v>250318.88631530892</v>
      </c>
      <c r="D102" s="25">
        <f t="shared" si="3"/>
        <v>0.70112302140391258</v>
      </c>
      <c r="E102" t="str">
        <f t="shared" si="4"/>
        <v>Да</v>
      </c>
    </row>
    <row r="103" spans="1:5" x14ac:dyDescent="0.3">
      <c r="A103">
        <v>4058</v>
      </c>
      <c r="B103" s="8">
        <v>1989.0190936852487</v>
      </c>
      <c r="C103" s="8">
        <f t="shared" si="5"/>
        <v>252307.90540899418</v>
      </c>
      <c r="D103" s="25">
        <f t="shared" si="3"/>
        <v>0.70669410354286899</v>
      </c>
      <c r="E103" t="str">
        <f t="shared" si="4"/>
        <v>Да</v>
      </c>
    </row>
    <row r="104" spans="1:5" x14ac:dyDescent="0.3">
      <c r="A104">
        <v>4059</v>
      </c>
      <c r="B104" s="8">
        <v>1982.8548387096771</v>
      </c>
      <c r="C104" s="8">
        <f t="shared" si="5"/>
        <v>254290.76024770385</v>
      </c>
      <c r="D104" s="25">
        <f t="shared" si="3"/>
        <v>0.71224792010056293</v>
      </c>
      <c r="E104" t="str">
        <f t="shared" si="4"/>
        <v>Да</v>
      </c>
    </row>
    <row r="105" spans="1:5" x14ac:dyDescent="0.3">
      <c r="A105">
        <v>4060</v>
      </c>
      <c r="B105" s="8">
        <v>1982.5063557241606</v>
      </c>
      <c r="C105" s="8">
        <f t="shared" si="5"/>
        <v>256273.266603428</v>
      </c>
      <c r="D105" s="25">
        <f t="shared" si="3"/>
        <v>0.71780076058550712</v>
      </c>
      <c r="E105" t="str">
        <f t="shared" si="4"/>
        <v>Да</v>
      </c>
    </row>
    <row r="106" spans="1:5" x14ac:dyDescent="0.3">
      <c r="A106">
        <v>4061</v>
      </c>
      <c r="B106" s="8">
        <v>1973.3246997220858</v>
      </c>
      <c r="C106" s="8">
        <f t="shared" si="5"/>
        <v>258246.59130315008</v>
      </c>
      <c r="D106" s="25">
        <f t="shared" si="3"/>
        <v>0.72332788399215797</v>
      </c>
      <c r="E106" t="str">
        <f t="shared" si="4"/>
        <v>Да</v>
      </c>
    </row>
    <row r="107" spans="1:5" x14ac:dyDescent="0.3">
      <c r="A107">
        <v>4062</v>
      </c>
      <c r="B107" s="8">
        <v>1963.8835634364975</v>
      </c>
      <c r="C107" s="8">
        <f t="shared" si="5"/>
        <v>260210.47486658659</v>
      </c>
      <c r="D107" s="25">
        <f t="shared" si="3"/>
        <v>0.72882856353715908</v>
      </c>
      <c r="E107" t="str">
        <f t="shared" si="4"/>
        <v>Да</v>
      </c>
    </row>
    <row r="108" spans="1:5" x14ac:dyDescent="0.3">
      <c r="A108">
        <v>4063</v>
      </c>
      <c r="B108" s="8">
        <v>1952.6926243567739</v>
      </c>
      <c r="C108" s="8">
        <f t="shared" si="5"/>
        <v>262163.16749094339</v>
      </c>
      <c r="D108" s="25">
        <f t="shared" si="3"/>
        <v>0.73429789816394253</v>
      </c>
      <c r="E108" t="str">
        <f t="shared" si="4"/>
        <v>Да</v>
      </c>
    </row>
    <row r="109" spans="1:5" x14ac:dyDescent="0.3">
      <c r="A109">
        <v>4064</v>
      </c>
      <c r="B109" s="8">
        <v>1948.6470588235291</v>
      </c>
      <c r="C109" s="8">
        <f t="shared" si="5"/>
        <v>264111.81454976695</v>
      </c>
      <c r="D109" s="25">
        <f t="shared" si="3"/>
        <v>0.7397559014877958</v>
      </c>
      <c r="E109" t="str">
        <f t="shared" si="4"/>
        <v>Да</v>
      </c>
    </row>
    <row r="110" spans="1:5" x14ac:dyDescent="0.3">
      <c r="A110">
        <v>4065</v>
      </c>
      <c r="B110" s="8">
        <v>1946.3529055690065</v>
      </c>
      <c r="C110" s="8">
        <f t="shared" si="5"/>
        <v>266058.16745533596</v>
      </c>
      <c r="D110" s="25">
        <f t="shared" si="3"/>
        <v>0.74520747907332374</v>
      </c>
      <c r="E110" t="str">
        <f t="shared" si="4"/>
        <v>Да</v>
      </c>
    </row>
    <row r="111" spans="1:5" x14ac:dyDescent="0.3">
      <c r="A111">
        <v>4066</v>
      </c>
      <c r="B111" s="8">
        <v>1943.7962949962082</v>
      </c>
      <c r="C111" s="8">
        <f t="shared" si="5"/>
        <v>268001.96375033219</v>
      </c>
      <c r="D111" s="25">
        <f t="shared" si="3"/>
        <v>0.75065189579873537</v>
      </c>
      <c r="E111" t="str">
        <f t="shared" si="4"/>
        <v>Да</v>
      </c>
    </row>
    <row r="112" spans="1:5" x14ac:dyDescent="0.3">
      <c r="A112">
        <v>4067</v>
      </c>
      <c r="B112" s="8">
        <v>1927.6651275642569</v>
      </c>
      <c r="C112" s="8">
        <f t="shared" si="5"/>
        <v>269929.62887789647</v>
      </c>
      <c r="D112" s="25">
        <f t="shared" si="3"/>
        <v>0.7560511304245654</v>
      </c>
      <c r="E112" t="str">
        <f t="shared" si="4"/>
        <v>Да</v>
      </c>
    </row>
    <row r="113" spans="1:5" x14ac:dyDescent="0.3">
      <c r="A113">
        <v>4068</v>
      </c>
      <c r="B113" s="8">
        <v>1914.6799999999989</v>
      </c>
      <c r="C113" s="8">
        <f t="shared" si="5"/>
        <v>271844.30887789646</v>
      </c>
      <c r="D113" s="25">
        <f t="shared" si="3"/>
        <v>0.76141399475486871</v>
      </c>
      <c r="E113" t="str">
        <f t="shared" si="4"/>
        <v>Да</v>
      </c>
    </row>
    <row r="114" spans="1:5" x14ac:dyDescent="0.3">
      <c r="A114">
        <v>4069</v>
      </c>
      <c r="B114" s="8">
        <v>1892.517241379308</v>
      </c>
      <c r="C114" s="8">
        <f t="shared" si="5"/>
        <v>273736.82611927576</v>
      </c>
      <c r="D114" s="25">
        <f t="shared" si="3"/>
        <v>0.76671478298490059</v>
      </c>
      <c r="E114" t="str">
        <f t="shared" si="4"/>
        <v>Да</v>
      </c>
    </row>
    <row r="115" spans="1:5" x14ac:dyDescent="0.3">
      <c r="A115">
        <v>4070</v>
      </c>
      <c r="B115" s="8">
        <v>1891.9476202395838</v>
      </c>
      <c r="C115" s="8">
        <f t="shared" si="5"/>
        <v>275628.77373951534</v>
      </c>
      <c r="D115" s="25">
        <f t="shared" si="3"/>
        <v>0.77201397575203934</v>
      </c>
      <c r="E115" t="str">
        <f t="shared" si="4"/>
        <v>Да</v>
      </c>
    </row>
    <row r="116" spans="1:5" x14ac:dyDescent="0.3">
      <c r="A116">
        <v>4071</v>
      </c>
      <c r="B116" s="8">
        <v>1883.9690686918618</v>
      </c>
      <c r="C116" s="8">
        <f t="shared" si="5"/>
        <v>277512.74280820717</v>
      </c>
      <c r="D116" s="25">
        <f t="shared" si="3"/>
        <v>0.77729082123947446</v>
      </c>
      <c r="E116" t="str">
        <f t="shared" si="4"/>
        <v>Да</v>
      </c>
    </row>
    <row r="117" spans="1:5" x14ac:dyDescent="0.3">
      <c r="A117">
        <v>4072</v>
      </c>
      <c r="B117" s="8">
        <v>1873.5733489187605</v>
      </c>
      <c r="C117" s="8">
        <f t="shared" si="5"/>
        <v>279386.31615712593</v>
      </c>
      <c r="D117" s="25">
        <f t="shared" si="3"/>
        <v>0.782538549153864</v>
      </c>
      <c r="E117" t="str">
        <f t="shared" si="4"/>
        <v>Да</v>
      </c>
    </row>
    <row r="118" spans="1:5" x14ac:dyDescent="0.3">
      <c r="A118">
        <v>4073</v>
      </c>
      <c r="B118" s="8">
        <v>1846.1619033536379</v>
      </c>
      <c r="C118" s="8">
        <f t="shared" si="5"/>
        <v>281232.47806047957</v>
      </c>
      <c r="D118" s="25">
        <f t="shared" si="3"/>
        <v>0.78770949981896754</v>
      </c>
      <c r="E118" t="str">
        <f t="shared" si="4"/>
        <v>Да</v>
      </c>
    </row>
    <row r="119" spans="1:5" x14ac:dyDescent="0.3">
      <c r="A119">
        <v>4074</v>
      </c>
      <c r="B119" s="8">
        <v>1824.936751435218</v>
      </c>
      <c r="C119" s="8">
        <f t="shared" si="5"/>
        <v>283057.41481191479</v>
      </c>
      <c r="D119" s="25">
        <f t="shared" si="3"/>
        <v>0.79282100054458837</v>
      </c>
      <c r="E119" t="str">
        <f t="shared" si="4"/>
        <v>Да</v>
      </c>
    </row>
    <row r="120" spans="1:5" x14ac:dyDescent="0.3">
      <c r="A120">
        <v>4075</v>
      </c>
      <c r="B120" s="8">
        <v>1822.8399888546055</v>
      </c>
      <c r="C120" s="8">
        <f t="shared" si="5"/>
        <v>284880.25480076938</v>
      </c>
      <c r="D120" s="25">
        <f t="shared" si="3"/>
        <v>0.79792662840724893</v>
      </c>
      <c r="E120" t="str">
        <f t="shared" si="4"/>
        <v>Да</v>
      </c>
    </row>
    <row r="121" spans="1:5" x14ac:dyDescent="0.3">
      <c r="A121">
        <v>4076</v>
      </c>
      <c r="B121" s="8">
        <v>1820.8961214008511</v>
      </c>
      <c r="C121" s="8">
        <f t="shared" si="5"/>
        <v>286701.15092217026</v>
      </c>
      <c r="D121" s="25">
        <f t="shared" si="3"/>
        <v>0.80302681165387424</v>
      </c>
      <c r="E121" t="str">
        <f t="shared" si="4"/>
        <v>Нет</v>
      </c>
    </row>
    <row r="122" spans="1:5" x14ac:dyDescent="0.3">
      <c r="A122">
        <v>4077</v>
      </c>
      <c r="B122" s="8">
        <v>1816.1011494252862</v>
      </c>
      <c r="C122" s="8">
        <f t="shared" si="5"/>
        <v>288517.25207159552</v>
      </c>
      <c r="D122" s="25">
        <f t="shared" si="3"/>
        <v>0.80811356457053696</v>
      </c>
      <c r="E122" t="str">
        <f t="shared" si="4"/>
        <v>Нет</v>
      </c>
    </row>
    <row r="123" spans="1:5" x14ac:dyDescent="0.3">
      <c r="A123">
        <v>4078</v>
      </c>
      <c r="B123" s="8">
        <v>1779.0436350522891</v>
      </c>
      <c r="C123" s="8">
        <f t="shared" si="5"/>
        <v>290296.2957066478</v>
      </c>
      <c r="D123" s="25">
        <f t="shared" si="3"/>
        <v>0.81309652237678931</v>
      </c>
      <c r="E123" t="str">
        <f t="shared" si="4"/>
        <v>Нет</v>
      </c>
    </row>
    <row r="124" spans="1:5" x14ac:dyDescent="0.3">
      <c r="A124">
        <v>4079</v>
      </c>
      <c r="B124" s="8">
        <v>1768.9171987003381</v>
      </c>
      <c r="C124" s="8">
        <f t="shared" si="5"/>
        <v>292065.21290534816</v>
      </c>
      <c r="D124" s="25">
        <f t="shared" si="3"/>
        <v>0.81805111685115073</v>
      </c>
      <c r="E124" t="str">
        <f t="shared" si="4"/>
        <v>Нет</v>
      </c>
    </row>
    <row r="125" spans="1:5" x14ac:dyDescent="0.3">
      <c r="A125">
        <v>4080</v>
      </c>
      <c r="B125" s="8">
        <v>1767.2010448247092</v>
      </c>
      <c r="C125" s="8">
        <f t="shared" si="5"/>
        <v>293832.41395017289</v>
      </c>
      <c r="D125" s="25">
        <f t="shared" si="3"/>
        <v>0.82300090451685226</v>
      </c>
      <c r="E125" t="str">
        <f t="shared" si="4"/>
        <v>Нет</v>
      </c>
    </row>
    <row r="126" spans="1:5" x14ac:dyDescent="0.3">
      <c r="A126">
        <v>4081</v>
      </c>
      <c r="B126" s="8">
        <v>1754.0118912967305</v>
      </c>
      <c r="C126" s="8">
        <f t="shared" si="5"/>
        <v>295586.42584146961</v>
      </c>
      <c r="D126" s="25">
        <f t="shared" si="3"/>
        <v>0.82791375042675008</v>
      </c>
      <c r="E126" t="str">
        <f t="shared" si="4"/>
        <v>Нет</v>
      </c>
    </row>
    <row r="127" spans="1:5" x14ac:dyDescent="0.3">
      <c r="A127">
        <v>4082</v>
      </c>
      <c r="B127" s="8">
        <v>1753.6102785474718</v>
      </c>
      <c r="C127" s="8">
        <f t="shared" si="5"/>
        <v>297340.03612001706</v>
      </c>
      <c r="D127" s="25">
        <f t="shared" si="3"/>
        <v>0.83282547145171282</v>
      </c>
      <c r="E127" t="str">
        <f t="shared" si="4"/>
        <v>Нет</v>
      </c>
    </row>
    <row r="128" spans="1:5" x14ac:dyDescent="0.3">
      <c r="A128">
        <v>4083</v>
      </c>
      <c r="B128" s="8">
        <v>1736.453967840067</v>
      </c>
      <c r="C128" s="8">
        <f t="shared" si="5"/>
        <v>299076.49008785712</v>
      </c>
      <c r="D128" s="25">
        <f t="shared" si="3"/>
        <v>0.83768913903342002</v>
      </c>
      <c r="E128" t="str">
        <f t="shared" si="4"/>
        <v>Нет</v>
      </c>
    </row>
    <row r="129" spans="1:5" x14ac:dyDescent="0.3">
      <c r="A129">
        <v>4084</v>
      </c>
      <c r="B129" s="8">
        <v>1723.7941857044805</v>
      </c>
      <c r="C129" s="8">
        <f t="shared" si="5"/>
        <v>300800.28427356161</v>
      </c>
      <c r="D129" s="25">
        <f t="shared" si="3"/>
        <v>0.84251734758591923</v>
      </c>
      <c r="E129" t="str">
        <f t="shared" si="4"/>
        <v>Нет</v>
      </c>
    </row>
    <row r="130" spans="1:5" x14ac:dyDescent="0.3">
      <c r="A130">
        <v>4085</v>
      </c>
      <c r="B130" s="8">
        <v>1692.0582835768871</v>
      </c>
      <c r="C130" s="8">
        <f t="shared" si="5"/>
        <v>302492.34255713847</v>
      </c>
      <c r="D130" s="25">
        <f t="shared" si="3"/>
        <v>0.8472566664349116</v>
      </c>
      <c r="E130" t="str">
        <f t="shared" si="4"/>
        <v>Нет</v>
      </c>
    </row>
    <row r="131" spans="1:5" x14ac:dyDescent="0.3">
      <c r="A131">
        <v>4086</v>
      </c>
      <c r="B131" s="8">
        <v>1689.2848780019356</v>
      </c>
      <c r="C131" s="8">
        <f t="shared" si="5"/>
        <v>304181.62743514043</v>
      </c>
      <c r="D131" s="25">
        <f t="shared" ref="D131:D167" si="6">C131/SUM($B$2:$B$167)</f>
        <v>0.85198821719846352</v>
      </c>
      <c r="E131" t="str">
        <f t="shared" ref="E131:E167" si="7">IF(D131&lt;=0.8,"Да","Нет")</f>
        <v>Нет</v>
      </c>
    </row>
    <row r="132" spans="1:5" x14ac:dyDescent="0.3">
      <c r="A132">
        <v>4087</v>
      </c>
      <c r="B132" s="8">
        <v>1679.5318181818179</v>
      </c>
      <c r="C132" s="8">
        <f t="shared" ref="C132:C167" si="8">C131+B132</f>
        <v>305861.15925332223</v>
      </c>
      <c r="D132" s="25">
        <f t="shared" si="6"/>
        <v>0.85669245042769071</v>
      </c>
      <c r="E132" t="str">
        <f t="shared" si="7"/>
        <v>Нет</v>
      </c>
    </row>
    <row r="133" spans="1:5" x14ac:dyDescent="0.3">
      <c r="A133">
        <v>4088</v>
      </c>
      <c r="B133" s="8">
        <v>1676.348675914249</v>
      </c>
      <c r="C133" s="8">
        <f t="shared" si="8"/>
        <v>307537.50792923645</v>
      </c>
      <c r="D133" s="25">
        <f t="shared" si="6"/>
        <v>0.86138776793203176</v>
      </c>
      <c r="E133" t="str">
        <f t="shared" si="7"/>
        <v>Нет</v>
      </c>
    </row>
    <row r="134" spans="1:5" x14ac:dyDescent="0.3">
      <c r="A134">
        <v>4089</v>
      </c>
      <c r="B134" s="8">
        <v>1673.528047094147</v>
      </c>
      <c r="C134" s="8">
        <f t="shared" si="8"/>
        <v>309211.03597633058</v>
      </c>
      <c r="D134" s="25">
        <f t="shared" si="6"/>
        <v>0.86607518508242942</v>
      </c>
      <c r="E134" t="str">
        <f t="shared" si="7"/>
        <v>Нет</v>
      </c>
    </row>
    <row r="135" spans="1:5" x14ac:dyDescent="0.3">
      <c r="A135">
        <v>4090</v>
      </c>
      <c r="B135" s="8">
        <v>1669.0714285714284</v>
      </c>
      <c r="C135" s="8">
        <f t="shared" si="8"/>
        <v>310880.107404902</v>
      </c>
      <c r="D135" s="25">
        <f t="shared" si="6"/>
        <v>0.87075011960361015</v>
      </c>
      <c r="E135" t="str">
        <f t="shared" si="7"/>
        <v>Нет</v>
      </c>
    </row>
    <row r="136" spans="1:5" x14ac:dyDescent="0.3">
      <c r="A136">
        <v>4091</v>
      </c>
      <c r="B136" s="8">
        <v>1660.808333333332</v>
      </c>
      <c r="C136" s="8">
        <f t="shared" si="8"/>
        <v>312540.91573823534</v>
      </c>
      <c r="D136" s="25">
        <f t="shared" si="6"/>
        <v>0.87540190986114874</v>
      </c>
      <c r="E136" t="str">
        <f t="shared" si="7"/>
        <v>Нет</v>
      </c>
    </row>
    <row r="137" spans="1:5" x14ac:dyDescent="0.3">
      <c r="A137">
        <v>4092</v>
      </c>
      <c r="B137" s="8">
        <v>1659.7767387492686</v>
      </c>
      <c r="C137" s="8">
        <f t="shared" si="8"/>
        <v>314200.69247698464</v>
      </c>
      <c r="D137" s="25">
        <f t="shared" si="6"/>
        <v>0.88005081070541824</v>
      </c>
      <c r="E137" t="str">
        <f t="shared" si="7"/>
        <v>Нет</v>
      </c>
    </row>
    <row r="138" spans="1:5" x14ac:dyDescent="0.3">
      <c r="A138">
        <v>4093</v>
      </c>
      <c r="B138" s="8">
        <v>1648.0642857142855</v>
      </c>
      <c r="C138" s="8">
        <f t="shared" si="8"/>
        <v>315848.75676269893</v>
      </c>
      <c r="D138" s="25">
        <f t="shared" si="6"/>
        <v>0.88466690591292241</v>
      </c>
      <c r="E138" t="str">
        <f t="shared" si="7"/>
        <v>Нет</v>
      </c>
    </row>
    <row r="139" spans="1:5" x14ac:dyDescent="0.3">
      <c r="A139">
        <v>4094</v>
      </c>
      <c r="B139" s="8">
        <v>1644.5872549019607</v>
      </c>
      <c r="C139" s="8">
        <f t="shared" si="8"/>
        <v>317493.34401760087</v>
      </c>
      <c r="D139" s="25">
        <f t="shared" si="6"/>
        <v>0.88927326223741809</v>
      </c>
      <c r="E139" t="str">
        <f t="shared" si="7"/>
        <v>Нет</v>
      </c>
    </row>
    <row r="140" spans="1:5" x14ac:dyDescent="0.3">
      <c r="A140">
        <v>4095</v>
      </c>
      <c r="B140" s="8">
        <v>1608.7507936507934</v>
      </c>
      <c r="C140" s="8">
        <f t="shared" si="8"/>
        <v>319102.09481125168</v>
      </c>
      <c r="D140" s="25">
        <f t="shared" si="6"/>
        <v>0.89377924352286375</v>
      </c>
      <c r="E140" t="str">
        <f t="shared" si="7"/>
        <v>Нет</v>
      </c>
    </row>
    <row r="141" spans="1:5" x14ac:dyDescent="0.3">
      <c r="A141">
        <v>4096</v>
      </c>
      <c r="B141" s="8">
        <v>1604.311003010999</v>
      </c>
      <c r="C141" s="8">
        <f t="shared" si="8"/>
        <v>320706.40581426269</v>
      </c>
      <c r="D141" s="25">
        <f t="shared" si="6"/>
        <v>0.89827278931263599</v>
      </c>
      <c r="E141" t="str">
        <f t="shared" si="7"/>
        <v>Нет</v>
      </c>
    </row>
    <row r="142" spans="1:5" x14ac:dyDescent="0.3">
      <c r="A142">
        <v>4097</v>
      </c>
      <c r="B142" s="8">
        <v>1595.5641025641021</v>
      </c>
      <c r="C142" s="8">
        <f t="shared" si="8"/>
        <v>322301.96991682681</v>
      </c>
      <c r="D142" s="25">
        <f t="shared" si="6"/>
        <v>0.90274183573937761</v>
      </c>
      <c r="E142" t="str">
        <f t="shared" si="7"/>
        <v>Нет</v>
      </c>
    </row>
    <row r="143" spans="1:5" x14ac:dyDescent="0.3">
      <c r="A143">
        <v>4098</v>
      </c>
      <c r="B143" s="8">
        <v>1595.0128959276017</v>
      </c>
      <c r="C143" s="8">
        <f t="shared" si="8"/>
        <v>323896.9828127544</v>
      </c>
      <c r="D143" s="25">
        <f t="shared" si="6"/>
        <v>0.90720933828076522</v>
      </c>
      <c r="E143" t="str">
        <f t="shared" si="7"/>
        <v>Нет</v>
      </c>
    </row>
    <row r="144" spans="1:5" x14ac:dyDescent="0.3">
      <c r="A144">
        <v>4099</v>
      </c>
      <c r="B144" s="8">
        <v>1590.4866236939647</v>
      </c>
      <c r="C144" s="8">
        <f t="shared" si="8"/>
        <v>325487.46943644836</v>
      </c>
      <c r="D144" s="25">
        <f t="shared" si="6"/>
        <v>0.91166416309850651</v>
      </c>
      <c r="E144" t="str">
        <f t="shared" si="7"/>
        <v>Нет</v>
      </c>
    </row>
    <row r="145" spans="1:5" x14ac:dyDescent="0.3">
      <c r="A145">
        <v>4100</v>
      </c>
      <c r="B145" s="8">
        <v>1587.6394149093228</v>
      </c>
      <c r="C145" s="8">
        <f t="shared" si="8"/>
        <v>327075.10885135765</v>
      </c>
      <c r="D145" s="25">
        <f t="shared" si="6"/>
        <v>0.91611101311396648</v>
      </c>
      <c r="E145" t="str">
        <f t="shared" si="7"/>
        <v>Нет</v>
      </c>
    </row>
    <row r="146" spans="1:5" x14ac:dyDescent="0.3">
      <c r="A146">
        <v>4101</v>
      </c>
      <c r="B146" s="8">
        <v>1574.3541666666661</v>
      </c>
      <c r="C146" s="8">
        <f t="shared" si="8"/>
        <v>328649.46301802434</v>
      </c>
      <c r="D146" s="25">
        <f t="shared" si="6"/>
        <v>0.92052065222007373</v>
      </c>
      <c r="E146" t="str">
        <f t="shared" si="7"/>
        <v>Нет</v>
      </c>
    </row>
    <row r="147" spans="1:5" x14ac:dyDescent="0.3">
      <c r="A147">
        <v>4102</v>
      </c>
      <c r="B147" s="8">
        <v>1526.2222222222219</v>
      </c>
      <c r="C147" s="8">
        <f t="shared" si="8"/>
        <v>330175.68524024659</v>
      </c>
      <c r="D147" s="25">
        <f t="shared" si="6"/>
        <v>0.92479547762989256</v>
      </c>
      <c r="E147" t="str">
        <f t="shared" si="7"/>
        <v>Нет</v>
      </c>
    </row>
    <row r="148" spans="1:5" x14ac:dyDescent="0.3">
      <c r="A148">
        <v>4103</v>
      </c>
      <c r="B148" s="8">
        <v>1498.2181818181809</v>
      </c>
      <c r="C148" s="8">
        <f t="shared" si="8"/>
        <v>331673.90342206479</v>
      </c>
      <c r="D148" s="25">
        <f t="shared" si="6"/>
        <v>0.9289918659800529</v>
      </c>
      <c r="E148" t="str">
        <f t="shared" si="7"/>
        <v>Нет</v>
      </c>
    </row>
    <row r="149" spans="1:5" x14ac:dyDescent="0.3">
      <c r="A149">
        <v>4104</v>
      </c>
      <c r="B149" s="8">
        <v>1488.4547125987149</v>
      </c>
      <c r="C149" s="8">
        <f t="shared" si="8"/>
        <v>333162.35813466349</v>
      </c>
      <c r="D149" s="25">
        <f t="shared" si="6"/>
        <v>0.93316090764000004</v>
      </c>
      <c r="E149" t="str">
        <f t="shared" si="7"/>
        <v>Нет</v>
      </c>
    </row>
    <row r="150" spans="1:5" x14ac:dyDescent="0.3">
      <c r="A150">
        <v>4105</v>
      </c>
      <c r="B150" s="8">
        <v>1476.597358490566</v>
      </c>
      <c r="C150" s="8">
        <f t="shared" si="8"/>
        <v>334638.95549315406</v>
      </c>
      <c r="D150" s="25">
        <f t="shared" si="6"/>
        <v>0.93729673780695699</v>
      </c>
      <c r="E150" t="str">
        <f t="shared" si="7"/>
        <v>Нет</v>
      </c>
    </row>
    <row r="151" spans="1:5" x14ac:dyDescent="0.3">
      <c r="A151">
        <v>4106</v>
      </c>
      <c r="B151" s="8">
        <v>1473.970200308165</v>
      </c>
      <c r="C151" s="8">
        <f t="shared" si="8"/>
        <v>336112.92569346225</v>
      </c>
      <c r="D151" s="25">
        <f t="shared" si="6"/>
        <v>0.94142520951563058</v>
      </c>
      <c r="E151" t="str">
        <f t="shared" si="7"/>
        <v>Нет</v>
      </c>
    </row>
    <row r="152" spans="1:5" x14ac:dyDescent="0.3">
      <c r="A152">
        <v>4107</v>
      </c>
      <c r="B152" s="8">
        <v>1455.8902636447722</v>
      </c>
      <c r="C152" s="8">
        <f t="shared" si="8"/>
        <v>337568.815957107</v>
      </c>
      <c r="D152" s="25">
        <f t="shared" si="6"/>
        <v>0.94550304077920277</v>
      </c>
      <c r="E152" t="str">
        <f t="shared" si="7"/>
        <v>Нет</v>
      </c>
    </row>
    <row r="153" spans="1:5" x14ac:dyDescent="0.3">
      <c r="A153">
        <v>4108</v>
      </c>
      <c r="B153" s="8">
        <v>1440.8553156813302</v>
      </c>
      <c r="C153" s="8">
        <f t="shared" si="8"/>
        <v>339009.67127278831</v>
      </c>
      <c r="D153" s="25">
        <f t="shared" si="6"/>
        <v>0.94953876036555418</v>
      </c>
      <c r="E153" t="str">
        <f t="shared" si="7"/>
        <v>Нет</v>
      </c>
    </row>
    <row r="154" spans="1:5" x14ac:dyDescent="0.3">
      <c r="A154">
        <v>4109</v>
      </c>
      <c r="B154" s="8">
        <v>1432.2376002142496</v>
      </c>
      <c r="C154" s="8">
        <f t="shared" si="8"/>
        <v>340441.90887300257</v>
      </c>
      <c r="D154" s="25">
        <f t="shared" si="6"/>
        <v>0.95355034242558945</v>
      </c>
      <c r="E154" t="str">
        <f t="shared" si="7"/>
        <v>Нет</v>
      </c>
    </row>
    <row r="155" spans="1:5" x14ac:dyDescent="0.3">
      <c r="A155">
        <v>4110</v>
      </c>
      <c r="B155" s="8">
        <v>1420.889359138492</v>
      </c>
      <c r="C155" s="8">
        <f t="shared" si="8"/>
        <v>341862.79823214107</v>
      </c>
      <c r="D155" s="25">
        <f t="shared" si="6"/>
        <v>0.95753013897719685</v>
      </c>
      <c r="E155" t="str">
        <f t="shared" si="7"/>
        <v>Нет</v>
      </c>
    </row>
    <row r="156" spans="1:5" x14ac:dyDescent="0.3">
      <c r="A156">
        <v>4111</v>
      </c>
      <c r="B156" s="8">
        <v>1399.7160714285703</v>
      </c>
      <c r="C156" s="8">
        <f t="shared" si="8"/>
        <v>343262.51430356962</v>
      </c>
      <c r="D156" s="25">
        <f t="shared" si="6"/>
        <v>0.9614506308567885</v>
      </c>
      <c r="E156" t="str">
        <f t="shared" si="7"/>
        <v>Нет</v>
      </c>
    </row>
    <row r="157" spans="1:5" x14ac:dyDescent="0.3">
      <c r="A157">
        <v>4112</v>
      </c>
      <c r="B157" s="8">
        <v>1376.0625138279779</v>
      </c>
      <c r="C157" s="8">
        <f t="shared" si="8"/>
        <v>344638.57681739761</v>
      </c>
      <c r="D157" s="25">
        <f t="shared" si="6"/>
        <v>0.96530487102834495</v>
      </c>
      <c r="E157" t="str">
        <f t="shared" si="7"/>
        <v>Нет</v>
      </c>
    </row>
    <row r="158" spans="1:5" x14ac:dyDescent="0.3">
      <c r="A158">
        <v>4113</v>
      </c>
      <c r="B158" s="8">
        <v>1348.913893615595</v>
      </c>
      <c r="C158" s="8">
        <f t="shared" si="8"/>
        <v>345987.4907110132</v>
      </c>
      <c r="D158" s="25">
        <f t="shared" si="6"/>
        <v>0.96908307010324091</v>
      </c>
      <c r="E158" t="str">
        <f t="shared" si="7"/>
        <v>Нет</v>
      </c>
    </row>
    <row r="159" spans="1:5" x14ac:dyDescent="0.3">
      <c r="A159">
        <v>4114</v>
      </c>
      <c r="B159" s="8">
        <v>1346.15363515133</v>
      </c>
      <c r="C159" s="8">
        <f t="shared" si="8"/>
        <v>347333.64434616454</v>
      </c>
      <c r="D159" s="25">
        <f t="shared" si="6"/>
        <v>0.97285353791669349</v>
      </c>
      <c r="E159" t="str">
        <f t="shared" si="7"/>
        <v>Нет</v>
      </c>
    </row>
    <row r="160" spans="1:5" x14ac:dyDescent="0.3">
      <c r="A160">
        <v>4115</v>
      </c>
      <c r="B160" s="8">
        <v>1332.824067309564</v>
      </c>
      <c r="C160" s="8">
        <f t="shared" si="8"/>
        <v>348666.4684134741</v>
      </c>
      <c r="D160" s="25">
        <f t="shared" si="6"/>
        <v>0.9765866706851688</v>
      </c>
      <c r="E160" t="str">
        <f t="shared" si="7"/>
        <v>Нет</v>
      </c>
    </row>
    <row r="161" spans="1:5" x14ac:dyDescent="0.3">
      <c r="A161">
        <v>4116</v>
      </c>
      <c r="B161" s="8">
        <v>1288.375</v>
      </c>
      <c r="C161" s="8">
        <f t="shared" si="8"/>
        <v>349954.8434134741</v>
      </c>
      <c r="D161" s="25">
        <f t="shared" si="6"/>
        <v>0.98019530519931974</v>
      </c>
      <c r="E161" t="str">
        <f t="shared" si="7"/>
        <v>Нет</v>
      </c>
    </row>
    <row r="162" spans="1:5" x14ac:dyDescent="0.3">
      <c r="A162">
        <v>4117</v>
      </c>
      <c r="B162" s="8">
        <v>1232.0714285714284</v>
      </c>
      <c r="C162" s="8">
        <f t="shared" si="8"/>
        <v>351186.91484204552</v>
      </c>
      <c r="D162" s="25">
        <f t="shared" si="6"/>
        <v>0.98364623794874617</v>
      </c>
      <c r="E162" t="str">
        <f t="shared" si="7"/>
        <v>Нет</v>
      </c>
    </row>
    <row r="163" spans="1:5" x14ac:dyDescent="0.3">
      <c r="A163">
        <v>4118</v>
      </c>
      <c r="B163" s="8">
        <v>1216.1441077441068</v>
      </c>
      <c r="C163" s="8">
        <f t="shared" si="8"/>
        <v>352403.05894978961</v>
      </c>
      <c r="D163" s="25">
        <f t="shared" si="6"/>
        <v>0.98705255955649751</v>
      </c>
      <c r="E163" t="str">
        <f t="shared" si="7"/>
        <v>Нет</v>
      </c>
    </row>
    <row r="164" spans="1:5" x14ac:dyDescent="0.3">
      <c r="A164">
        <v>4119</v>
      </c>
      <c r="B164" s="8">
        <v>1209.616951421649</v>
      </c>
      <c r="C164" s="8">
        <f t="shared" si="8"/>
        <v>353612.67590121127</v>
      </c>
      <c r="D164" s="25">
        <f t="shared" si="6"/>
        <v>0.99044059912556892</v>
      </c>
      <c r="E164" t="str">
        <f t="shared" si="7"/>
        <v>Нет</v>
      </c>
    </row>
    <row r="165" spans="1:5" x14ac:dyDescent="0.3">
      <c r="A165">
        <v>4120</v>
      </c>
      <c r="B165" s="8">
        <v>1187.6872549019606</v>
      </c>
      <c r="C165" s="8">
        <f t="shared" si="8"/>
        <v>354800.36315611325</v>
      </c>
      <c r="D165" s="25">
        <f t="shared" si="6"/>
        <v>0.99376721538252555</v>
      </c>
      <c r="E165" t="str">
        <f t="shared" si="7"/>
        <v>Нет</v>
      </c>
    </row>
    <row r="166" spans="1:5" x14ac:dyDescent="0.3">
      <c r="A166">
        <v>4121</v>
      </c>
      <c r="B166" s="8">
        <v>1113.6716886377899</v>
      </c>
      <c r="C166" s="8">
        <f t="shared" si="8"/>
        <v>355914.03484475106</v>
      </c>
      <c r="D166" s="25">
        <f t="shared" si="6"/>
        <v>0.99688652000505495</v>
      </c>
      <c r="E166" t="str">
        <f t="shared" si="7"/>
        <v>Нет</v>
      </c>
    </row>
    <row r="167" spans="1:5" x14ac:dyDescent="0.3">
      <c r="A167">
        <v>4122</v>
      </c>
      <c r="B167" s="8">
        <v>1111.5921473225635</v>
      </c>
      <c r="C167" s="8">
        <f t="shared" si="8"/>
        <v>357025.62699207361</v>
      </c>
      <c r="D167" s="25">
        <f t="shared" si="6"/>
        <v>1</v>
      </c>
      <c r="E167" t="str">
        <f t="shared" si="7"/>
        <v>Нет</v>
      </c>
    </row>
    <row r="168" spans="1:5" x14ac:dyDescent="0.3">
      <c r="A168" s="9" t="s">
        <v>77</v>
      </c>
      <c r="B168" s="10">
        <v>357025.62699207262</v>
      </c>
      <c r="C168" s="8"/>
      <c r="D168" s="3"/>
      <c r="E168" s="3"/>
    </row>
    <row r="169" spans="1:5" x14ac:dyDescent="0.3">
      <c r="A169" s="18" t="s">
        <v>109</v>
      </c>
      <c r="B169" s="26">
        <f>COUNTIF(E2:E167,"Да")</f>
        <v>119</v>
      </c>
    </row>
    <row r="170" spans="1:5" x14ac:dyDescent="0.3">
      <c r="A170" s="18" t="s">
        <v>110</v>
      </c>
      <c r="B170" s="28">
        <f>B169/166</f>
        <v>0.7168674698795181</v>
      </c>
    </row>
    <row r="171" spans="1:5" x14ac:dyDescent="0.3">
      <c r="A171" s="18" t="s">
        <v>111</v>
      </c>
      <c r="B171" s="11">
        <f>SUMIF(E2:E167,"Да",B2:B167)</f>
        <v>284880.25480076938</v>
      </c>
    </row>
    <row r="172" spans="1:5" x14ac:dyDescent="0.3">
      <c r="A172" s="18" t="s">
        <v>112</v>
      </c>
      <c r="B172" s="11">
        <f>SUM(B2:B167)</f>
        <v>357025.62699207361</v>
      </c>
    </row>
    <row r="173" spans="1:5" x14ac:dyDescent="0.3">
      <c r="A173" s="18" t="s">
        <v>113</v>
      </c>
      <c r="B173" s="27">
        <f>B171/B172</f>
        <v>0.79792662840724893</v>
      </c>
    </row>
  </sheetData>
  <sortState xmlns:xlrd2="http://schemas.microsoft.com/office/spreadsheetml/2017/richdata2" ref="B2:B167">
    <sortCondition descending="1" ref="B167"/>
  </sortState>
  <conditionalFormatting sqref="E2:E167">
    <cfRule type="containsText" dxfId="1" priority="1" operator="containsText" text="Нет">
      <formula>NOT(ISERROR(SEARCH("Нет",E2)))</formula>
    </cfRule>
    <cfRule type="containsText" dxfId="0" priority="2" operator="containsText" text="Да">
      <formula>NOT(ISERROR(SEARCH("Да",E2)))</formula>
    </cfRule>
  </conditionalFormatting>
  <pageMargins left="0.7" right="0.7" top="0.75" bottom="0.75" header="0.3" footer="0.3"/>
  <ignoredErrors>
    <ignoredError sqref="B17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93FB-3B90-4AAE-A0DE-8296EB40940F}">
  <dimension ref="A1:F53"/>
  <sheetViews>
    <sheetView topLeftCell="A19" workbookViewId="0">
      <selection activeCell="A4" sqref="A4"/>
    </sheetView>
  </sheetViews>
  <sheetFormatPr defaultRowHeight="14.4" x14ac:dyDescent="0.3"/>
  <cols>
    <col min="1" max="1" width="27.88671875" customWidth="1"/>
    <col min="2" max="2" width="14" customWidth="1"/>
  </cols>
  <sheetData>
    <row r="1" spans="1:5" ht="18" x14ac:dyDescent="0.35">
      <c r="A1" s="39" t="s">
        <v>152</v>
      </c>
      <c r="B1" s="40"/>
      <c r="C1" s="40"/>
      <c r="D1" s="40"/>
      <c r="E1" s="40"/>
    </row>
    <row r="2" spans="1:5" x14ac:dyDescent="0.3">
      <c r="A2" t="s">
        <v>153</v>
      </c>
    </row>
    <row r="3" spans="1:5" x14ac:dyDescent="0.3">
      <c r="A3" s="26" t="s">
        <v>154</v>
      </c>
    </row>
    <row r="4" spans="1:5" x14ac:dyDescent="0.3">
      <c r="A4" s="34" t="s">
        <v>155</v>
      </c>
    </row>
    <row r="5" spans="1:5" x14ac:dyDescent="0.3">
      <c r="A5" t="s">
        <v>156</v>
      </c>
    </row>
    <row r="6" spans="1:5" x14ac:dyDescent="0.3">
      <c r="A6" t="s">
        <v>157</v>
      </c>
    </row>
    <row r="7" spans="1:5" x14ac:dyDescent="0.3">
      <c r="A7" t="s">
        <v>158</v>
      </c>
    </row>
    <row r="8" spans="1:5" x14ac:dyDescent="0.3">
      <c r="A8" t="s">
        <v>159</v>
      </c>
    </row>
    <row r="11" spans="1:5" x14ac:dyDescent="0.3">
      <c r="A11" s="34" t="s">
        <v>117</v>
      </c>
    </row>
    <row r="12" spans="1:5" x14ac:dyDescent="0.3">
      <c r="A12" t="s">
        <v>112</v>
      </c>
      <c r="B12" s="26">
        <f>Сводка!B5</f>
        <v>357025.62699207303</v>
      </c>
    </row>
    <row r="13" spans="1:5" x14ac:dyDescent="0.3">
      <c r="A13" s="26" t="s">
        <v>118</v>
      </c>
      <c r="B13" s="26">
        <f>Сводка!B6</f>
        <v>106.35258474592584</v>
      </c>
    </row>
    <row r="14" spans="1:5" x14ac:dyDescent="0.3">
      <c r="A14" s="26" t="s">
        <v>119</v>
      </c>
      <c r="B14" s="26">
        <f>Сводка!B7</f>
        <v>107</v>
      </c>
    </row>
    <row r="15" spans="1:5" x14ac:dyDescent="0.3">
      <c r="A15" s="26" t="s">
        <v>72</v>
      </c>
      <c r="B15" s="26">
        <f>Сводка!B14</f>
        <v>2.9950610491123832</v>
      </c>
    </row>
    <row r="16" spans="1:5" x14ac:dyDescent="0.3">
      <c r="A16" s="26" t="s">
        <v>61</v>
      </c>
      <c r="B16" s="26">
        <f>Сводка!B3</f>
        <v>165.99999999999932</v>
      </c>
    </row>
    <row r="17" spans="1:2" x14ac:dyDescent="0.3">
      <c r="A17" s="26" t="s">
        <v>62</v>
      </c>
      <c r="B17" s="26">
        <f>Сводка!B4</f>
        <v>50.000000000000419</v>
      </c>
    </row>
    <row r="18" spans="1:2" x14ac:dyDescent="0.3">
      <c r="A18" s="35" t="s">
        <v>120</v>
      </c>
    </row>
    <row r="19" spans="1:2" x14ac:dyDescent="0.3">
      <c r="A19" s="26" t="s">
        <v>121</v>
      </c>
      <c r="B19" s="26" t="str">
        <f>'ABC-анализ'!A2</f>
        <v>Skirt</v>
      </c>
    </row>
    <row r="20" spans="1:2" x14ac:dyDescent="0.3">
      <c r="A20" s="26" t="s">
        <v>122</v>
      </c>
      <c r="B20" s="11">
        <f>'ABC-анализ'!E2</f>
        <v>9248.8000000000047</v>
      </c>
    </row>
    <row r="21" spans="1:2" x14ac:dyDescent="0.3">
      <c r="A21" s="26" t="s">
        <v>129</v>
      </c>
      <c r="B21" s="26">
        <f>COUNTIF('ABC-анализ'!H:H,"A")</f>
        <v>21</v>
      </c>
    </row>
    <row r="22" spans="1:2" x14ac:dyDescent="0.3">
      <c r="A22" s="26" t="s">
        <v>123</v>
      </c>
      <c r="B22" s="26">
        <f xml:space="preserve"> COUNTIF('ABC-анализ'!H:H,"B")</f>
        <v>16</v>
      </c>
    </row>
    <row r="23" spans="1:2" x14ac:dyDescent="0.3">
      <c r="A23" s="26" t="s">
        <v>124</v>
      </c>
      <c r="B23" s="26">
        <f>COUNTIF('ABC-анализ'!H:H,"C")</f>
        <v>13</v>
      </c>
    </row>
    <row r="26" spans="1:2" x14ac:dyDescent="0.3">
      <c r="A26" s="34" t="s">
        <v>128</v>
      </c>
    </row>
    <row r="27" spans="1:2" x14ac:dyDescent="0.3">
      <c r="A27" t="s">
        <v>130</v>
      </c>
      <c r="B27">
        <f>Парето!B169</f>
        <v>119</v>
      </c>
    </row>
    <row r="28" spans="1:2" x14ac:dyDescent="0.3">
      <c r="A28" s="26" t="s">
        <v>110</v>
      </c>
      <c r="B28">
        <f>Парето!B170</f>
        <v>0.7168674698795181</v>
      </c>
    </row>
    <row r="29" spans="1:2" x14ac:dyDescent="0.3">
      <c r="A29" s="26" t="s">
        <v>111</v>
      </c>
      <c r="B29" s="8">
        <f>Парето!B171</f>
        <v>284880.25480076938</v>
      </c>
    </row>
    <row r="30" spans="1:2" x14ac:dyDescent="0.3">
      <c r="A30" s="26" t="s">
        <v>131</v>
      </c>
      <c r="B30" s="25">
        <f>Парето!B173</f>
        <v>0.79792662840724893</v>
      </c>
    </row>
    <row r="31" spans="1:2" x14ac:dyDescent="0.3">
      <c r="A31" s="26" t="s">
        <v>132</v>
      </c>
      <c r="B31">
        <v>4</v>
      </c>
    </row>
    <row r="34" spans="1:6" x14ac:dyDescent="0.3">
      <c r="A34" s="34" t="s">
        <v>133</v>
      </c>
    </row>
    <row r="35" spans="1:6" ht="15" customHeight="1" x14ac:dyDescent="0.3">
      <c r="A35" s="38" t="s">
        <v>134</v>
      </c>
      <c r="B35" s="38"/>
      <c r="C35" s="38"/>
      <c r="D35" s="38"/>
      <c r="E35" s="38"/>
      <c r="F35" s="38"/>
    </row>
    <row r="36" spans="1:6" ht="14.4" customHeight="1" x14ac:dyDescent="0.3">
      <c r="A36" s="37" t="s">
        <v>135</v>
      </c>
      <c r="B36" s="37"/>
      <c r="C36" s="37"/>
      <c r="D36" s="37"/>
      <c r="E36" s="37"/>
      <c r="F36" s="37"/>
    </row>
    <row r="37" spans="1:6" ht="13.8" customHeight="1" x14ac:dyDescent="0.3">
      <c r="A37" s="37" t="s">
        <v>136</v>
      </c>
      <c r="B37" s="37"/>
      <c r="C37" s="37"/>
      <c r="D37" s="37"/>
      <c r="E37" s="37"/>
      <c r="F37" s="37"/>
    </row>
    <row r="38" spans="1:6" ht="15.6" customHeight="1" x14ac:dyDescent="0.3">
      <c r="A38" s="38" t="s">
        <v>137</v>
      </c>
      <c r="B38" s="38"/>
      <c r="C38" s="38"/>
      <c r="D38" s="38"/>
      <c r="E38" s="38"/>
      <c r="F38" s="38"/>
    </row>
    <row r="39" spans="1:6" ht="17.399999999999999" customHeight="1" x14ac:dyDescent="0.3">
      <c r="A39" s="37" t="s">
        <v>138</v>
      </c>
      <c r="B39" s="37"/>
      <c r="C39" s="37"/>
      <c r="D39" s="37"/>
      <c r="E39" s="37"/>
      <c r="F39" s="37"/>
    </row>
    <row r="40" spans="1:6" ht="16.2" customHeight="1" x14ac:dyDescent="0.3">
      <c r="A40" s="37" t="s">
        <v>139</v>
      </c>
      <c r="B40" s="37"/>
      <c r="C40" s="37"/>
      <c r="D40" s="37"/>
      <c r="E40" s="37"/>
      <c r="F40" s="37"/>
    </row>
    <row r="41" spans="1:6" ht="15" customHeight="1" x14ac:dyDescent="0.3">
      <c r="A41" s="37" t="s">
        <v>140</v>
      </c>
      <c r="B41" s="37"/>
      <c r="C41" s="37"/>
      <c r="D41" s="37"/>
      <c r="E41" s="37"/>
      <c r="F41" s="37"/>
    </row>
    <row r="43" spans="1:6" x14ac:dyDescent="0.3">
      <c r="A43" s="34" t="s">
        <v>141</v>
      </c>
    </row>
    <row r="44" spans="1:6" ht="12.6" customHeight="1" x14ac:dyDescent="0.3">
      <c r="A44" s="36" t="s">
        <v>142</v>
      </c>
      <c r="B44" s="36"/>
      <c r="C44" s="36"/>
      <c r="D44" s="36"/>
    </row>
    <row r="45" spans="1:6" ht="13.8" customHeight="1" x14ac:dyDescent="0.3">
      <c r="A45" s="36" t="s">
        <v>143</v>
      </c>
      <c r="B45" s="36"/>
      <c r="C45" s="36"/>
      <c r="D45" s="36"/>
    </row>
    <row r="46" spans="1:6" ht="13.8" customHeight="1" x14ac:dyDescent="0.3">
      <c r="A46" s="36" t="s">
        <v>144</v>
      </c>
      <c r="B46" s="36"/>
      <c r="C46" s="36"/>
      <c r="D46" s="36"/>
    </row>
    <row r="47" spans="1:6" ht="13.2" customHeight="1" x14ac:dyDescent="0.3">
      <c r="A47" s="36" t="s">
        <v>145</v>
      </c>
      <c r="B47" s="36"/>
      <c r="C47" s="36"/>
      <c r="D47" s="36"/>
    </row>
    <row r="48" spans="1:6" ht="12" customHeight="1" x14ac:dyDescent="0.3">
      <c r="A48" s="36" t="s">
        <v>146</v>
      </c>
      <c r="B48" s="36"/>
      <c r="C48" s="36"/>
      <c r="D48" s="36"/>
    </row>
    <row r="49" spans="1:4" ht="14.4" customHeight="1" x14ac:dyDescent="0.3">
      <c r="A49" s="36" t="s">
        <v>147</v>
      </c>
      <c r="B49" s="36"/>
      <c r="C49" s="36"/>
      <c r="D49" s="36"/>
    </row>
    <row r="50" spans="1:4" ht="13.2" customHeight="1" x14ac:dyDescent="0.3">
      <c r="A50" s="36" t="s">
        <v>148</v>
      </c>
      <c r="B50" s="36"/>
      <c r="C50" s="36"/>
      <c r="D50" s="36"/>
    </row>
    <row r="51" spans="1:4" ht="13.2" customHeight="1" x14ac:dyDescent="0.3">
      <c r="A51" s="36" t="s">
        <v>149</v>
      </c>
      <c r="B51" s="36"/>
      <c r="C51" s="36"/>
      <c r="D51" s="36"/>
    </row>
    <row r="52" spans="1:4" ht="12" customHeight="1" x14ac:dyDescent="0.3">
      <c r="A52" s="36" t="s">
        <v>150</v>
      </c>
      <c r="B52" s="36"/>
      <c r="C52" s="36"/>
      <c r="D52" s="36"/>
    </row>
    <row r="53" spans="1:4" x14ac:dyDescent="0.3">
      <c r="A53" s="36" t="s">
        <v>151</v>
      </c>
      <c r="B53" s="36"/>
      <c r="C53" s="36"/>
      <c r="D53" s="36"/>
    </row>
  </sheetData>
  <mergeCells count="18">
    <mergeCell ref="A41:F41"/>
    <mergeCell ref="A1:E1"/>
    <mergeCell ref="A35:F35"/>
    <mergeCell ref="A36:F36"/>
    <mergeCell ref="A37:F37"/>
    <mergeCell ref="A38:F38"/>
    <mergeCell ref="A39:F39"/>
    <mergeCell ref="A40:F40"/>
    <mergeCell ref="A50:D50"/>
    <mergeCell ref="A51:D51"/>
    <mergeCell ref="A52:D52"/>
    <mergeCell ref="A53:D53"/>
    <mergeCell ref="A44:D44"/>
    <mergeCell ref="A45:D45"/>
    <mergeCell ref="A46:D46"/>
    <mergeCell ref="A47:D47"/>
    <mergeCell ref="A48:D48"/>
    <mergeCell ref="A49:D4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8B5A-FB90-46C2-973F-336884411109}">
  <dimension ref="A1"/>
  <sheetViews>
    <sheetView showGridLines="0" workbookViewId="0">
      <selection activeCell="Q12" sqref="Q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EA17-6DFC-4EB7-B257-76BB1D1D595C}">
  <dimension ref="A1:E8"/>
  <sheetViews>
    <sheetView workbookViewId="0">
      <selection activeCell="C16" sqref="C16"/>
    </sheetView>
  </sheetViews>
  <sheetFormatPr defaultRowHeight="14.4" x14ac:dyDescent="0.3"/>
  <cols>
    <col min="1" max="1" width="44.21875" customWidth="1"/>
  </cols>
  <sheetData>
    <row r="1" spans="1:5" x14ac:dyDescent="0.3">
      <c r="A1" s="9" t="s">
        <v>384</v>
      </c>
      <c r="B1" s="9" t="s">
        <v>385</v>
      </c>
      <c r="C1" s="9" t="s">
        <v>386</v>
      </c>
      <c r="D1" s="9" t="s">
        <v>369</v>
      </c>
      <c r="E1" s="9" t="s">
        <v>387</v>
      </c>
    </row>
    <row r="2" spans="1:5" x14ac:dyDescent="0.3">
      <c r="A2" t="s">
        <v>388</v>
      </c>
      <c r="B2" t="s">
        <v>389</v>
      </c>
      <c r="C2" t="s">
        <v>390</v>
      </c>
      <c r="D2" t="s">
        <v>391</v>
      </c>
      <c r="E2" t="s">
        <v>392</v>
      </c>
    </row>
    <row r="3" spans="1:5" x14ac:dyDescent="0.3">
      <c r="A3" t="s">
        <v>393</v>
      </c>
      <c r="B3" t="s">
        <v>389</v>
      </c>
      <c r="C3" t="s">
        <v>394</v>
      </c>
      <c r="D3" t="s">
        <v>395</v>
      </c>
      <c r="E3" t="s">
        <v>392</v>
      </c>
    </row>
    <row r="4" spans="1:5" x14ac:dyDescent="0.3">
      <c r="A4" t="s">
        <v>396</v>
      </c>
      <c r="B4" t="s">
        <v>397</v>
      </c>
      <c r="C4" t="s">
        <v>398</v>
      </c>
      <c r="D4" t="s">
        <v>379</v>
      </c>
      <c r="E4" t="s">
        <v>399</v>
      </c>
    </row>
    <row r="5" spans="1:5" x14ac:dyDescent="0.3">
      <c r="A5" t="s">
        <v>400</v>
      </c>
      <c r="B5" t="s">
        <v>397</v>
      </c>
      <c r="C5" t="s">
        <v>401</v>
      </c>
      <c r="D5" t="s">
        <v>379</v>
      </c>
      <c r="E5" t="s">
        <v>399</v>
      </c>
    </row>
    <row r="6" spans="1:5" x14ac:dyDescent="0.3">
      <c r="A6" t="s">
        <v>402</v>
      </c>
      <c r="B6" t="s">
        <v>403</v>
      </c>
      <c r="C6" t="s">
        <v>404</v>
      </c>
      <c r="D6" t="s">
        <v>405</v>
      </c>
      <c r="E6" t="s">
        <v>392</v>
      </c>
    </row>
    <row r="7" spans="1:5" x14ac:dyDescent="0.3">
      <c r="A7" t="s">
        <v>406</v>
      </c>
      <c r="B7" t="s">
        <v>397</v>
      </c>
      <c r="C7" t="s">
        <v>407</v>
      </c>
      <c r="D7" t="s">
        <v>408</v>
      </c>
      <c r="E7" t="s">
        <v>392</v>
      </c>
    </row>
    <row r="8" spans="1:5" x14ac:dyDescent="0.3">
      <c r="A8" t="s">
        <v>409</v>
      </c>
      <c r="B8" t="s">
        <v>397</v>
      </c>
      <c r="C8" t="s">
        <v>410</v>
      </c>
      <c r="D8" t="s">
        <v>411</v>
      </c>
      <c r="E8" t="s">
        <v>392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6448-96BE-48EE-AED7-C5CC80BD6AC9}">
  <dimension ref="A1:D5"/>
  <sheetViews>
    <sheetView workbookViewId="0">
      <selection activeCell="E17" sqref="E17"/>
    </sheetView>
  </sheetViews>
  <sheetFormatPr defaultRowHeight="14.4" x14ac:dyDescent="0.3"/>
  <cols>
    <col min="1" max="1" width="31.6640625" customWidth="1"/>
  </cols>
  <sheetData>
    <row r="1" spans="1:4" x14ac:dyDescent="0.3">
      <c r="A1" s="9" t="s">
        <v>58</v>
      </c>
      <c r="B1" s="9" t="s">
        <v>368</v>
      </c>
      <c r="C1" s="9" t="s">
        <v>369</v>
      </c>
      <c r="D1" s="9" t="s">
        <v>370</v>
      </c>
    </row>
    <row r="2" spans="1:4" x14ac:dyDescent="0.3">
      <c r="A2" t="s">
        <v>371</v>
      </c>
      <c r="B2" t="s">
        <v>372</v>
      </c>
      <c r="C2" t="s">
        <v>373</v>
      </c>
      <c r="D2" t="s">
        <v>374</v>
      </c>
    </row>
    <row r="3" spans="1:4" x14ac:dyDescent="0.3">
      <c r="A3" t="s">
        <v>375</v>
      </c>
      <c r="B3" t="s">
        <v>376</v>
      </c>
      <c r="C3" t="s">
        <v>377</v>
      </c>
      <c r="D3" t="s">
        <v>374</v>
      </c>
    </row>
    <row r="4" spans="1:4" x14ac:dyDescent="0.3">
      <c r="A4" t="s">
        <v>378</v>
      </c>
      <c r="B4" t="s">
        <v>379</v>
      </c>
      <c r="D4" t="s">
        <v>380</v>
      </c>
    </row>
    <row r="5" spans="1:4" x14ac:dyDescent="0.3">
      <c r="A5" t="s">
        <v>381</v>
      </c>
      <c r="B5" t="s">
        <v>382</v>
      </c>
      <c r="C5" t="s">
        <v>383</v>
      </c>
      <c r="D5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E8E1-B61E-4472-BDAF-D12B61B51724}">
  <dimension ref="A1:F167"/>
  <sheetViews>
    <sheetView workbookViewId="0">
      <selection sqref="A1:F1"/>
    </sheetView>
  </sheetViews>
  <sheetFormatPr defaultRowHeight="14.4" x14ac:dyDescent="0.3"/>
  <cols>
    <col min="1" max="1" width="11.6640625" customWidth="1"/>
  </cols>
  <sheetData>
    <row r="1" spans="1:6" x14ac:dyDescent="0.3">
      <c r="A1" s="9" t="s">
        <v>193</v>
      </c>
      <c r="B1" s="9" t="s">
        <v>194</v>
      </c>
      <c r="C1" s="9" t="s">
        <v>195</v>
      </c>
      <c r="D1" s="9" t="s">
        <v>196</v>
      </c>
      <c r="E1" s="9" t="s">
        <v>197</v>
      </c>
      <c r="F1" s="9" t="s">
        <v>198</v>
      </c>
    </row>
    <row r="2" spans="1:6" x14ac:dyDescent="0.3">
      <c r="A2">
        <v>3957</v>
      </c>
      <c r="B2">
        <v>86</v>
      </c>
      <c r="C2">
        <v>14</v>
      </c>
      <c r="D2" t="s">
        <v>199</v>
      </c>
      <c r="E2">
        <v>2</v>
      </c>
      <c r="F2" t="s">
        <v>200</v>
      </c>
    </row>
    <row r="3" spans="1:6" x14ac:dyDescent="0.3">
      <c r="A3">
        <v>3958</v>
      </c>
      <c r="B3">
        <v>18</v>
      </c>
      <c r="C3">
        <v>20</v>
      </c>
      <c r="D3" t="s">
        <v>201</v>
      </c>
      <c r="E3">
        <v>0</v>
      </c>
      <c r="F3" t="s">
        <v>202</v>
      </c>
    </row>
    <row r="4" spans="1:6" x14ac:dyDescent="0.3">
      <c r="A4">
        <v>3959</v>
      </c>
      <c r="B4">
        <v>29</v>
      </c>
      <c r="C4">
        <v>22</v>
      </c>
      <c r="D4" t="s">
        <v>203</v>
      </c>
      <c r="E4">
        <v>1</v>
      </c>
      <c r="F4" t="s">
        <v>204</v>
      </c>
    </row>
    <row r="5" spans="1:6" x14ac:dyDescent="0.3">
      <c r="A5">
        <v>3960</v>
      </c>
      <c r="B5">
        <v>18</v>
      </c>
      <c r="C5">
        <v>18</v>
      </c>
      <c r="D5" t="s">
        <v>205</v>
      </c>
      <c r="E5">
        <v>0</v>
      </c>
      <c r="F5" t="s">
        <v>202</v>
      </c>
    </row>
    <row r="6" spans="1:6" x14ac:dyDescent="0.3">
      <c r="A6">
        <v>3961</v>
      </c>
      <c r="B6">
        <v>34</v>
      </c>
      <c r="C6">
        <v>22</v>
      </c>
      <c r="D6" t="s">
        <v>206</v>
      </c>
      <c r="E6">
        <v>1</v>
      </c>
      <c r="F6" t="s">
        <v>204</v>
      </c>
    </row>
    <row r="7" spans="1:6" x14ac:dyDescent="0.3">
      <c r="A7">
        <v>3962</v>
      </c>
      <c r="B7">
        <v>7</v>
      </c>
      <c r="C7">
        <v>22</v>
      </c>
      <c r="D7" t="s">
        <v>207</v>
      </c>
      <c r="E7">
        <v>1</v>
      </c>
      <c r="F7" t="s">
        <v>204</v>
      </c>
    </row>
    <row r="8" spans="1:6" x14ac:dyDescent="0.3">
      <c r="A8">
        <v>3963</v>
      </c>
      <c r="B8">
        <v>5</v>
      </c>
      <c r="C8">
        <v>20</v>
      </c>
      <c r="D8" t="s">
        <v>208</v>
      </c>
      <c r="E8">
        <v>1</v>
      </c>
      <c r="F8" t="s">
        <v>204</v>
      </c>
    </row>
    <row r="9" spans="1:6" x14ac:dyDescent="0.3">
      <c r="A9">
        <v>3964</v>
      </c>
      <c r="B9">
        <v>8</v>
      </c>
      <c r="C9">
        <v>22</v>
      </c>
      <c r="D9" t="s">
        <v>209</v>
      </c>
      <c r="E9">
        <v>1</v>
      </c>
      <c r="F9" t="s">
        <v>204</v>
      </c>
    </row>
    <row r="10" spans="1:6" x14ac:dyDescent="0.3">
      <c r="A10">
        <v>3965</v>
      </c>
      <c r="B10">
        <v>4</v>
      </c>
      <c r="C10">
        <v>19</v>
      </c>
      <c r="D10" t="s">
        <v>210</v>
      </c>
      <c r="E10">
        <v>1</v>
      </c>
      <c r="F10" t="s">
        <v>204</v>
      </c>
    </row>
    <row r="11" spans="1:6" x14ac:dyDescent="0.3">
      <c r="A11">
        <v>3966</v>
      </c>
      <c r="B11">
        <v>15</v>
      </c>
      <c r="C11">
        <v>18</v>
      </c>
      <c r="D11" t="s">
        <v>211</v>
      </c>
      <c r="E11">
        <v>1</v>
      </c>
      <c r="F11" t="s">
        <v>204</v>
      </c>
    </row>
    <row r="12" spans="1:6" x14ac:dyDescent="0.3">
      <c r="A12">
        <v>3967</v>
      </c>
      <c r="B12">
        <v>6</v>
      </c>
      <c r="C12">
        <v>21</v>
      </c>
      <c r="D12" t="s">
        <v>212</v>
      </c>
      <c r="E12">
        <v>1</v>
      </c>
      <c r="F12" t="s">
        <v>204</v>
      </c>
    </row>
    <row r="13" spans="1:6" x14ac:dyDescent="0.3">
      <c r="A13">
        <v>3968</v>
      </c>
      <c r="B13">
        <v>11</v>
      </c>
      <c r="C13">
        <v>25</v>
      </c>
      <c r="D13" t="s">
        <v>213</v>
      </c>
      <c r="E13">
        <v>1</v>
      </c>
      <c r="F13" t="s">
        <v>204</v>
      </c>
    </row>
    <row r="14" spans="1:6" x14ac:dyDescent="0.3">
      <c r="A14">
        <v>3969</v>
      </c>
      <c r="B14">
        <v>17</v>
      </c>
      <c r="C14">
        <v>14</v>
      </c>
      <c r="D14" t="s">
        <v>214</v>
      </c>
      <c r="E14">
        <v>0</v>
      </c>
      <c r="F14" t="s">
        <v>202</v>
      </c>
    </row>
    <row r="15" spans="1:6" x14ac:dyDescent="0.3">
      <c r="A15">
        <v>3970</v>
      </c>
      <c r="B15">
        <v>6</v>
      </c>
      <c r="C15">
        <v>27</v>
      </c>
      <c r="D15" t="s">
        <v>215</v>
      </c>
      <c r="E15">
        <v>3</v>
      </c>
      <c r="F15" t="s">
        <v>204</v>
      </c>
    </row>
    <row r="16" spans="1:6" x14ac:dyDescent="0.3">
      <c r="A16">
        <v>3971</v>
      </c>
      <c r="B16">
        <v>34</v>
      </c>
      <c r="C16">
        <v>18</v>
      </c>
      <c r="D16" t="s">
        <v>216</v>
      </c>
      <c r="E16">
        <v>0</v>
      </c>
      <c r="F16" t="s">
        <v>202</v>
      </c>
    </row>
    <row r="17" spans="1:6" x14ac:dyDescent="0.3">
      <c r="A17">
        <v>3972</v>
      </c>
      <c r="B17">
        <v>78</v>
      </c>
      <c r="C17">
        <v>19</v>
      </c>
      <c r="D17" t="s">
        <v>217</v>
      </c>
      <c r="E17">
        <v>2</v>
      </c>
      <c r="F17" t="s">
        <v>200</v>
      </c>
    </row>
    <row r="18" spans="1:6" x14ac:dyDescent="0.3">
      <c r="A18">
        <v>3973</v>
      </c>
      <c r="B18">
        <v>28</v>
      </c>
      <c r="C18">
        <v>28</v>
      </c>
      <c r="D18" t="s">
        <v>218</v>
      </c>
      <c r="E18">
        <v>3</v>
      </c>
      <c r="F18" t="s">
        <v>204</v>
      </c>
    </row>
    <row r="19" spans="1:6" x14ac:dyDescent="0.3">
      <c r="A19">
        <v>3974</v>
      </c>
      <c r="B19">
        <v>3</v>
      </c>
      <c r="C19">
        <v>20</v>
      </c>
      <c r="D19" t="s">
        <v>219</v>
      </c>
      <c r="E19">
        <v>1</v>
      </c>
      <c r="F19" t="s">
        <v>204</v>
      </c>
    </row>
    <row r="20" spans="1:6" x14ac:dyDescent="0.3">
      <c r="A20">
        <v>3975</v>
      </c>
      <c r="B20">
        <v>3</v>
      </c>
      <c r="C20">
        <v>14</v>
      </c>
      <c r="D20" t="s">
        <v>220</v>
      </c>
      <c r="E20">
        <v>0</v>
      </c>
      <c r="F20" t="s">
        <v>202</v>
      </c>
    </row>
    <row r="21" spans="1:6" x14ac:dyDescent="0.3">
      <c r="A21">
        <v>3976</v>
      </c>
      <c r="B21">
        <v>4</v>
      </c>
      <c r="C21">
        <v>18</v>
      </c>
      <c r="D21" t="s">
        <v>221</v>
      </c>
      <c r="E21">
        <v>1</v>
      </c>
      <c r="F21" t="s">
        <v>204</v>
      </c>
    </row>
    <row r="22" spans="1:6" x14ac:dyDescent="0.3">
      <c r="A22">
        <v>3977</v>
      </c>
      <c r="B22">
        <v>12</v>
      </c>
      <c r="C22">
        <v>17</v>
      </c>
      <c r="D22" t="s">
        <v>222</v>
      </c>
      <c r="E22">
        <v>0</v>
      </c>
      <c r="F22" t="s">
        <v>202</v>
      </c>
    </row>
    <row r="23" spans="1:6" x14ac:dyDescent="0.3">
      <c r="A23">
        <v>3978</v>
      </c>
      <c r="B23">
        <v>4</v>
      </c>
      <c r="C23">
        <v>27</v>
      </c>
      <c r="D23" t="s">
        <v>223</v>
      </c>
      <c r="E23">
        <v>3</v>
      </c>
      <c r="F23" t="s">
        <v>204</v>
      </c>
    </row>
    <row r="24" spans="1:6" x14ac:dyDescent="0.3">
      <c r="A24">
        <v>3979</v>
      </c>
      <c r="B24">
        <v>24</v>
      </c>
      <c r="C24">
        <v>22</v>
      </c>
      <c r="D24" t="s">
        <v>224</v>
      </c>
      <c r="E24">
        <v>1</v>
      </c>
      <c r="F24" t="s">
        <v>204</v>
      </c>
    </row>
    <row r="25" spans="1:6" x14ac:dyDescent="0.3">
      <c r="A25">
        <v>3980</v>
      </c>
      <c r="B25">
        <v>4</v>
      </c>
      <c r="C25">
        <v>20</v>
      </c>
      <c r="D25" t="s">
        <v>225</v>
      </c>
      <c r="E25">
        <v>1</v>
      </c>
      <c r="F25" t="s">
        <v>204</v>
      </c>
    </row>
    <row r="26" spans="1:6" x14ac:dyDescent="0.3">
      <c r="A26">
        <v>3981</v>
      </c>
      <c r="B26">
        <v>86</v>
      </c>
      <c r="C26">
        <v>19</v>
      </c>
      <c r="D26" t="s">
        <v>226</v>
      </c>
      <c r="E26">
        <v>2</v>
      </c>
      <c r="F26" t="s">
        <v>200</v>
      </c>
    </row>
    <row r="27" spans="1:6" x14ac:dyDescent="0.3">
      <c r="A27">
        <v>3982</v>
      </c>
      <c r="B27">
        <v>8</v>
      </c>
      <c r="C27">
        <v>21</v>
      </c>
      <c r="D27" t="s">
        <v>227</v>
      </c>
      <c r="E27">
        <v>1</v>
      </c>
      <c r="F27" t="s">
        <v>204</v>
      </c>
    </row>
    <row r="28" spans="1:6" x14ac:dyDescent="0.3">
      <c r="A28">
        <v>3983</v>
      </c>
      <c r="B28">
        <v>2</v>
      </c>
      <c r="C28">
        <v>18</v>
      </c>
      <c r="D28" t="s">
        <v>228</v>
      </c>
      <c r="E28">
        <v>0</v>
      </c>
      <c r="F28" t="s">
        <v>202</v>
      </c>
    </row>
    <row r="29" spans="1:6" x14ac:dyDescent="0.3">
      <c r="A29">
        <v>3984</v>
      </c>
      <c r="B29">
        <v>32</v>
      </c>
      <c r="C29">
        <v>18</v>
      </c>
      <c r="D29" t="s">
        <v>229</v>
      </c>
      <c r="E29">
        <v>0</v>
      </c>
      <c r="F29" t="s">
        <v>202</v>
      </c>
    </row>
    <row r="30" spans="1:6" x14ac:dyDescent="0.3">
      <c r="A30">
        <v>3985</v>
      </c>
      <c r="B30">
        <v>8</v>
      </c>
      <c r="C30">
        <v>25</v>
      </c>
      <c r="D30" t="s">
        <v>230</v>
      </c>
      <c r="E30">
        <v>3</v>
      </c>
      <c r="F30" t="s">
        <v>204</v>
      </c>
    </row>
    <row r="31" spans="1:6" x14ac:dyDescent="0.3">
      <c r="A31">
        <v>3986</v>
      </c>
      <c r="B31">
        <v>7</v>
      </c>
      <c r="C31">
        <v>22</v>
      </c>
      <c r="D31" t="s">
        <v>231</v>
      </c>
      <c r="E31">
        <v>1</v>
      </c>
      <c r="F31" t="s">
        <v>204</v>
      </c>
    </row>
    <row r="32" spans="1:6" x14ac:dyDescent="0.3">
      <c r="A32">
        <v>3987</v>
      </c>
      <c r="B32">
        <v>31</v>
      </c>
      <c r="C32">
        <v>26</v>
      </c>
      <c r="D32" t="s">
        <v>232</v>
      </c>
      <c r="E32">
        <v>3</v>
      </c>
      <c r="F32" t="s">
        <v>204</v>
      </c>
    </row>
    <row r="33" spans="1:6" x14ac:dyDescent="0.3">
      <c r="A33">
        <v>3988</v>
      </c>
      <c r="B33">
        <v>8</v>
      </c>
      <c r="C33">
        <v>25</v>
      </c>
      <c r="D33" t="s">
        <v>233</v>
      </c>
      <c r="E33">
        <v>3</v>
      </c>
      <c r="F33" t="s">
        <v>204</v>
      </c>
    </row>
    <row r="34" spans="1:6" x14ac:dyDescent="0.3">
      <c r="A34">
        <v>3989</v>
      </c>
      <c r="B34">
        <v>19</v>
      </c>
      <c r="C34">
        <v>22</v>
      </c>
      <c r="D34" t="s">
        <v>234</v>
      </c>
      <c r="E34">
        <v>1</v>
      </c>
      <c r="F34" t="s">
        <v>204</v>
      </c>
    </row>
    <row r="35" spans="1:6" x14ac:dyDescent="0.3">
      <c r="A35">
        <v>3990</v>
      </c>
      <c r="B35">
        <v>21</v>
      </c>
      <c r="C35">
        <v>22</v>
      </c>
      <c r="D35" t="s">
        <v>235</v>
      </c>
      <c r="E35">
        <v>1</v>
      </c>
      <c r="F35" t="s">
        <v>204</v>
      </c>
    </row>
    <row r="36" spans="1:6" x14ac:dyDescent="0.3">
      <c r="A36">
        <v>3991</v>
      </c>
      <c r="B36">
        <v>13</v>
      </c>
      <c r="C36">
        <v>18</v>
      </c>
      <c r="D36" t="s">
        <v>236</v>
      </c>
      <c r="E36">
        <v>0</v>
      </c>
      <c r="F36" t="s">
        <v>202</v>
      </c>
    </row>
    <row r="37" spans="1:6" x14ac:dyDescent="0.3">
      <c r="A37">
        <v>3992</v>
      </c>
      <c r="B37">
        <v>10</v>
      </c>
      <c r="C37">
        <v>24</v>
      </c>
      <c r="D37" t="s">
        <v>237</v>
      </c>
      <c r="E37">
        <v>1</v>
      </c>
      <c r="F37" t="s">
        <v>204</v>
      </c>
    </row>
    <row r="38" spans="1:6" x14ac:dyDescent="0.3">
      <c r="A38">
        <v>3993</v>
      </c>
      <c r="B38">
        <v>5</v>
      </c>
      <c r="C38">
        <v>21</v>
      </c>
      <c r="D38" t="s">
        <v>238</v>
      </c>
      <c r="E38">
        <v>1</v>
      </c>
      <c r="F38" t="s">
        <v>204</v>
      </c>
    </row>
    <row r="39" spans="1:6" x14ac:dyDescent="0.3">
      <c r="A39">
        <v>3994</v>
      </c>
      <c r="B39">
        <v>22</v>
      </c>
      <c r="C39">
        <v>25</v>
      </c>
      <c r="D39" t="s">
        <v>239</v>
      </c>
      <c r="E39">
        <v>3</v>
      </c>
      <c r="F39" t="s">
        <v>204</v>
      </c>
    </row>
    <row r="40" spans="1:6" x14ac:dyDescent="0.3">
      <c r="A40">
        <v>3995</v>
      </c>
      <c r="B40">
        <v>12</v>
      </c>
      <c r="C40">
        <v>20</v>
      </c>
      <c r="D40" t="s">
        <v>240</v>
      </c>
      <c r="E40">
        <v>1</v>
      </c>
      <c r="F40" t="s">
        <v>204</v>
      </c>
    </row>
    <row r="41" spans="1:6" x14ac:dyDescent="0.3">
      <c r="A41">
        <v>3996</v>
      </c>
      <c r="B41">
        <v>27</v>
      </c>
      <c r="C41">
        <v>16</v>
      </c>
      <c r="D41" t="s">
        <v>241</v>
      </c>
      <c r="E41">
        <v>0</v>
      </c>
      <c r="F41" t="s">
        <v>202</v>
      </c>
    </row>
    <row r="42" spans="1:6" x14ac:dyDescent="0.3">
      <c r="A42">
        <v>3997</v>
      </c>
      <c r="B42">
        <v>24</v>
      </c>
      <c r="C42">
        <v>16</v>
      </c>
      <c r="D42" t="s">
        <v>242</v>
      </c>
      <c r="E42">
        <v>0</v>
      </c>
      <c r="F42" t="s">
        <v>202</v>
      </c>
    </row>
    <row r="43" spans="1:6" x14ac:dyDescent="0.3">
      <c r="A43">
        <v>3998</v>
      </c>
      <c r="B43">
        <v>9</v>
      </c>
      <c r="C43">
        <v>21</v>
      </c>
      <c r="D43" t="s">
        <v>243</v>
      </c>
      <c r="E43">
        <v>1</v>
      </c>
      <c r="F43" t="s">
        <v>204</v>
      </c>
    </row>
    <row r="44" spans="1:6" x14ac:dyDescent="0.3">
      <c r="A44">
        <v>3999</v>
      </c>
      <c r="B44">
        <v>17</v>
      </c>
      <c r="C44">
        <v>20</v>
      </c>
      <c r="D44" t="s">
        <v>244</v>
      </c>
      <c r="E44">
        <v>1</v>
      </c>
      <c r="F44" t="s">
        <v>204</v>
      </c>
    </row>
    <row r="45" spans="1:6" x14ac:dyDescent="0.3">
      <c r="A45">
        <v>4000</v>
      </c>
      <c r="B45">
        <v>1</v>
      </c>
      <c r="C45">
        <v>25</v>
      </c>
      <c r="D45" t="s">
        <v>245</v>
      </c>
      <c r="E45">
        <v>1</v>
      </c>
      <c r="F45" t="s">
        <v>204</v>
      </c>
    </row>
    <row r="46" spans="1:6" x14ac:dyDescent="0.3">
      <c r="A46">
        <v>4001</v>
      </c>
      <c r="B46">
        <v>15</v>
      </c>
      <c r="C46">
        <v>21</v>
      </c>
      <c r="D46" t="s">
        <v>246</v>
      </c>
      <c r="E46">
        <v>1</v>
      </c>
      <c r="F46" t="s">
        <v>204</v>
      </c>
    </row>
    <row r="47" spans="1:6" x14ac:dyDescent="0.3">
      <c r="A47">
        <v>4002</v>
      </c>
      <c r="B47">
        <v>35</v>
      </c>
      <c r="C47">
        <v>25</v>
      </c>
      <c r="D47" t="s">
        <v>247</v>
      </c>
      <c r="E47">
        <v>3</v>
      </c>
      <c r="F47" t="s">
        <v>204</v>
      </c>
    </row>
    <row r="48" spans="1:6" x14ac:dyDescent="0.3">
      <c r="A48">
        <v>4003</v>
      </c>
      <c r="B48">
        <v>2</v>
      </c>
      <c r="C48">
        <v>20</v>
      </c>
      <c r="D48" t="s">
        <v>248</v>
      </c>
      <c r="E48">
        <v>1</v>
      </c>
      <c r="F48" t="s">
        <v>204</v>
      </c>
    </row>
    <row r="49" spans="1:6" x14ac:dyDescent="0.3">
      <c r="A49">
        <v>4004</v>
      </c>
      <c r="B49">
        <v>8</v>
      </c>
      <c r="C49">
        <v>16</v>
      </c>
      <c r="D49" t="s">
        <v>249</v>
      </c>
      <c r="E49">
        <v>0</v>
      </c>
      <c r="F49" t="s">
        <v>202</v>
      </c>
    </row>
    <row r="50" spans="1:6" x14ac:dyDescent="0.3">
      <c r="A50">
        <v>4005</v>
      </c>
      <c r="B50">
        <v>1</v>
      </c>
      <c r="C50">
        <v>21</v>
      </c>
      <c r="D50" t="s">
        <v>250</v>
      </c>
      <c r="E50">
        <v>1</v>
      </c>
      <c r="F50" t="s">
        <v>204</v>
      </c>
    </row>
    <row r="51" spans="1:6" x14ac:dyDescent="0.3">
      <c r="A51">
        <v>4006</v>
      </c>
      <c r="B51">
        <v>4</v>
      </c>
      <c r="C51">
        <v>25</v>
      </c>
      <c r="D51" t="s">
        <v>251</v>
      </c>
      <c r="E51">
        <v>1</v>
      </c>
      <c r="F51" t="s">
        <v>204</v>
      </c>
    </row>
    <row r="52" spans="1:6" x14ac:dyDescent="0.3">
      <c r="A52">
        <v>4007</v>
      </c>
      <c r="B52">
        <v>47</v>
      </c>
      <c r="C52">
        <v>16</v>
      </c>
      <c r="D52" t="s">
        <v>252</v>
      </c>
      <c r="E52">
        <v>2</v>
      </c>
      <c r="F52" t="s">
        <v>200</v>
      </c>
    </row>
    <row r="53" spans="1:6" x14ac:dyDescent="0.3">
      <c r="A53">
        <v>4008</v>
      </c>
      <c r="B53">
        <v>25</v>
      </c>
      <c r="C53">
        <v>27</v>
      </c>
      <c r="D53" t="s">
        <v>253</v>
      </c>
      <c r="E53">
        <v>3</v>
      </c>
      <c r="F53" t="s">
        <v>204</v>
      </c>
    </row>
    <row r="54" spans="1:6" x14ac:dyDescent="0.3">
      <c r="A54">
        <v>4009</v>
      </c>
      <c r="B54">
        <v>8</v>
      </c>
      <c r="C54">
        <v>20</v>
      </c>
      <c r="D54" t="s">
        <v>254</v>
      </c>
      <c r="E54">
        <v>0</v>
      </c>
      <c r="F54" t="s">
        <v>202</v>
      </c>
    </row>
    <row r="55" spans="1:6" x14ac:dyDescent="0.3">
      <c r="A55">
        <v>4010</v>
      </c>
      <c r="B55">
        <v>25</v>
      </c>
      <c r="C55">
        <v>23</v>
      </c>
      <c r="D55" t="s">
        <v>255</v>
      </c>
      <c r="E55">
        <v>3</v>
      </c>
      <c r="F55" t="s">
        <v>204</v>
      </c>
    </row>
    <row r="56" spans="1:6" x14ac:dyDescent="0.3">
      <c r="A56">
        <v>4011</v>
      </c>
      <c r="B56">
        <v>3</v>
      </c>
      <c r="C56">
        <v>19</v>
      </c>
      <c r="D56" t="s">
        <v>256</v>
      </c>
      <c r="E56">
        <v>1</v>
      </c>
      <c r="F56" t="s">
        <v>204</v>
      </c>
    </row>
    <row r="57" spans="1:6" x14ac:dyDescent="0.3">
      <c r="A57">
        <v>4012</v>
      </c>
      <c r="B57">
        <v>14</v>
      </c>
      <c r="C57">
        <v>16</v>
      </c>
      <c r="D57" t="s">
        <v>257</v>
      </c>
      <c r="E57">
        <v>0</v>
      </c>
      <c r="F57" t="s">
        <v>202</v>
      </c>
    </row>
    <row r="58" spans="1:6" x14ac:dyDescent="0.3">
      <c r="A58">
        <v>4013</v>
      </c>
      <c r="B58">
        <v>41</v>
      </c>
      <c r="C58">
        <v>18</v>
      </c>
      <c r="D58" t="s">
        <v>258</v>
      </c>
      <c r="E58">
        <v>2</v>
      </c>
      <c r="F58" t="s">
        <v>200</v>
      </c>
    </row>
    <row r="59" spans="1:6" x14ac:dyDescent="0.3">
      <c r="A59">
        <v>4014</v>
      </c>
      <c r="B59">
        <v>10</v>
      </c>
      <c r="C59">
        <v>14</v>
      </c>
      <c r="D59" t="s">
        <v>259</v>
      </c>
      <c r="E59">
        <v>0</v>
      </c>
      <c r="F59" t="s">
        <v>202</v>
      </c>
    </row>
    <row r="60" spans="1:6" x14ac:dyDescent="0.3">
      <c r="A60">
        <v>4015</v>
      </c>
      <c r="B60">
        <v>10</v>
      </c>
      <c r="C60">
        <v>16</v>
      </c>
      <c r="D60" t="s">
        <v>260</v>
      </c>
      <c r="E60">
        <v>0</v>
      </c>
      <c r="F60" t="s">
        <v>202</v>
      </c>
    </row>
    <row r="61" spans="1:6" x14ac:dyDescent="0.3">
      <c r="A61">
        <v>4016</v>
      </c>
      <c r="B61">
        <v>8</v>
      </c>
      <c r="C61">
        <v>16</v>
      </c>
      <c r="D61" t="s">
        <v>261</v>
      </c>
      <c r="E61">
        <v>0</v>
      </c>
      <c r="F61" t="s">
        <v>202</v>
      </c>
    </row>
    <row r="62" spans="1:6" x14ac:dyDescent="0.3">
      <c r="A62">
        <v>4017</v>
      </c>
      <c r="B62">
        <v>4</v>
      </c>
      <c r="C62">
        <v>23</v>
      </c>
      <c r="D62" t="s">
        <v>262</v>
      </c>
      <c r="E62">
        <v>1</v>
      </c>
      <c r="F62" t="s">
        <v>204</v>
      </c>
    </row>
    <row r="63" spans="1:6" x14ac:dyDescent="0.3">
      <c r="A63">
        <v>4018</v>
      </c>
      <c r="B63">
        <v>14</v>
      </c>
      <c r="C63">
        <v>19</v>
      </c>
      <c r="D63" t="s">
        <v>263</v>
      </c>
      <c r="E63">
        <v>0</v>
      </c>
      <c r="F63" t="s">
        <v>202</v>
      </c>
    </row>
    <row r="64" spans="1:6" x14ac:dyDescent="0.3">
      <c r="A64">
        <v>4019</v>
      </c>
      <c r="B64">
        <v>2</v>
      </c>
      <c r="C64">
        <v>16</v>
      </c>
      <c r="D64" t="s">
        <v>264</v>
      </c>
      <c r="E64">
        <v>0</v>
      </c>
      <c r="F64" t="s">
        <v>202</v>
      </c>
    </row>
    <row r="65" spans="1:6" x14ac:dyDescent="0.3">
      <c r="A65">
        <v>4020</v>
      </c>
      <c r="B65">
        <v>6</v>
      </c>
      <c r="C65">
        <v>16</v>
      </c>
      <c r="D65" t="s">
        <v>265</v>
      </c>
      <c r="E65">
        <v>0</v>
      </c>
      <c r="F65" t="s">
        <v>202</v>
      </c>
    </row>
    <row r="66" spans="1:6" x14ac:dyDescent="0.3">
      <c r="A66">
        <v>4021</v>
      </c>
      <c r="B66">
        <v>2</v>
      </c>
      <c r="C66">
        <v>19</v>
      </c>
      <c r="D66" t="s">
        <v>266</v>
      </c>
      <c r="E66">
        <v>0</v>
      </c>
      <c r="F66" t="s">
        <v>202</v>
      </c>
    </row>
    <row r="67" spans="1:6" x14ac:dyDescent="0.3">
      <c r="A67">
        <v>4022</v>
      </c>
      <c r="B67">
        <v>36</v>
      </c>
      <c r="C67">
        <v>13</v>
      </c>
      <c r="D67" t="s">
        <v>267</v>
      </c>
      <c r="E67">
        <v>0</v>
      </c>
      <c r="F67" t="s">
        <v>202</v>
      </c>
    </row>
    <row r="68" spans="1:6" x14ac:dyDescent="0.3">
      <c r="A68">
        <v>4023</v>
      </c>
      <c r="B68">
        <v>42</v>
      </c>
      <c r="C68">
        <v>25</v>
      </c>
      <c r="D68" t="s">
        <v>268</v>
      </c>
      <c r="E68">
        <v>3</v>
      </c>
      <c r="F68" t="s">
        <v>204</v>
      </c>
    </row>
    <row r="69" spans="1:6" x14ac:dyDescent="0.3">
      <c r="A69">
        <v>4024</v>
      </c>
      <c r="B69">
        <v>37</v>
      </c>
      <c r="C69">
        <v>15</v>
      </c>
      <c r="D69" t="s">
        <v>269</v>
      </c>
      <c r="E69">
        <v>0</v>
      </c>
      <c r="F69" t="s">
        <v>202</v>
      </c>
    </row>
    <row r="70" spans="1:6" x14ac:dyDescent="0.3">
      <c r="A70">
        <v>4025</v>
      </c>
      <c r="B70">
        <v>7</v>
      </c>
      <c r="C70">
        <v>16</v>
      </c>
      <c r="D70" t="s">
        <v>270</v>
      </c>
      <c r="E70">
        <v>0</v>
      </c>
      <c r="F70" t="s">
        <v>202</v>
      </c>
    </row>
    <row r="71" spans="1:6" x14ac:dyDescent="0.3">
      <c r="A71">
        <v>4026</v>
      </c>
      <c r="B71">
        <v>43</v>
      </c>
      <c r="C71">
        <v>16</v>
      </c>
      <c r="D71" t="s">
        <v>271</v>
      </c>
      <c r="E71">
        <v>2</v>
      </c>
      <c r="F71" t="s">
        <v>200</v>
      </c>
    </row>
    <row r="72" spans="1:6" x14ac:dyDescent="0.3">
      <c r="A72">
        <v>4027</v>
      </c>
      <c r="B72">
        <v>20</v>
      </c>
      <c r="C72">
        <v>17</v>
      </c>
      <c r="D72" t="s">
        <v>272</v>
      </c>
      <c r="E72">
        <v>0</v>
      </c>
      <c r="F72" t="s">
        <v>202</v>
      </c>
    </row>
    <row r="73" spans="1:6" x14ac:dyDescent="0.3">
      <c r="A73">
        <v>4028</v>
      </c>
      <c r="B73">
        <v>41</v>
      </c>
      <c r="C73">
        <v>22</v>
      </c>
      <c r="D73" t="s">
        <v>273</v>
      </c>
      <c r="E73">
        <v>1</v>
      </c>
      <c r="F73" t="s">
        <v>204</v>
      </c>
    </row>
    <row r="74" spans="1:6" x14ac:dyDescent="0.3">
      <c r="A74">
        <v>4029</v>
      </c>
      <c r="B74">
        <v>1</v>
      </c>
      <c r="C74">
        <v>25</v>
      </c>
      <c r="D74" t="s">
        <v>274</v>
      </c>
      <c r="E74">
        <v>1</v>
      </c>
      <c r="F74" t="s">
        <v>204</v>
      </c>
    </row>
    <row r="75" spans="1:6" x14ac:dyDescent="0.3">
      <c r="A75">
        <v>4030</v>
      </c>
      <c r="B75">
        <v>64</v>
      </c>
      <c r="C75">
        <v>16</v>
      </c>
      <c r="D75" t="s">
        <v>275</v>
      </c>
      <c r="E75">
        <v>2</v>
      </c>
      <c r="F75" t="s">
        <v>200</v>
      </c>
    </row>
    <row r="76" spans="1:6" x14ac:dyDescent="0.3">
      <c r="A76">
        <v>4031</v>
      </c>
      <c r="B76">
        <v>38</v>
      </c>
      <c r="C76">
        <v>21</v>
      </c>
      <c r="D76" t="s">
        <v>276</v>
      </c>
      <c r="E76">
        <v>1</v>
      </c>
      <c r="F76" t="s">
        <v>204</v>
      </c>
    </row>
    <row r="77" spans="1:6" x14ac:dyDescent="0.3">
      <c r="A77">
        <v>4032</v>
      </c>
      <c r="B77">
        <v>20</v>
      </c>
      <c r="C77">
        <v>19</v>
      </c>
      <c r="D77" t="s">
        <v>277</v>
      </c>
      <c r="E77">
        <v>0</v>
      </c>
      <c r="F77" t="s">
        <v>202</v>
      </c>
    </row>
    <row r="78" spans="1:6" x14ac:dyDescent="0.3">
      <c r="A78">
        <v>4033</v>
      </c>
      <c r="B78">
        <v>32</v>
      </c>
      <c r="C78">
        <v>21</v>
      </c>
      <c r="D78" t="s">
        <v>278</v>
      </c>
      <c r="E78">
        <v>1</v>
      </c>
      <c r="F78" t="s">
        <v>204</v>
      </c>
    </row>
    <row r="79" spans="1:6" x14ac:dyDescent="0.3">
      <c r="A79">
        <v>4034</v>
      </c>
      <c r="B79">
        <v>25</v>
      </c>
      <c r="C79">
        <v>32</v>
      </c>
      <c r="D79" t="s">
        <v>279</v>
      </c>
      <c r="E79">
        <v>3</v>
      </c>
      <c r="F79" t="s">
        <v>204</v>
      </c>
    </row>
    <row r="80" spans="1:6" x14ac:dyDescent="0.3">
      <c r="A80">
        <v>4035</v>
      </c>
      <c r="B80">
        <v>10</v>
      </c>
      <c r="C80">
        <v>17</v>
      </c>
      <c r="D80" t="s">
        <v>280</v>
      </c>
      <c r="E80">
        <v>0</v>
      </c>
      <c r="F80" t="s">
        <v>202</v>
      </c>
    </row>
    <row r="81" spans="1:6" x14ac:dyDescent="0.3">
      <c r="A81">
        <v>4036</v>
      </c>
      <c r="B81">
        <v>4</v>
      </c>
      <c r="C81">
        <v>17</v>
      </c>
      <c r="D81" t="s">
        <v>281</v>
      </c>
      <c r="E81">
        <v>1</v>
      </c>
      <c r="F81" t="s">
        <v>204</v>
      </c>
    </row>
    <row r="82" spans="1:6" x14ac:dyDescent="0.3">
      <c r="A82">
        <v>4037</v>
      </c>
      <c r="B82">
        <v>19</v>
      </c>
      <c r="C82">
        <v>20</v>
      </c>
      <c r="D82" t="s">
        <v>282</v>
      </c>
      <c r="E82">
        <v>1</v>
      </c>
      <c r="F82" t="s">
        <v>204</v>
      </c>
    </row>
    <row r="83" spans="1:6" x14ac:dyDescent="0.3">
      <c r="A83">
        <v>4038</v>
      </c>
      <c r="B83">
        <v>49</v>
      </c>
      <c r="C83">
        <v>19</v>
      </c>
      <c r="D83" t="s">
        <v>283</v>
      </c>
      <c r="E83">
        <v>2</v>
      </c>
      <c r="F83" t="s">
        <v>200</v>
      </c>
    </row>
    <row r="84" spans="1:6" x14ac:dyDescent="0.3">
      <c r="A84">
        <v>4039</v>
      </c>
      <c r="B84">
        <v>62</v>
      </c>
      <c r="C84">
        <v>16</v>
      </c>
      <c r="D84" t="s">
        <v>284</v>
      </c>
      <c r="E84">
        <v>2</v>
      </c>
      <c r="F84" t="s">
        <v>200</v>
      </c>
    </row>
    <row r="85" spans="1:6" x14ac:dyDescent="0.3">
      <c r="A85">
        <v>4040</v>
      </c>
      <c r="B85">
        <v>5</v>
      </c>
      <c r="C85">
        <v>23</v>
      </c>
      <c r="D85" t="s">
        <v>285</v>
      </c>
      <c r="E85">
        <v>1</v>
      </c>
      <c r="F85" t="s">
        <v>204</v>
      </c>
    </row>
    <row r="86" spans="1:6" x14ac:dyDescent="0.3">
      <c r="A86">
        <v>4041</v>
      </c>
      <c r="B86">
        <v>9</v>
      </c>
      <c r="C86">
        <v>16</v>
      </c>
      <c r="D86" t="s">
        <v>286</v>
      </c>
      <c r="E86">
        <v>0</v>
      </c>
      <c r="F86" t="s">
        <v>202</v>
      </c>
    </row>
    <row r="87" spans="1:6" x14ac:dyDescent="0.3">
      <c r="A87">
        <v>4042</v>
      </c>
      <c r="B87">
        <v>29</v>
      </c>
      <c r="C87">
        <v>22</v>
      </c>
      <c r="D87" t="s">
        <v>287</v>
      </c>
      <c r="E87">
        <v>1</v>
      </c>
      <c r="F87" t="s">
        <v>204</v>
      </c>
    </row>
    <row r="88" spans="1:6" x14ac:dyDescent="0.3">
      <c r="A88">
        <v>4043</v>
      </c>
      <c r="B88">
        <v>7</v>
      </c>
      <c r="C88">
        <v>23</v>
      </c>
      <c r="D88" t="s">
        <v>288</v>
      </c>
      <c r="E88">
        <v>1</v>
      </c>
      <c r="F88" t="s">
        <v>204</v>
      </c>
    </row>
    <row r="89" spans="1:6" x14ac:dyDescent="0.3">
      <c r="A89">
        <v>4044</v>
      </c>
      <c r="B89">
        <v>39</v>
      </c>
      <c r="C89">
        <v>22</v>
      </c>
      <c r="D89" t="s">
        <v>289</v>
      </c>
      <c r="E89">
        <v>1</v>
      </c>
      <c r="F89" t="s">
        <v>204</v>
      </c>
    </row>
    <row r="90" spans="1:6" x14ac:dyDescent="0.3">
      <c r="A90">
        <v>4045</v>
      </c>
      <c r="B90">
        <v>31</v>
      </c>
      <c r="C90">
        <v>15</v>
      </c>
      <c r="D90" t="s">
        <v>290</v>
      </c>
      <c r="E90">
        <v>0</v>
      </c>
      <c r="F90" t="s">
        <v>202</v>
      </c>
    </row>
    <row r="91" spans="1:6" x14ac:dyDescent="0.3">
      <c r="A91">
        <v>4046</v>
      </c>
      <c r="B91">
        <v>12</v>
      </c>
      <c r="C91">
        <v>12</v>
      </c>
      <c r="D91" t="s">
        <v>291</v>
      </c>
      <c r="E91">
        <v>0</v>
      </c>
      <c r="F91" t="s">
        <v>202</v>
      </c>
    </row>
    <row r="92" spans="1:6" x14ac:dyDescent="0.3">
      <c r="A92">
        <v>4047</v>
      </c>
      <c r="B92">
        <v>37</v>
      </c>
      <c r="C92">
        <v>18</v>
      </c>
      <c r="D92" t="s">
        <v>292</v>
      </c>
      <c r="E92">
        <v>0</v>
      </c>
      <c r="F92" t="s">
        <v>202</v>
      </c>
    </row>
    <row r="93" spans="1:6" x14ac:dyDescent="0.3">
      <c r="A93">
        <v>4048</v>
      </c>
      <c r="B93">
        <v>35</v>
      </c>
      <c r="C93">
        <v>21</v>
      </c>
      <c r="D93" t="s">
        <v>293</v>
      </c>
      <c r="E93">
        <v>1</v>
      </c>
      <c r="F93" t="s">
        <v>204</v>
      </c>
    </row>
    <row r="94" spans="1:6" x14ac:dyDescent="0.3">
      <c r="A94">
        <v>4049</v>
      </c>
      <c r="B94">
        <v>4</v>
      </c>
      <c r="C94">
        <v>22</v>
      </c>
      <c r="D94" t="s">
        <v>294</v>
      </c>
      <c r="E94">
        <v>1</v>
      </c>
      <c r="F94" t="s">
        <v>204</v>
      </c>
    </row>
    <row r="95" spans="1:6" x14ac:dyDescent="0.3">
      <c r="A95">
        <v>4050</v>
      </c>
      <c r="B95">
        <v>68</v>
      </c>
      <c r="C95">
        <v>14</v>
      </c>
      <c r="D95" t="s">
        <v>295</v>
      </c>
      <c r="E95">
        <v>2</v>
      </c>
      <c r="F95" t="s">
        <v>200</v>
      </c>
    </row>
    <row r="96" spans="1:6" x14ac:dyDescent="0.3">
      <c r="A96">
        <v>4051</v>
      </c>
      <c r="B96">
        <v>8</v>
      </c>
      <c r="C96">
        <v>26</v>
      </c>
      <c r="D96" t="s">
        <v>296</v>
      </c>
      <c r="E96">
        <v>3</v>
      </c>
      <c r="F96" t="s">
        <v>204</v>
      </c>
    </row>
    <row r="97" spans="1:6" x14ac:dyDescent="0.3">
      <c r="A97">
        <v>4052</v>
      </c>
      <c r="B97">
        <v>14</v>
      </c>
      <c r="C97">
        <v>21</v>
      </c>
      <c r="D97" t="s">
        <v>297</v>
      </c>
      <c r="E97">
        <v>1</v>
      </c>
      <c r="F97" t="s">
        <v>204</v>
      </c>
    </row>
    <row r="98" spans="1:6" x14ac:dyDescent="0.3">
      <c r="A98">
        <v>4053</v>
      </c>
      <c r="B98">
        <v>32</v>
      </c>
      <c r="C98">
        <v>17</v>
      </c>
      <c r="D98" t="s">
        <v>298</v>
      </c>
      <c r="E98">
        <v>1</v>
      </c>
      <c r="F98" t="s">
        <v>204</v>
      </c>
    </row>
    <row r="99" spans="1:6" x14ac:dyDescent="0.3">
      <c r="A99">
        <v>4054</v>
      </c>
      <c r="B99">
        <v>25</v>
      </c>
      <c r="C99">
        <v>19</v>
      </c>
      <c r="D99" t="s">
        <v>299</v>
      </c>
      <c r="E99">
        <v>1</v>
      </c>
      <c r="F99" t="s">
        <v>204</v>
      </c>
    </row>
    <row r="100" spans="1:6" x14ac:dyDescent="0.3">
      <c r="A100">
        <v>4055</v>
      </c>
      <c r="B100">
        <v>15</v>
      </c>
      <c r="C100">
        <v>17</v>
      </c>
      <c r="D100" t="s">
        <v>300</v>
      </c>
      <c r="E100">
        <v>0</v>
      </c>
      <c r="F100" t="s">
        <v>202</v>
      </c>
    </row>
    <row r="101" spans="1:6" x14ac:dyDescent="0.3">
      <c r="A101">
        <v>4056</v>
      </c>
      <c r="B101">
        <v>2</v>
      </c>
      <c r="C101">
        <v>23</v>
      </c>
      <c r="D101" t="s">
        <v>301</v>
      </c>
      <c r="E101">
        <v>1</v>
      </c>
      <c r="F101" t="s">
        <v>204</v>
      </c>
    </row>
    <row r="102" spans="1:6" x14ac:dyDescent="0.3">
      <c r="A102">
        <v>4057</v>
      </c>
      <c r="B102">
        <v>4</v>
      </c>
      <c r="C102">
        <v>22</v>
      </c>
      <c r="D102" t="s">
        <v>302</v>
      </c>
      <c r="E102">
        <v>1</v>
      </c>
      <c r="F102" t="s">
        <v>204</v>
      </c>
    </row>
    <row r="103" spans="1:6" x14ac:dyDescent="0.3">
      <c r="A103">
        <v>4058</v>
      </c>
      <c r="B103">
        <v>8</v>
      </c>
      <c r="C103">
        <v>16</v>
      </c>
      <c r="D103" t="s">
        <v>303</v>
      </c>
      <c r="E103">
        <v>0</v>
      </c>
      <c r="F103" t="s">
        <v>202</v>
      </c>
    </row>
    <row r="104" spans="1:6" x14ac:dyDescent="0.3">
      <c r="A104">
        <v>4059</v>
      </c>
      <c r="B104">
        <v>2</v>
      </c>
      <c r="C104">
        <v>22</v>
      </c>
      <c r="D104" t="s">
        <v>304</v>
      </c>
      <c r="E104">
        <v>1</v>
      </c>
      <c r="F104" t="s">
        <v>204</v>
      </c>
    </row>
    <row r="105" spans="1:6" x14ac:dyDescent="0.3">
      <c r="A105">
        <v>4060</v>
      </c>
      <c r="B105">
        <v>6</v>
      </c>
      <c r="C105">
        <v>17</v>
      </c>
      <c r="D105" t="s">
        <v>305</v>
      </c>
      <c r="E105">
        <v>0</v>
      </c>
      <c r="F105" t="s">
        <v>202</v>
      </c>
    </row>
    <row r="106" spans="1:6" x14ac:dyDescent="0.3">
      <c r="A106">
        <v>4061</v>
      </c>
      <c r="B106">
        <v>64</v>
      </c>
      <c r="C106">
        <v>18</v>
      </c>
      <c r="D106" t="s">
        <v>306</v>
      </c>
      <c r="E106">
        <v>2</v>
      </c>
      <c r="F106" t="s">
        <v>200</v>
      </c>
    </row>
    <row r="107" spans="1:6" x14ac:dyDescent="0.3">
      <c r="A107">
        <v>4062</v>
      </c>
      <c r="B107">
        <v>10</v>
      </c>
      <c r="C107">
        <v>22</v>
      </c>
      <c r="D107" t="s">
        <v>307</v>
      </c>
      <c r="E107">
        <v>1</v>
      </c>
      <c r="F107" t="s">
        <v>204</v>
      </c>
    </row>
    <row r="108" spans="1:6" x14ac:dyDescent="0.3">
      <c r="A108">
        <v>4063</v>
      </c>
      <c r="B108">
        <v>4</v>
      </c>
      <c r="C108">
        <v>27</v>
      </c>
      <c r="D108" t="s">
        <v>308</v>
      </c>
      <c r="E108">
        <v>3</v>
      </c>
      <c r="F108" t="s">
        <v>204</v>
      </c>
    </row>
    <row r="109" spans="1:6" x14ac:dyDescent="0.3">
      <c r="A109">
        <v>4064</v>
      </c>
      <c r="B109">
        <v>16</v>
      </c>
      <c r="C109">
        <v>18</v>
      </c>
      <c r="D109" t="s">
        <v>309</v>
      </c>
      <c r="E109">
        <v>0</v>
      </c>
      <c r="F109" t="s">
        <v>202</v>
      </c>
    </row>
    <row r="110" spans="1:6" x14ac:dyDescent="0.3">
      <c r="A110">
        <v>4065</v>
      </c>
      <c r="B110">
        <v>7</v>
      </c>
      <c r="C110">
        <v>29</v>
      </c>
      <c r="D110" t="s">
        <v>310</v>
      </c>
      <c r="E110">
        <v>3</v>
      </c>
      <c r="F110" t="s">
        <v>204</v>
      </c>
    </row>
    <row r="111" spans="1:6" x14ac:dyDescent="0.3">
      <c r="A111">
        <v>4066</v>
      </c>
      <c r="B111">
        <v>10</v>
      </c>
      <c r="C111">
        <v>18</v>
      </c>
      <c r="D111" t="s">
        <v>311</v>
      </c>
      <c r="E111">
        <v>0</v>
      </c>
      <c r="F111" t="s">
        <v>202</v>
      </c>
    </row>
    <row r="112" spans="1:6" x14ac:dyDescent="0.3">
      <c r="A112">
        <v>4067</v>
      </c>
      <c r="B112">
        <v>15</v>
      </c>
      <c r="C112">
        <v>20</v>
      </c>
      <c r="D112" t="s">
        <v>312</v>
      </c>
      <c r="E112">
        <v>1</v>
      </c>
      <c r="F112" t="s">
        <v>204</v>
      </c>
    </row>
    <row r="113" spans="1:6" x14ac:dyDescent="0.3">
      <c r="A113">
        <v>4068</v>
      </c>
      <c r="B113">
        <v>18</v>
      </c>
      <c r="C113">
        <v>25</v>
      </c>
      <c r="D113" t="s">
        <v>313</v>
      </c>
      <c r="E113">
        <v>1</v>
      </c>
      <c r="F113" t="s">
        <v>204</v>
      </c>
    </row>
    <row r="114" spans="1:6" x14ac:dyDescent="0.3">
      <c r="A114">
        <v>4069</v>
      </c>
      <c r="B114">
        <v>58</v>
      </c>
      <c r="C114">
        <v>19</v>
      </c>
      <c r="D114" t="s">
        <v>314</v>
      </c>
      <c r="E114">
        <v>2</v>
      </c>
      <c r="F114" t="s">
        <v>200</v>
      </c>
    </row>
    <row r="115" spans="1:6" x14ac:dyDescent="0.3">
      <c r="A115">
        <v>4070</v>
      </c>
      <c r="B115">
        <v>27</v>
      </c>
      <c r="C115">
        <v>27</v>
      </c>
      <c r="D115" t="s">
        <v>315</v>
      </c>
      <c r="E115">
        <v>3</v>
      </c>
      <c r="F115" t="s">
        <v>204</v>
      </c>
    </row>
    <row r="116" spans="1:6" x14ac:dyDescent="0.3">
      <c r="A116">
        <v>4071</v>
      </c>
      <c r="B116">
        <v>40</v>
      </c>
      <c r="C116">
        <v>19</v>
      </c>
      <c r="D116" t="s">
        <v>316</v>
      </c>
      <c r="E116">
        <v>1</v>
      </c>
      <c r="F116" t="s">
        <v>204</v>
      </c>
    </row>
    <row r="117" spans="1:6" x14ac:dyDescent="0.3">
      <c r="A117">
        <v>4072</v>
      </c>
      <c r="B117">
        <v>10</v>
      </c>
      <c r="C117">
        <v>22</v>
      </c>
      <c r="D117" t="s">
        <v>317</v>
      </c>
      <c r="E117">
        <v>1</v>
      </c>
      <c r="F117" t="s">
        <v>204</v>
      </c>
    </row>
    <row r="118" spans="1:6" x14ac:dyDescent="0.3">
      <c r="A118">
        <v>4073</v>
      </c>
      <c r="B118">
        <v>2</v>
      </c>
      <c r="C118">
        <v>26</v>
      </c>
      <c r="D118" t="s">
        <v>318</v>
      </c>
      <c r="E118">
        <v>3</v>
      </c>
      <c r="F118" t="s">
        <v>204</v>
      </c>
    </row>
    <row r="119" spans="1:6" x14ac:dyDescent="0.3">
      <c r="A119">
        <v>4074</v>
      </c>
      <c r="B119">
        <v>10</v>
      </c>
      <c r="C119">
        <v>24</v>
      </c>
      <c r="D119" t="s">
        <v>319</v>
      </c>
      <c r="E119">
        <v>1</v>
      </c>
      <c r="F119" t="s">
        <v>204</v>
      </c>
    </row>
    <row r="120" spans="1:6" x14ac:dyDescent="0.3">
      <c r="A120">
        <v>4075</v>
      </c>
      <c r="B120">
        <v>7</v>
      </c>
      <c r="C120">
        <v>27</v>
      </c>
      <c r="D120" t="s">
        <v>320</v>
      </c>
      <c r="E120">
        <v>3</v>
      </c>
      <c r="F120" t="s">
        <v>204</v>
      </c>
    </row>
    <row r="121" spans="1:6" x14ac:dyDescent="0.3">
      <c r="A121">
        <v>4076</v>
      </c>
      <c r="B121">
        <v>94</v>
      </c>
      <c r="C121">
        <v>17</v>
      </c>
      <c r="D121" t="s">
        <v>321</v>
      </c>
      <c r="E121">
        <v>2</v>
      </c>
      <c r="F121" t="s">
        <v>200</v>
      </c>
    </row>
    <row r="122" spans="1:6" x14ac:dyDescent="0.3">
      <c r="A122">
        <v>4077</v>
      </c>
      <c r="B122">
        <v>29</v>
      </c>
      <c r="C122">
        <v>22</v>
      </c>
      <c r="D122" t="s">
        <v>322</v>
      </c>
      <c r="E122">
        <v>1</v>
      </c>
      <c r="F122" t="s">
        <v>204</v>
      </c>
    </row>
    <row r="123" spans="1:6" x14ac:dyDescent="0.3">
      <c r="A123">
        <v>4078</v>
      </c>
      <c r="B123">
        <v>6</v>
      </c>
      <c r="C123">
        <v>34</v>
      </c>
      <c r="D123" t="s">
        <v>323</v>
      </c>
      <c r="E123">
        <v>3</v>
      </c>
      <c r="F123" t="s">
        <v>204</v>
      </c>
    </row>
    <row r="124" spans="1:6" x14ac:dyDescent="0.3">
      <c r="A124">
        <v>4079</v>
      </c>
      <c r="B124">
        <v>18</v>
      </c>
      <c r="C124">
        <v>12</v>
      </c>
      <c r="D124" t="s">
        <v>324</v>
      </c>
      <c r="E124">
        <v>0</v>
      </c>
      <c r="F124" t="s">
        <v>202</v>
      </c>
    </row>
    <row r="125" spans="1:6" x14ac:dyDescent="0.3">
      <c r="A125">
        <v>4080</v>
      </c>
      <c r="B125">
        <v>10</v>
      </c>
      <c r="C125">
        <v>14</v>
      </c>
      <c r="D125" t="s">
        <v>325</v>
      </c>
      <c r="E125">
        <v>0</v>
      </c>
      <c r="F125" t="s">
        <v>202</v>
      </c>
    </row>
    <row r="126" spans="1:6" x14ac:dyDescent="0.3">
      <c r="A126">
        <v>4081</v>
      </c>
      <c r="B126">
        <v>10</v>
      </c>
      <c r="C126">
        <v>24</v>
      </c>
      <c r="D126" t="s">
        <v>326</v>
      </c>
      <c r="E126">
        <v>1</v>
      </c>
      <c r="F126" t="s">
        <v>204</v>
      </c>
    </row>
    <row r="127" spans="1:6" x14ac:dyDescent="0.3">
      <c r="A127">
        <v>4082</v>
      </c>
      <c r="B127">
        <v>18</v>
      </c>
      <c r="C127">
        <v>28</v>
      </c>
      <c r="D127" t="s">
        <v>327</v>
      </c>
      <c r="E127">
        <v>3</v>
      </c>
      <c r="F127" t="s">
        <v>204</v>
      </c>
    </row>
    <row r="128" spans="1:6" x14ac:dyDescent="0.3">
      <c r="A128">
        <v>4083</v>
      </c>
      <c r="B128">
        <v>24</v>
      </c>
      <c r="C128">
        <v>25</v>
      </c>
      <c r="D128" t="s">
        <v>328</v>
      </c>
      <c r="E128">
        <v>3</v>
      </c>
      <c r="F128" t="s">
        <v>204</v>
      </c>
    </row>
    <row r="129" spans="1:6" x14ac:dyDescent="0.3">
      <c r="A129">
        <v>4084</v>
      </c>
      <c r="B129">
        <v>32</v>
      </c>
      <c r="C129">
        <v>24</v>
      </c>
      <c r="D129" t="s">
        <v>329</v>
      </c>
      <c r="E129">
        <v>3</v>
      </c>
      <c r="F129" t="s">
        <v>204</v>
      </c>
    </row>
    <row r="130" spans="1:6" x14ac:dyDescent="0.3">
      <c r="A130">
        <v>4085</v>
      </c>
      <c r="B130">
        <v>34</v>
      </c>
      <c r="C130">
        <v>15</v>
      </c>
      <c r="D130" t="s">
        <v>330</v>
      </c>
      <c r="E130">
        <v>0</v>
      </c>
      <c r="F130" t="s">
        <v>202</v>
      </c>
    </row>
    <row r="131" spans="1:6" x14ac:dyDescent="0.3">
      <c r="A131">
        <v>4086</v>
      </c>
      <c r="B131">
        <v>25</v>
      </c>
      <c r="C131">
        <v>24</v>
      </c>
      <c r="D131" t="s">
        <v>331</v>
      </c>
      <c r="E131">
        <v>1</v>
      </c>
      <c r="F131" t="s">
        <v>204</v>
      </c>
    </row>
    <row r="132" spans="1:6" x14ac:dyDescent="0.3">
      <c r="A132">
        <v>4087</v>
      </c>
      <c r="B132">
        <v>24</v>
      </c>
      <c r="C132">
        <v>13</v>
      </c>
      <c r="D132" t="s">
        <v>332</v>
      </c>
      <c r="E132">
        <v>0</v>
      </c>
      <c r="F132" t="s">
        <v>202</v>
      </c>
    </row>
    <row r="133" spans="1:6" x14ac:dyDescent="0.3">
      <c r="A133">
        <v>4088</v>
      </c>
      <c r="B133">
        <v>7</v>
      </c>
      <c r="C133">
        <v>22</v>
      </c>
      <c r="D133" t="s">
        <v>333</v>
      </c>
      <c r="E133">
        <v>1</v>
      </c>
      <c r="F133" t="s">
        <v>204</v>
      </c>
    </row>
    <row r="134" spans="1:6" x14ac:dyDescent="0.3">
      <c r="A134">
        <v>4089</v>
      </c>
      <c r="B134">
        <v>29</v>
      </c>
      <c r="C134">
        <v>17</v>
      </c>
      <c r="D134" t="s">
        <v>334</v>
      </c>
      <c r="E134">
        <v>0</v>
      </c>
      <c r="F134" t="s">
        <v>202</v>
      </c>
    </row>
    <row r="135" spans="1:6" x14ac:dyDescent="0.3">
      <c r="A135">
        <v>4090</v>
      </c>
      <c r="B135">
        <v>3</v>
      </c>
      <c r="C135">
        <v>23</v>
      </c>
      <c r="D135" t="s">
        <v>335</v>
      </c>
      <c r="E135">
        <v>1</v>
      </c>
      <c r="F135" t="s">
        <v>204</v>
      </c>
    </row>
    <row r="136" spans="1:6" x14ac:dyDescent="0.3">
      <c r="A136">
        <v>4091</v>
      </c>
      <c r="B136">
        <v>44</v>
      </c>
      <c r="C136">
        <v>16</v>
      </c>
      <c r="D136" t="s">
        <v>336</v>
      </c>
      <c r="E136">
        <v>2</v>
      </c>
      <c r="F136" t="s">
        <v>200</v>
      </c>
    </row>
    <row r="137" spans="1:6" x14ac:dyDescent="0.3">
      <c r="A137">
        <v>4092</v>
      </c>
      <c r="B137">
        <v>26</v>
      </c>
      <c r="C137">
        <v>16</v>
      </c>
      <c r="D137" t="s">
        <v>337</v>
      </c>
      <c r="E137">
        <v>0</v>
      </c>
      <c r="F137" t="s">
        <v>202</v>
      </c>
    </row>
    <row r="138" spans="1:6" x14ac:dyDescent="0.3">
      <c r="A138">
        <v>4093</v>
      </c>
      <c r="B138">
        <v>8</v>
      </c>
      <c r="C138">
        <v>25</v>
      </c>
      <c r="D138" t="s">
        <v>338</v>
      </c>
      <c r="E138">
        <v>1</v>
      </c>
      <c r="F138" t="s">
        <v>204</v>
      </c>
    </row>
    <row r="139" spans="1:6" x14ac:dyDescent="0.3">
      <c r="A139">
        <v>4094</v>
      </c>
      <c r="B139">
        <v>44</v>
      </c>
      <c r="C139">
        <v>18</v>
      </c>
      <c r="D139" t="s">
        <v>339</v>
      </c>
      <c r="E139">
        <v>2</v>
      </c>
      <c r="F139" t="s">
        <v>200</v>
      </c>
    </row>
    <row r="140" spans="1:6" x14ac:dyDescent="0.3">
      <c r="A140">
        <v>4095</v>
      </c>
      <c r="B140">
        <v>13</v>
      </c>
      <c r="C140">
        <v>21</v>
      </c>
      <c r="D140" t="s">
        <v>340</v>
      </c>
      <c r="E140">
        <v>1</v>
      </c>
      <c r="F140" t="s">
        <v>204</v>
      </c>
    </row>
    <row r="141" spans="1:6" x14ac:dyDescent="0.3">
      <c r="A141">
        <v>4096</v>
      </c>
      <c r="B141">
        <v>2</v>
      </c>
      <c r="C141">
        <v>11</v>
      </c>
      <c r="D141" t="s">
        <v>341</v>
      </c>
      <c r="E141">
        <v>0</v>
      </c>
      <c r="F141" t="s">
        <v>202</v>
      </c>
    </row>
    <row r="142" spans="1:6" x14ac:dyDescent="0.3">
      <c r="A142">
        <v>4097</v>
      </c>
      <c r="B142">
        <v>117</v>
      </c>
      <c r="C142">
        <v>10</v>
      </c>
      <c r="D142" t="s">
        <v>342</v>
      </c>
      <c r="E142">
        <v>2</v>
      </c>
      <c r="F142" t="s">
        <v>200</v>
      </c>
    </row>
    <row r="143" spans="1:6" x14ac:dyDescent="0.3">
      <c r="A143">
        <v>4098</v>
      </c>
      <c r="B143">
        <v>11</v>
      </c>
      <c r="C143">
        <v>22</v>
      </c>
      <c r="D143" t="s">
        <v>343</v>
      </c>
      <c r="E143">
        <v>1</v>
      </c>
      <c r="F143" t="s">
        <v>204</v>
      </c>
    </row>
    <row r="144" spans="1:6" x14ac:dyDescent="0.3">
      <c r="A144">
        <v>4099</v>
      </c>
      <c r="B144">
        <v>16</v>
      </c>
      <c r="C144">
        <v>17</v>
      </c>
      <c r="D144" t="s">
        <v>344</v>
      </c>
      <c r="E144">
        <v>0</v>
      </c>
      <c r="F144" t="s">
        <v>202</v>
      </c>
    </row>
    <row r="145" spans="1:6" x14ac:dyDescent="0.3">
      <c r="A145">
        <v>4100</v>
      </c>
      <c r="B145">
        <v>9</v>
      </c>
      <c r="C145">
        <v>21</v>
      </c>
      <c r="D145" t="s">
        <v>345</v>
      </c>
      <c r="E145">
        <v>1</v>
      </c>
      <c r="F145" t="s">
        <v>204</v>
      </c>
    </row>
    <row r="146" spans="1:6" x14ac:dyDescent="0.3">
      <c r="A146">
        <v>4101</v>
      </c>
      <c r="B146">
        <v>10</v>
      </c>
      <c r="C146">
        <v>13</v>
      </c>
      <c r="D146" t="s">
        <v>346</v>
      </c>
      <c r="E146">
        <v>0</v>
      </c>
      <c r="F146" t="s">
        <v>202</v>
      </c>
    </row>
    <row r="147" spans="1:6" x14ac:dyDescent="0.3">
      <c r="A147">
        <v>4102</v>
      </c>
      <c r="B147">
        <v>25</v>
      </c>
      <c r="C147">
        <v>25</v>
      </c>
      <c r="D147" t="s">
        <v>347</v>
      </c>
      <c r="E147">
        <v>3</v>
      </c>
      <c r="F147" t="s">
        <v>204</v>
      </c>
    </row>
    <row r="148" spans="1:6" x14ac:dyDescent="0.3">
      <c r="A148">
        <v>4103</v>
      </c>
      <c r="B148">
        <v>12</v>
      </c>
      <c r="C148">
        <v>22</v>
      </c>
      <c r="D148" t="s">
        <v>348</v>
      </c>
      <c r="E148">
        <v>1</v>
      </c>
      <c r="F148" t="s">
        <v>204</v>
      </c>
    </row>
    <row r="149" spans="1:6" x14ac:dyDescent="0.3">
      <c r="A149">
        <v>4104</v>
      </c>
      <c r="B149">
        <v>2</v>
      </c>
      <c r="C149">
        <v>18</v>
      </c>
      <c r="D149" t="s">
        <v>349</v>
      </c>
      <c r="E149">
        <v>1</v>
      </c>
      <c r="F149" t="s">
        <v>204</v>
      </c>
    </row>
    <row r="150" spans="1:6" x14ac:dyDescent="0.3">
      <c r="A150">
        <v>4105</v>
      </c>
      <c r="B150">
        <v>8</v>
      </c>
      <c r="C150">
        <v>26</v>
      </c>
      <c r="D150" t="s">
        <v>350</v>
      </c>
      <c r="E150">
        <v>1</v>
      </c>
      <c r="F150" t="s">
        <v>204</v>
      </c>
    </row>
    <row r="151" spans="1:6" x14ac:dyDescent="0.3">
      <c r="A151">
        <v>4106</v>
      </c>
      <c r="B151">
        <v>25</v>
      </c>
      <c r="C151">
        <v>22</v>
      </c>
      <c r="D151" t="s">
        <v>351</v>
      </c>
      <c r="E151">
        <v>1</v>
      </c>
      <c r="F151" t="s">
        <v>204</v>
      </c>
    </row>
    <row r="152" spans="1:6" x14ac:dyDescent="0.3">
      <c r="A152">
        <v>4107</v>
      </c>
      <c r="B152">
        <v>67</v>
      </c>
      <c r="C152">
        <v>20</v>
      </c>
      <c r="D152" t="s">
        <v>352</v>
      </c>
      <c r="E152">
        <v>2</v>
      </c>
      <c r="F152" t="s">
        <v>200</v>
      </c>
    </row>
    <row r="153" spans="1:6" x14ac:dyDescent="0.3">
      <c r="A153">
        <v>4108</v>
      </c>
      <c r="B153">
        <v>1</v>
      </c>
      <c r="C153">
        <v>24</v>
      </c>
      <c r="D153" t="s">
        <v>353</v>
      </c>
      <c r="E153">
        <v>1</v>
      </c>
      <c r="F153" t="s">
        <v>204</v>
      </c>
    </row>
    <row r="154" spans="1:6" x14ac:dyDescent="0.3">
      <c r="A154">
        <v>4109</v>
      </c>
      <c r="B154">
        <v>2</v>
      </c>
      <c r="C154">
        <v>14</v>
      </c>
      <c r="D154" t="s">
        <v>354</v>
      </c>
      <c r="E154">
        <v>0</v>
      </c>
      <c r="F154" t="s">
        <v>202</v>
      </c>
    </row>
    <row r="155" spans="1:6" x14ac:dyDescent="0.3">
      <c r="A155">
        <v>4110</v>
      </c>
      <c r="B155">
        <v>1</v>
      </c>
      <c r="C155">
        <v>21</v>
      </c>
      <c r="D155" t="s">
        <v>355</v>
      </c>
      <c r="E155">
        <v>1</v>
      </c>
      <c r="F155" t="s">
        <v>204</v>
      </c>
    </row>
    <row r="156" spans="1:6" x14ac:dyDescent="0.3">
      <c r="A156">
        <v>4111</v>
      </c>
      <c r="B156">
        <v>7</v>
      </c>
      <c r="C156">
        <v>26</v>
      </c>
      <c r="D156" t="s">
        <v>356</v>
      </c>
      <c r="E156">
        <v>3</v>
      </c>
      <c r="F156" t="s">
        <v>204</v>
      </c>
    </row>
    <row r="157" spans="1:6" x14ac:dyDescent="0.3">
      <c r="A157">
        <v>4112</v>
      </c>
      <c r="B157">
        <v>31</v>
      </c>
      <c r="C157">
        <v>10</v>
      </c>
      <c r="D157" t="s">
        <v>357</v>
      </c>
      <c r="E157">
        <v>0</v>
      </c>
      <c r="F157" t="s">
        <v>202</v>
      </c>
    </row>
    <row r="158" spans="1:6" x14ac:dyDescent="0.3">
      <c r="A158">
        <v>4113</v>
      </c>
      <c r="B158">
        <v>17</v>
      </c>
      <c r="C158">
        <v>22</v>
      </c>
      <c r="D158" t="s">
        <v>358</v>
      </c>
      <c r="E158">
        <v>1</v>
      </c>
      <c r="F158" t="s">
        <v>204</v>
      </c>
    </row>
    <row r="159" spans="1:6" x14ac:dyDescent="0.3">
      <c r="A159">
        <v>4114</v>
      </c>
      <c r="B159">
        <v>4</v>
      </c>
      <c r="C159">
        <v>17</v>
      </c>
      <c r="D159" t="s">
        <v>359</v>
      </c>
      <c r="E159">
        <v>0</v>
      </c>
      <c r="F159" t="s">
        <v>202</v>
      </c>
    </row>
    <row r="160" spans="1:6" x14ac:dyDescent="0.3">
      <c r="A160">
        <v>4115</v>
      </c>
      <c r="B160">
        <v>12</v>
      </c>
      <c r="C160">
        <v>22</v>
      </c>
      <c r="D160" t="s">
        <v>360</v>
      </c>
      <c r="E160">
        <v>1</v>
      </c>
      <c r="F160" t="s">
        <v>204</v>
      </c>
    </row>
    <row r="161" spans="1:6" x14ac:dyDescent="0.3">
      <c r="A161">
        <v>4116</v>
      </c>
      <c r="B161">
        <v>14</v>
      </c>
      <c r="C161">
        <v>19</v>
      </c>
      <c r="D161" t="s">
        <v>361</v>
      </c>
      <c r="E161">
        <v>1</v>
      </c>
      <c r="F161" t="s">
        <v>204</v>
      </c>
    </row>
    <row r="162" spans="1:6" x14ac:dyDescent="0.3">
      <c r="A162">
        <v>4117</v>
      </c>
      <c r="B162">
        <v>19</v>
      </c>
      <c r="C162">
        <v>26</v>
      </c>
      <c r="D162" t="s">
        <v>362</v>
      </c>
      <c r="E162">
        <v>3</v>
      </c>
      <c r="F162" t="s">
        <v>204</v>
      </c>
    </row>
    <row r="163" spans="1:6" x14ac:dyDescent="0.3">
      <c r="A163">
        <v>4118</v>
      </c>
      <c r="B163">
        <v>8</v>
      </c>
      <c r="C163">
        <v>22</v>
      </c>
      <c r="D163" t="s">
        <v>363</v>
      </c>
      <c r="E163">
        <v>1</v>
      </c>
      <c r="F163" t="s">
        <v>204</v>
      </c>
    </row>
    <row r="164" spans="1:6" x14ac:dyDescent="0.3">
      <c r="A164">
        <v>4119</v>
      </c>
      <c r="B164">
        <v>8</v>
      </c>
      <c r="C164">
        <v>16</v>
      </c>
      <c r="D164" t="s">
        <v>364</v>
      </c>
      <c r="E164">
        <v>0</v>
      </c>
      <c r="F164" t="s">
        <v>202</v>
      </c>
    </row>
    <row r="165" spans="1:6" x14ac:dyDescent="0.3">
      <c r="A165">
        <v>4120</v>
      </c>
      <c r="B165">
        <v>2</v>
      </c>
      <c r="C165">
        <v>19</v>
      </c>
      <c r="D165" t="s">
        <v>365</v>
      </c>
      <c r="E165">
        <v>1</v>
      </c>
      <c r="F165" t="s">
        <v>204</v>
      </c>
    </row>
    <row r="166" spans="1:6" x14ac:dyDescent="0.3">
      <c r="A166">
        <v>4121</v>
      </c>
      <c r="B166">
        <v>64</v>
      </c>
      <c r="C166">
        <v>18</v>
      </c>
      <c r="D166" t="s">
        <v>366</v>
      </c>
      <c r="E166">
        <v>2</v>
      </c>
      <c r="F166" t="s">
        <v>200</v>
      </c>
    </row>
    <row r="167" spans="1:6" x14ac:dyDescent="0.3">
      <c r="A167">
        <v>4122</v>
      </c>
      <c r="B167">
        <v>3</v>
      </c>
      <c r="C167">
        <v>31</v>
      </c>
      <c r="D167" t="s">
        <v>367</v>
      </c>
      <c r="E167">
        <v>3</v>
      </c>
      <c r="F167" t="s">
        <v>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D495-1514-4EEF-94D9-86A5F6E82E43}">
  <dimension ref="A1:C16"/>
  <sheetViews>
    <sheetView workbookViewId="0">
      <selection activeCell="I17" sqref="I17"/>
    </sheetView>
  </sheetViews>
  <sheetFormatPr defaultRowHeight="14.4" x14ac:dyDescent="0.3"/>
  <cols>
    <col min="1" max="1" width="17.44140625" bestFit="1" customWidth="1"/>
  </cols>
  <sheetData>
    <row r="1" spans="1:3" x14ac:dyDescent="0.3">
      <c r="A1" s="9" t="s">
        <v>160</v>
      </c>
      <c r="B1" s="9" t="s">
        <v>161</v>
      </c>
      <c r="C1" s="9" t="s">
        <v>162</v>
      </c>
    </row>
    <row r="2" spans="1:3" x14ac:dyDescent="0.3">
      <c r="A2" t="s">
        <v>163</v>
      </c>
      <c r="B2" t="s">
        <v>164</v>
      </c>
    </row>
    <row r="3" spans="1:3" x14ac:dyDescent="0.3">
      <c r="A3" t="s">
        <v>165</v>
      </c>
      <c r="B3" t="s">
        <v>166</v>
      </c>
    </row>
    <row r="4" spans="1:3" x14ac:dyDescent="0.3">
      <c r="A4" t="s">
        <v>167</v>
      </c>
      <c r="B4" t="s">
        <v>168</v>
      </c>
    </row>
    <row r="5" spans="1:3" x14ac:dyDescent="0.3">
      <c r="A5" t="s">
        <v>169</v>
      </c>
      <c r="B5" t="s">
        <v>170</v>
      </c>
    </row>
    <row r="6" spans="1:3" x14ac:dyDescent="0.3">
      <c r="A6" t="s">
        <v>171</v>
      </c>
      <c r="B6" t="s">
        <v>172</v>
      </c>
    </row>
    <row r="7" spans="1:3" x14ac:dyDescent="0.3">
      <c r="A7" t="s">
        <v>173</v>
      </c>
      <c r="B7" t="s">
        <v>174</v>
      </c>
    </row>
    <row r="8" spans="1:3" x14ac:dyDescent="0.3">
      <c r="A8" t="s">
        <v>175</v>
      </c>
      <c r="B8" t="s">
        <v>176</v>
      </c>
    </row>
    <row r="9" spans="1:3" x14ac:dyDescent="0.3">
      <c r="A9" t="s">
        <v>177</v>
      </c>
      <c r="B9" t="s">
        <v>178</v>
      </c>
    </row>
    <row r="10" spans="1:3" x14ac:dyDescent="0.3">
      <c r="A10" t="s">
        <v>179</v>
      </c>
      <c r="B10" t="s">
        <v>180</v>
      </c>
    </row>
    <row r="11" spans="1:3" x14ac:dyDescent="0.3">
      <c r="A11" t="s">
        <v>181</v>
      </c>
      <c r="B11" t="s">
        <v>182</v>
      </c>
    </row>
    <row r="12" spans="1:3" x14ac:dyDescent="0.3">
      <c r="A12" t="s">
        <v>183</v>
      </c>
      <c r="B12" t="s">
        <v>184</v>
      </c>
    </row>
    <row r="13" spans="1:3" x14ac:dyDescent="0.3">
      <c r="A13" t="s">
        <v>185</v>
      </c>
      <c r="B13" t="s">
        <v>186</v>
      </c>
    </row>
    <row r="14" spans="1:3" x14ac:dyDescent="0.3">
      <c r="A14" t="s">
        <v>187</v>
      </c>
      <c r="C14" t="s">
        <v>188</v>
      </c>
    </row>
    <row r="15" spans="1:3" x14ac:dyDescent="0.3">
      <c r="A15" t="s">
        <v>189</v>
      </c>
      <c r="C15" t="s">
        <v>190</v>
      </c>
    </row>
    <row r="16" spans="1:3" x14ac:dyDescent="0.3">
      <c r="A16" t="s">
        <v>191</v>
      </c>
      <c r="C1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5</vt:i4>
      </vt:variant>
    </vt:vector>
  </HeadingPairs>
  <TitlesOfParts>
    <vt:vector size="19" baseType="lpstr">
      <vt:lpstr>Данные</vt:lpstr>
      <vt:lpstr>Сводка</vt:lpstr>
      <vt:lpstr>Товары</vt:lpstr>
      <vt:lpstr>ABC-анализ</vt:lpstr>
      <vt:lpstr>Оплата</vt:lpstr>
      <vt:lpstr>RFM</vt:lpstr>
      <vt:lpstr>Сводная Парето</vt:lpstr>
      <vt:lpstr>Парето</vt:lpstr>
      <vt:lpstr>Отчет</vt:lpstr>
      <vt:lpstr>Дашборд</vt:lpstr>
      <vt:lpstr>Гипотезы</vt:lpstr>
      <vt:lpstr>Корреляции</vt:lpstr>
      <vt:lpstr>Кластеры</vt:lpstr>
      <vt:lpstr>Прогноз</vt:lpstr>
      <vt:lpstr>Кластеры!clusters</vt:lpstr>
      <vt:lpstr>Корреляции!correlations</vt:lpstr>
      <vt:lpstr>Данные!data_clean</vt:lpstr>
      <vt:lpstr>Прогноз!forecast</vt:lpstr>
      <vt:lpstr>Гипотезы!hypotheses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Диана Кудрявцева</dc:creator>
  <cp:lastModifiedBy>Диана Кудрявцева</cp:lastModifiedBy>
  <dcterms:created xsi:type="dcterms:W3CDTF">2026-09-14T13:04:23Z</dcterms:created>
  <dcterms:modified xsi:type="dcterms:W3CDTF">2026-10-17T10:44:07Z</dcterms:modified>
</cp:coreProperties>
</file>